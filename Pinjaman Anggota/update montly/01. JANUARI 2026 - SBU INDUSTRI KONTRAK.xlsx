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9b474228dc75fd/Documents/KOPERASI BKI TAHUN 2026/REKAPAN POTONGAN/"/>
    </mc:Choice>
  </mc:AlternateContent>
  <xr:revisionPtr revIDLastSave="7" documentId="8_{D0B7D289-70E0-48F6-AB7E-2D8CB98051B9}" xr6:coauthVersionLast="47" xr6:coauthVersionMax="47" xr10:uidLastSave="{F35145B1-E6A0-4CA5-BB37-2AF53C4E629D}"/>
  <bookViews>
    <workbookView xWindow="-110" yWindow="-110" windowWidth="19420" windowHeight="10300" firstSheet="4" activeTab="4" xr2:uid="{00000000-000D-0000-FFFF-FFFF00000000}"/>
  </bookViews>
  <sheets>
    <sheet name="TANDA TERIMA" sheetId="17" state="hidden" r:id="rId1"/>
    <sheet name="DAFTAR (2)" sheetId="16" state="hidden" r:id="rId2"/>
    <sheet name="REKAP (2)" sheetId="20" state="hidden" r:id="rId3"/>
    <sheet name="REKAP (3)" sheetId="21" state="hidden" r:id="rId4"/>
    <sheet name="REKAP" sheetId="15" r:id="rId5"/>
    <sheet name="DAFTAR" sheetId="14" r:id="rId6"/>
    <sheet name="REGULER &amp; KHUSUS" sheetId="22" r:id="rId7"/>
    <sheet name="Khusus &amp; reguler" sheetId="8" state="hidden" r:id="rId8"/>
    <sheet name="DKI (2)" sheetId="13" state="hidden" r:id="rId9"/>
    <sheet name="DKI(LUNAS)" sheetId="11" state="hidden" r:id="rId10"/>
    <sheet name="BRIS" sheetId="12" state="hidden" r:id="rId11"/>
  </sheets>
  <definedNames>
    <definedName name="_xlnm._FilterDatabase" localSheetId="5" hidden="1">DAFTAR!$G$1:$G$31</definedName>
    <definedName name="_xlnm.Print_Area" localSheetId="10">BRIS!$A$1:$F$17</definedName>
    <definedName name="_xlnm.Print_Area" localSheetId="5">DAFTAR!$A$1:$F$23</definedName>
    <definedName name="_xlnm.Print_Area" localSheetId="1">'DAFTAR (2)'!$A$1:$I$22</definedName>
    <definedName name="_xlnm.Print_Area" localSheetId="9">'DKI(LUNAS)'!$A$1:$F$16</definedName>
    <definedName name="_xlnm.Print_Area" localSheetId="7">'Khusus &amp; reguler'!$A$1:$I$23</definedName>
    <definedName name="_xlnm.Print_Area" localSheetId="6">'REGULER &amp; KHUSUS'!$A$1:$L$21</definedName>
    <definedName name="_xlnm.Print_Area" localSheetId="4">REKAP!$A$1:$E$23</definedName>
    <definedName name="_xlnm.Print_Area" localSheetId="2">'REKAP (2)'!$A$1:$E$23</definedName>
    <definedName name="_xlnm.Print_Area" localSheetId="3">'REKAP (3)'!$A$1:$E$23</definedName>
    <definedName name="_xlnm.Print_Area" localSheetId="0">'TANDA TERIMA'!$A$1:$E$30</definedName>
    <definedName name="_xlnm.Print_Titles" localSheetId="5">DAFTAR!$1:$7</definedName>
    <definedName name="_xlnm.Print_Titles" localSheetId="1">'DAFTAR (2)'!$1:$7</definedName>
    <definedName name="_xlnm.Print_Titles" localSheetId="7">'Khusus &amp; reguler'!$1:$7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2" l="1"/>
  <c r="E11" i="22"/>
  <c r="F11" i="22"/>
  <c r="G11" i="22"/>
  <c r="H11" i="22"/>
  <c r="I11" i="22"/>
  <c r="J11" i="22"/>
  <c r="K11" i="22"/>
  <c r="C13" i="14"/>
  <c r="E11" i="14"/>
  <c r="F11" i="14" s="1"/>
  <c r="L10" i="22"/>
  <c r="K10" i="22"/>
  <c r="H10" i="22"/>
  <c r="E10" i="22"/>
  <c r="C11" i="22"/>
  <c r="D13" i="14" l="1"/>
  <c r="K8" i="22"/>
  <c r="H9" i="22"/>
  <c r="E8" i="22"/>
  <c r="E9" i="22"/>
  <c r="H8" i="22"/>
  <c r="L8" i="22" l="1"/>
  <c r="L9" i="22"/>
  <c r="L11" i="22" s="1"/>
  <c r="E9" i="14"/>
  <c r="E10" i="14" l="1"/>
  <c r="E14" i="15"/>
  <c r="F9" i="14"/>
  <c r="F8" i="14"/>
  <c r="F10" i="14" l="1"/>
  <c r="F13" i="14" s="1"/>
  <c r="E13" i="14"/>
  <c r="C13" i="8"/>
  <c r="D13" i="16" l="1"/>
  <c r="E13" i="16"/>
  <c r="F13" i="16"/>
  <c r="G13" i="16"/>
  <c r="H13" i="16"/>
  <c r="C13" i="16"/>
  <c r="D13" i="8" l="1"/>
  <c r="F13" i="8"/>
  <c r="G13" i="8"/>
  <c r="E12" i="8"/>
  <c r="H12" i="8"/>
  <c r="I12" i="16"/>
  <c r="E6" i="15" l="1"/>
  <c r="I12" i="8"/>
  <c r="E11" i="8"/>
  <c r="E8" i="8"/>
  <c r="E13" i="20" l="1"/>
  <c r="E13" i="21"/>
  <c r="E14" i="20"/>
  <c r="E14" i="21"/>
  <c r="H8" i="8"/>
  <c r="I8" i="8" s="1"/>
  <c r="I10" i="16" l="1"/>
  <c r="E13" i="15" l="1"/>
  <c r="E9" i="8" l="1"/>
  <c r="I8" i="16" l="1"/>
  <c r="I9" i="16" l="1"/>
  <c r="I11" i="16"/>
  <c r="I13" i="16" l="1"/>
  <c r="E11" i="20" l="1"/>
  <c r="E11" i="21"/>
  <c r="D8" i="12"/>
  <c r="C8" i="12"/>
  <c r="H11" i="8" l="1"/>
  <c r="I11" i="8" s="1"/>
  <c r="H9" i="8"/>
  <c r="I9" i="8" s="1"/>
  <c r="E10" i="20" l="1"/>
  <c r="E10" i="21"/>
  <c r="D8" i="13" l="1"/>
  <c r="C8" i="13"/>
  <c r="E10" i="8" l="1"/>
  <c r="H10" i="8"/>
  <c r="I10" i="8" l="1"/>
  <c r="E13" i="8" l="1"/>
  <c r="E7" i="12" l="1"/>
  <c r="E8" i="12" l="1"/>
  <c r="E9" i="20" l="1"/>
  <c r="E9" i="21"/>
  <c r="H13" i="8"/>
  <c r="E12" i="17"/>
  <c r="E6" i="11" l="1"/>
  <c r="E7" i="11" s="1"/>
  <c r="E7" i="13"/>
  <c r="E8" i="13" s="1"/>
  <c r="E9" i="17" l="1"/>
  <c r="E8" i="17" l="1"/>
  <c r="I13" i="8" l="1"/>
  <c r="E6" i="21" l="1"/>
  <c r="E12" i="21" s="1"/>
  <c r="E15" i="21" s="1"/>
  <c r="E6" i="20"/>
  <c r="E12" i="20" s="1"/>
  <c r="E15" i="20" s="1"/>
  <c r="E5" i="17"/>
  <c r="E11" i="17" s="1"/>
  <c r="E14" i="17" s="1"/>
  <c r="E9" i="15" l="1"/>
  <c r="D7" i="11"/>
  <c r="C7" i="11"/>
  <c r="E12" i="15" l="1"/>
  <c r="E15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tc={7502F96F-9B8F-4C68-BFF1-CBDC2E199965}</author>
    <author>tc={CDAB00CE-140C-45BB-8888-EDF991CA4677}</author>
  </authors>
  <commentList>
    <comment ref="C10" authorId="0" shapeId="0" xr:uid="{7502F96F-9B8F-4C68-BFF1-CBDC2E199965}">
      <text>
        <t>[Threaded comment]
Your version of Excel allows you to read this threaded comment; however, any edits to it will get removed if the file is opened in a newer version of Excel. Learn more: https://go.microsoft.com/fwlink/?linkid=870924
Comment:
    Simp. Wajib : 100.000
Simp. Pokok : 200.000
Berlaku hanya awal</t>
      </text>
    </comment>
    <comment ref="C11" authorId="1" shapeId="0" xr:uid="{CDAB00CE-140C-45BB-8888-EDF991CA4677}">
      <text>
        <t>[Threaded comment]
Your version of Excel allows you to read this threaded comment; however, any edits to it will get removed if the file is opened in a newer version of Excel. Learn more: https://go.microsoft.com/fwlink/?linkid=870924
Comment:
    Simp. Wajib : 100.000
Simp. Pokok : 200.000
Berlaku hanya awal</t>
      </text>
    </comment>
  </commentList>
</comments>
</file>

<file path=xl/sharedStrings.xml><?xml version="1.0" encoding="utf-8"?>
<sst xmlns="http://schemas.openxmlformats.org/spreadsheetml/2006/main" count="238" uniqueCount="108">
  <si>
    <t>PT. (PERSERO) BIRO KLASIFIKASI INDONESIA</t>
  </si>
  <si>
    <t>NO.</t>
  </si>
  <si>
    <t>N A M A</t>
  </si>
  <si>
    <t>SIMPANAN WAJIB</t>
  </si>
  <si>
    <t>JUMLAH</t>
  </si>
  <si>
    <t>DAFTAR    : PEMOTONGAN PINJAMAN + JASA DARI GAJI</t>
  </si>
  <si>
    <t>BURHANUDDIN</t>
  </si>
  <si>
    <t>SUTRISNO</t>
  </si>
  <si>
    <t xml:space="preserve">                J U M L A H</t>
  </si>
  <si>
    <t>POKOK</t>
  </si>
  <si>
    <t>JASA</t>
  </si>
  <si>
    <t>NAMA</t>
  </si>
  <si>
    <t>Mengetahui,</t>
  </si>
  <si>
    <t>DAFTAR ANGSURAN ANGGOTA KE BANK DKI</t>
  </si>
  <si>
    <t>ANGSURAN</t>
  </si>
  <si>
    <t>BUNGA</t>
  </si>
  <si>
    <t>TOTAL</t>
  </si>
  <si>
    <t>KET</t>
  </si>
  <si>
    <t>Pembuat Daftar,</t>
  </si>
  <si>
    <t>PINJAMAN REGULER</t>
  </si>
  <si>
    <t>Tahap 7/2012</t>
  </si>
  <si>
    <t>PINJAMAN</t>
  </si>
  <si>
    <t>( 3+4 )</t>
  </si>
  <si>
    <t xml:space="preserve">REKAPITULASI POTONGAN </t>
  </si>
  <si>
    <t>Pinjaman Reguler &amp; Khusus</t>
  </si>
  <si>
    <t>Hutang Chaneling :</t>
  </si>
  <si>
    <t>1) Bank DKI</t>
  </si>
  <si>
    <t>2) Bank BRI SYARIAH</t>
  </si>
  <si>
    <t>T O T A L</t>
  </si>
  <si>
    <t>Simpanan Wajib</t>
  </si>
  <si>
    <t>J U M L A H</t>
  </si>
  <si>
    <t>DAFTAR ANGSURAN ANGGOTA BRI SYARIAH</t>
  </si>
  <si>
    <t>UNIT KERJA SBU INDUSTRI</t>
  </si>
  <si>
    <t>CABANG BINTARO SBU INDUSTRI</t>
  </si>
  <si>
    <t xml:space="preserve">Terbilang : </t>
  </si>
  <si>
    <t xml:space="preserve">TERBILANG : </t>
  </si>
  <si>
    <t>TERBILANG :</t>
  </si>
  <si>
    <t>Pembuat daftar,</t>
  </si>
  <si>
    <t>SBU INDUSTRI</t>
  </si>
  <si>
    <t>BRI SYARIAH</t>
  </si>
  <si>
    <t>BANK DKI</t>
  </si>
  <si>
    <t>KHUSUS</t>
  </si>
  <si>
    <t>REGULER</t>
  </si>
  <si>
    <t>Tahun 2012</t>
  </si>
  <si>
    <t>LUNAS</t>
  </si>
  <si>
    <t>MEGA HADIYANTI</t>
  </si>
  <si>
    <t>KETERANGAN</t>
  </si>
  <si>
    <t>MUHAMMAD RADIANSYAH</t>
  </si>
  <si>
    <t>TANDA TERIMA</t>
  </si>
  <si>
    <t>BULAN NOVEMBER 2015</t>
  </si>
  <si>
    <t>Jakarta, November2015</t>
  </si>
  <si>
    <t>R AGUS DODDY DWI SAGITA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</si>
  <si>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</si>
  <si>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Tahap 2/2016</t>
  </si>
  <si>
    <t>SAEPUL</t>
  </si>
  <si>
    <t>GAJI BULAN JUNI 2015</t>
  </si>
  <si>
    <t>Jakarta, 15 Juni 2015</t>
  </si>
  <si>
    <t>M.RADIANSYAH</t>
  </si>
  <si>
    <t>SIMPANAN POKOK</t>
  </si>
  <si>
    <t>HARYANTI</t>
  </si>
  <si>
    <t>SALI SARTIKA</t>
  </si>
  <si>
    <t>Simpanan Pokok</t>
  </si>
  <si>
    <t>IRMA YUNIATI</t>
  </si>
  <si>
    <t>PT. BIRO KLASIFIKASI INDONESIA (PERSERO)</t>
  </si>
  <si>
    <t>6=3+4+5</t>
  </si>
  <si>
    <t>PT.BIRO KLASIFIKASI INDONESIA (PERSERO)</t>
  </si>
  <si>
    <t>9=5+8</t>
  </si>
  <si>
    <t>5=3+4</t>
  </si>
  <si>
    <t xml:space="preserve">          </t>
  </si>
  <si>
    <t>MEGA HADIYANTI, S.E.</t>
  </si>
  <si>
    <t>Jakarta, 14 Juli 2017</t>
  </si>
  <si>
    <t>BULAN JULI 2017</t>
  </si>
  <si>
    <t>1) Bank BRI SYARIAH</t>
  </si>
  <si>
    <t>BANK BJB</t>
  </si>
  <si>
    <t>2) Bank BJB</t>
  </si>
  <si>
    <t>BANK MANDIRI</t>
  </si>
  <si>
    <t>3) Bank MANDIRI</t>
  </si>
  <si>
    <t>DIMAS PUTRA PRASETYO</t>
  </si>
  <si>
    <t>PINJAMAN KHUSUS</t>
  </si>
  <si>
    <t>Jakarta, 15 September 2019</t>
  </si>
  <si>
    <t>BULAN : SEPTEMBER 2019</t>
  </si>
  <si>
    <t>SULAEMAN</t>
  </si>
  <si>
    <t>GAJI BULAN FEBRUARI 2020</t>
  </si>
  <si>
    <t>Jakarta, 19 Februari 2020</t>
  </si>
  <si>
    <t>SATRIA ADI SUKMA N</t>
  </si>
  <si>
    <t>GAJI BULAN JULI 2021</t>
  </si>
  <si>
    <t>Jakarta, 15 Juli 2021</t>
  </si>
  <si>
    <t>SBU INDUSTRI KONTRAK</t>
  </si>
  <si>
    <t>PEGAWAI :  SBU INDUSTRI KONTRAK PERIODE BULAN DESEMBER 2022</t>
  </si>
  <si>
    <t>Jakarta, 13 Desember 2022</t>
  </si>
  <si>
    <t xml:space="preserve">PINJAMAN KHUSUS </t>
  </si>
  <si>
    <t>Terbilang :</t>
  </si>
  <si>
    <t>VIVI HAZLINDA</t>
  </si>
  <si>
    <t>DEA ADAWIYAH</t>
  </si>
  <si>
    <t>ISHAK CHRISTIAN MEGAWE</t>
  </si>
  <si>
    <t>ANDI AULYA</t>
  </si>
  <si>
    <t>PINJAMAN BARANG</t>
  </si>
  <si>
    <t xml:space="preserve"> 9 =(5+8+11)</t>
  </si>
  <si>
    <t>NEW MEMBER PER MEI 2025</t>
  </si>
  <si>
    <t>RANDI RANTE</t>
  </si>
  <si>
    <t>NEW MEMBER PER JULI 2025</t>
  </si>
  <si>
    <t>PINJAMAN REGULER BARU, BARU CAIR OKTOBER 2025</t>
  </si>
  <si>
    <t>Pinj. Barang Lunas Per Desember 2025</t>
  </si>
  <si>
    <t>GAJI BULAN JANUARI 2026</t>
  </si>
  <si>
    <t>Jakarta, 07 Januari 2026</t>
  </si>
  <si>
    <t>PEGAWAI :  SBU INDUSTRI KONTRAK PERIODE BULAN JANUARI 2026</t>
  </si>
  <si>
    <t>Tiga Juta Empat Ratus Sepuluh Ribu Tiga Ratus Dua Puluh Satu Rupiah</t>
  </si>
  <si>
    <t>Tiga Juta Delapan Ratus Sepuluh Ribu Tiga Ratus Dua Puluh Satu Rupiah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</si>
</sst>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3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sz val="16"/>
      <color theme="1"/>
      <name val="Cambria"/>
      <family val="1"/>
      <scheme val="major"/>
    </font>
    <font>
      <b/>
      <i/>
      <sz val="16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sz val="14"/>
      <color theme="1"/>
      <name val="Cambria"/>
      <family val="1"/>
      <scheme val="major"/>
    </font>
    <font>
      <sz val="14"/>
      <name val="Cambria"/>
      <family val="1"/>
      <scheme val="major"/>
    </font>
    <font>
      <b/>
      <sz val="13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sz val="12"/>
      <name val="Calibri"/>
      <family val="2"/>
      <charset val="1"/>
      <scheme val="min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b/>
      <sz val="13"/>
      <name val="Calibri"/>
      <family val="2"/>
      <scheme val="minor"/>
    </font>
    <font>
      <b/>
      <i/>
      <sz val="13"/>
      <name val="Cambria"/>
      <family val="1"/>
      <scheme val="major"/>
    </font>
    <font>
      <sz val="14"/>
      <color rgb="FF00B0F0"/>
      <name val="Cambria"/>
      <family val="1"/>
      <scheme val="major"/>
    </font>
    <font>
      <b/>
      <sz val="16"/>
      <name val="Cambria"/>
      <family val="1"/>
      <scheme val="major"/>
    </font>
    <font>
      <sz val="16"/>
      <name val="Calibri"/>
      <family val="2"/>
      <scheme val="minor"/>
    </font>
    <font>
      <sz val="16"/>
      <name val="Cambria"/>
      <family val="1"/>
      <scheme val="major"/>
    </font>
    <font>
      <b/>
      <i/>
      <sz val="16"/>
      <name val="Calibri"/>
      <family val="2"/>
      <scheme val="minor"/>
    </font>
    <font>
      <b/>
      <i/>
      <sz val="16"/>
      <name val="Cambria"/>
      <family val="1"/>
      <scheme val="major"/>
    </font>
    <font>
      <b/>
      <i/>
      <sz val="12"/>
      <name val="Cambria"/>
      <family val="1"/>
      <scheme val="major"/>
    </font>
    <font>
      <b/>
      <u/>
      <sz val="12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96">
    <xf numFmtId="0" fontId="0" fillId="0" borderId="0" xfId="0"/>
    <xf numFmtId="164" fontId="0" fillId="0" borderId="0" xfId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64" fontId="0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0" xfId="0" applyFont="1" applyBorder="1"/>
    <xf numFmtId="164" fontId="5" fillId="0" borderId="10" xfId="1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17" xfId="0" applyFont="1" applyBorder="1"/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16" xfId="0" applyFont="1" applyBorder="1"/>
    <xf numFmtId="0" fontId="5" fillId="0" borderId="21" xfId="0" applyFont="1" applyBorder="1"/>
    <xf numFmtId="164" fontId="5" fillId="0" borderId="2" xfId="1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2" xfId="0" applyFont="1" applyBorder="1"/>
    <xf numFmtId="0" fontId="5" fillId="0" borderId="7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164" fontId="0" fillId="0" borderId="23" xfId="1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24" xfId="0" applyFont="1" applyBorder="1" applyAlignment="1">
      <alignment horizontal="center"/>
    </xf>
    <xf numFmtId="164" fontId="5" fillId="0" borderId="25" xfId="1" applyFont="1" applyBorder="1"/>
    <xf numFmtId="164" fontId="3" fillId="3" borderId="2" xfId="1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10" fillId="0" borderId="0" xfId="0" applyFont="1"/>
    <xf numFmtId="164" fontId="6" fillId="3" borderId="22" xfId="0" applyNumberFormat="1" applyFont="1" applyFill="1" applyBorder="1"/>
    <xf numFmtId="164" fontId="6" fillId="3" borderId="22" xfId="1" applyFont="1" applyFill="1" applyBorder="1"/>
    <xf numFmtId="164" fontId="7" fillId="0" borderId="23" xfId="1" applyFont="1" applyBorder="1" applyAlignment="1">
      <alignment vertic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/>
    </xf>
    <xf numFmtId="0" fontId="18" fillId="0" borderId="27" xfId="0" applyFont="1" applyBorder="1" applyAlignment="1">
      <alignment horizontal="center"/>
    </xf>
    <xf numFmtId="0" fontId="18" fillId="0" borderId="31" xfId="0" applyFont="1" applyBorder="1"/>
    <xf numFmtId="0" fontId="18" fillId="0" borderId="32" xfId="0" applyFont="1" applyBorder="1"/>
    <xf numFmtId="0" fontId="18" fillId="0" borderId="33" xfId="0" applyFont="1" applyBorder="1"/>
    <xf numFmtId="164" fontId="18" fillId="0" borderId="27" xfId="1" applyFont="1" applyBorder="1"/>
    <xf numFmtId="0" fontId="18" fillId="0" borderId="28" xfId="0" applyFont="1" applyBorder="1"/>
    <xf numFmtId="0" fontId="18" fillId="0" borderId="18" xfId="0" applyFont="1" applyBorder="1"/>
    <xf numFmtId="0" fontId="18" fillId="0" borderId="28" xfId="0" applyFont="1" applyBorder="1" applyAlignment="1">
      <alignment horizontal="center"/>
    </xf>
    <xf numFmtId="0" fontId="18" fillId="0" borderId="19" xfId="0" applyFont="1" applyBorder="1"/>
    <xf numFmtId="0" fontId="18" fillId="0" borderId="17" xfId="0" applyFont="1" applyBorder="1"/>
    <xf numFmtId="164" fontId="18" fillId="0" borderId="28" xfId="1" applyFont="1" applyBorder="1"/>
    <xf numFmtId="0" fontId="18" fillId="0" borderId="21" xfId="0" applyFont="1" applyBorder="1"/>
    <xf numFmtId="164" fontId="18" fillId="0" borderId="29" xfId="1" applyFont="1" applyBorder="1"/>
    <xf numFmtId="164" fontId="13" fillId="3" borderId="1" xfId="0" applyNumberFormat="1" applyFont="1" applyFill="1" applyBorder="1"/>
    <xf numFmtId="0" fontId="18" fillId="0" borderId="16" xfId="0" applyFont="1" applyBorder="1"/>
    <xf numFmtId="164" fontId="18" fillId="0" borderId="30" xfId="1" applyFont="1" applyBorder="1"/>
    <xf numFmtId="0" fontId="18" fillId="0" borderId="5" xfId="0" applyFont="1" applyBorder="1" applyAlignment="1">
      <alignment horizontal="center"/>
    </xf>
    <xf numFmtId="164" fontId="13" fillId="3" borderId="1" xfId="1" applyFont="1" applyFill="1" applyBorder="1"/>
    <xf numFmtId="0" fontId="21" fillId="0" borderId="0" xfId="0" applyFont="1" applyAlignment="1">
      <alignment horizontal="center"/>
    </xf>
    <xf numFmtId="0" fontId="21" fillId="0" borderId="0" xfId="0" applyFont="1"/>
    <xf numFmtId="164" fontId="21" fillId="0" borderId="0" xfId="1" applyFont="1"/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164" fontId="21" fillId="0" borderId="0" xfId="1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64" fontId="22" fillId="0" borderId="4" xfId="1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64" fontId="22" fillId="0" borderId="41" xfId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2" fillId="3" borderId="11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164" fontId="24" fillId="0" borderId="0" xfId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164" fontId="22" fillId="0" borderId="28" xfId="1" applyFont="1" applyBorder="1" applyAlignment="1">
      <alignment horizontal="center" vertical="center"/>
    </xf>
    <xf numFmtId="0" fontId="22" fillId="0" borderId="36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64" fontId="21" fillId="0" borderId="1" xfId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4" fontId="22" fillId="0" borderId="14" xfId="1" applyFont="1" applyBorder="1" applyAlignment="1">
      <alignment horizontal="center" vertical="center"/>
    </xf>
    <xf numFmtId="1" fontId="21" fillId="0" borderId="1" xfId="1" applyNumberFormat="1" applyFont="1" applyBorder="1" applyAlignment="1">
      <alignment horizontal="center" vertical="center"/>
    </xf>
    <xf numFmtId="1" fontId="21" fillId="0" borderId="12" xfId="1" applyNumberFormat="1" applyFont="1" applyBorder="1" applyAlignment="1">
      <alignment horizontal="center" vertical="center"/>
    </xf>
    <xf numFmtId="164" fontId="22" fillId="3" borderId="1" xfId="1" applyFont="1" applyFill="1" applyBorder="1" applyAlignment="1">
      <alignment vertical="center"/>
    </xf>
    <xf numFmtId="164" fontId="1" fillId="0" borderId="0" xfId="1" applyFont="1" applyAlignment="1">
      <alignment vertical="center"/>
    </xf>
    <xf numFmtId="164" fontId="23" fillId="0" borderId="41" xfId="1" applyFont="1" applyBorder="1" applyAlignment="1">
      <alignment vertical="center"/>
    </xf>
    <xf numFmtId="164" fontId="23" fillId="0" borderId="0" xfId="1" applyFont="1" applyBorder="1" applyAlignment="1">
      <alignment vertical="center"/>
    </xf>
    <xf numFmtId="0" fontId="18" fillId="0" borderId="0" xfId="0" applyFont="1"/>
    <xf numFmtId="164" fontId="18" fillId="0" borderId="5" xfId="1" applyFont="1" applyBorder="1"/>
    <xf numFmtId="0" fontId="1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1" fillId="0" borderId="18" xfId="0" applyFont="1" applyBorder="1" applyAlignment="1">
      <alignment vertical="center"/>
    </xf>
    <xf numFmtId="164" fontId="22" fillId="3" borderId="39" xfId="1" applyFont="1" applyFill="1" applyBorder="1" applyAlignment="1">
      <alignment vertical="center"/>
    </xf>
    <xf numFmtId="164" fontId="23" fillId="0" borderId="0" xfId="1" applyFont="1" applyAlignment="1">
      <alignment vertical="center"/>
    </xf>
    <xf numFmtId="164" fontId="27" fillId="0" borderId="4" xfId="1" applyFont="1" applyBorder="1" applyAlignment="1">
      <alignment horizontal="center" vertical="center"/>
    </xf>
    <xf numFmtId="164" fontId="27" fillId="0" borderId="14" xfId="1" applyFont="1" applyBorder="1" applyAlignment="1">
      <alignment horizontal="center" vertical="center"/>
    </xf>
    <xf numFmtId="1" fontId="23" fillId="0" borderId="1" xfId="1" applyNumberFormat="1" applyFont="1" applyBorder="1" applyAlignment="1">
      <alignment horizontal="center" vertical="center"/>
    </xf>
    <xf numFmtId="1" fontId="23" fillId="0" borderId="12" xfId="1" applyNumberFormat="1" applyFont="1" applyBorder="1" applyAlignment="1">
      <alignment horizontal="center" vertical="center"/>
    </xf>
    <xf numFmtId="164" fontId="27" fillId="3" borderId="12" xfId="1" applyFont="1" applyFill="1" applyBorder="1" applyAlignment="1">
      <alignment vertical="center"/>
    </xf>
    <xf numFmtId="164" fontId="27" fillId="3" borderId="1" xfId="1" applyFont="1" applyFill="1" applyBorder="1" applyAlignment="1">
      <alignment vertical="center"/>
    </xf>
    <xf numFmtId="164" fontId="28" fillId="0" borderId="0" xfId="1" applyFont="1" applyAlignment="1">
      <alignment vertical="center"/>
    </xf>
    <xf numFmtId="0" fontId="23" fillId="0" borderId="0" xfId="0" applyFont="1" applyAlignment="1">
      <alignment horizontal="center" vertical="center"/>
    </xf>
    <xf numFmtId="164" fontId="7" fillId="0" borderId="0" xfId="1" applyFont="1" applyAlignment="1">
      <alignment vertical="center"/>
    </xf>
    <xf numFmtId="164" fontId="23" fillId="0" borderId="28" xfId="1" applyFont="1" applyBorder="1" applyAlignment="1">
      <alignment vertical="center"/>
    </xf>
    <xf numFmtId="164" fontId="23" fillId="0" borderId="18" xfId="1" applyFont="1" applyBorder="1" applyAlignment="1">
      <alignment vertical="center"/>
    </xf>
    <xf numFmtId="166" fontId="19" fillId="0" borderId="28" xfId="2" applyNumberFormat="1" applyFont="1" applyFill="1" applyBorder="1" applyAlignment="1">
      <alignment horizontal="left" vertical="center"/>
    </xf>
    <xf numFmtId="0" fontId="19" fillId="0" borderId="28" xfId="0" applyFont="1" applyBorder="1" applyAlignment="1">
      <alignment horizontal="center" vertical="center"/>
    </xf>
    <xf numFmtId="164" fontId="14" fillId="0" borderId="28" xfId="1" applyFont="1" applyFill="1" applyBorder="1" applyAlignment="1">
      <alignment horizontal="center" vertical="center"/>
    </xf>
    <xf numFmtId="41" fontId="26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30" xfId="0" applyFont="1" applyBorder="1" applyAlignment="1">
      <alignment horizontal="center" vertical="center"/>
    </xf>
    <xf numFmtId="164" fontId="34" fillId="0" borderId="30" xfId="0" quotePrefix="1" applyNumberFormat="1" applyFont="1" applyBorder="1" applyAlignment="1">
      <alignment vertical="center"/>
    </xf>
    <xf numFmtId="164" fontId="32" fillId="0" borderId="38" xfId="1" applyFont="1" applyBorder="1" applyAlignment="1">
      <alignment horizontal="center" vertical="center"/>
    </xf>
    <xf numFmtId="41" fontId="33" fillId="0" borderId="0" xfId="0" applyNumberFormat="1" applyFont="1" applyAlignment="1">
      <alignment horizontal="center" vertical="center"/>
    </xf>
    <xf numFmtId="0" fontId="34" fillId="2" borderId="19" xfId="0" applyFont="1" applyFill="1" applyBorder="1" applyAlignment="1">
      <alignment horizontal="left" vertical="center"/>
    </xf>
    <xf numFmtId="164" fontId="34" fillId="0" borderId="28" xfId="1" applyFont="1" applyBorder="1" applyAlignment="1">
      <alignment horizontal="center" vertical="center"/>
    </xf>
    <xf numFmtId="164" fontId="34" fillId="0" borderId="19" xfId="1" applyFont="1" applyBorder="1" applyAlignment="1">
      <alignment horizontal="center" vertical="center"/>
    </xf>
    <xf numFmtId="0" fontId="32" fillId="3" borderId="8" xfId="0" applyFont="1" applyFill="1" applyBorder="1" applyAlignment="1">
      <alignment vertical="center"/>
    </xf>
    <xf numFmtId="0" fontId="32" fillId="3" borderId="8" xfId="0" applyFont="1" applyFill="1" applyBorder="1" applyAlignment="1">
      <alignment horizontal="center" vertical="center"/>
    </xf>
    <xf numFmtId="164" fontId="32" fillId="3" borderId="1" xfId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164" fontId="34" fillId="0" borderId="0" xfId="1" applyFont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2" borderId="28" xfId="0" applyFont="1" applyFill="1" applyBorder="1" applyAlignment="1">
      <alignment horizontal="left" vertical="center"/>
    </xf>
    <xf numFmtId="164" fontId="15" fillId="0" borderId="18" xfId="1" applyFont="1" applyBorder="1" applyAlignment="1">
      <alignment horizontal="center" vertical="center"/>
    </xf>
    <xf numFmtId="164" fontId="15" fillId="0" borderId="28" xfId="1" applyFont="1" applyBorder="1" applyAlignment="1">
      <alignment horizontal="center" vertical="center"/>
    </xf>
    <xf numFmtId="164" fontId="16" fillId="0" borderId="28" xfId="1" applyFont="1" applyBorder="1" applyAlignment="1">
      <alignment horizontal="center" vertical="center"/>
    </xf>
    <xf numFmtId="164" fontId="16" fillId="0" borderId="18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164" fontId="16" fillId="3" borderId="8" xfId="1" applyFont="1" applyFill="1" applyBorder="1" applyAlignment="1">
      <alignment horizontal="center" vertical="center"/>
    </xf>
    <xf numFmtId="164" fontId="16" fillId="3" borderId="1" xfId="1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164" fontId="19" fillId="0" borderId="28" xfId="1" applyFont="1" applyFill="1" applyBorder="1" applyAlignment="1">
      <alignment horizontal="center" vertical="center"/>
    </xf>
    <xf numFmtId="164" fontId="19" fillId="0" borderId="28" xfId="0" quotePrefix="1" applyNumberFormat="1" applyFont="1" applyBorder="1" applyAlignment="1">
      <alignment vertical="center"/>
    </xf>
    <xf numFmtId="164" fontId="31" fillId="0" borderId="28" xfId="0" quotePrefix="1" applyNumberFormat="1" applyFont="1" applyBorder="1" applyAlignment="1">
      <alignment vertical="center"/>
    </xf>
    <xf numFmtId="164" fontId="16" fillId="0" borderId="38" xfId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6" fontId="14" fillId="0" borderId="0" xfId="2" applyNumberFormat="1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6" fontId="15" fillId="0" borderId="0" xfId="2" applyNumberFormat="1" applyFont="1" applyFill="1" applyAlignment="1">
      <alignment horizontal="left" vertical="center"/>
    </xf>
    <xf numFmtId="166" fontId="17" fillId="0" borderId="1" xfId="2" applyNumberFormat="1" applyFont="1" applyFill="1" applyBorder="1" applyAlignment="1">
      <alignment horizontal="center" vertical="center"/>
    </xf>
    <xf numFmtId="41" fontId="26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166" fontId="14" fillId="0" borderId="1" xfId="2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166" fontId="20" fillId="0" borderId="0" xfId="2" applyNumberFormat="1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9" fillId="0" borderId="0" xfId="0" applyFont="1"/>
    <xf numFmtId="166" fontId="19" fillId="0" borderId="0" xfId="2" applyNumberFormat="1" applyFont="1" applyFill="1"/>
    <xf numFmtId="0" fontId="19" fillId="0" borderId="0" xfId="0" applyFont="1" applyAlignment="1">
      <alignment horizontal="center"/>
    </xf>
    <xf numFmtId="166" fontId="19" fillId="0" borderId="0" xfId="2" applyNumberFormat="1" applyFont="1" applyFill="1" applyAlignment="1">
      <alignment horizontal="center"/>
    </xf>
    <xf numFmtId="164" fontId="19" fillId="0" borderId="0" xfId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66" fontId="14" fillId="0" borderId="0" xfId="2" applyNumberFormat="1" applyFont="1" applyFill="1" applyAlignment="1">
      <alignment horizontal="center"/>
    </xf>
    <xf numFmtId="0" fontId="14" fillId="0" borderId="0" xfId="0" applyFont="1"/>
    <xf numFmtId="166" fontId="26" fillId="0" borderId="0" xfId="2" applyNumberFormat="1" applyFont="1" applyFill="1" applyAlignment="1">
      <alignment horizontal="left" vertical="center"/>
    </xf>
    <xf numFmtId="164" fontId="34" fillId="0" borderId="0" xfId="1" applyFont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164" fontId="15" fillId="0" borderId="36" xfId="0" applyNumberFormat="1" applyFont="1" applyBorder="1"/>
    <xf numFmtId="164" fontId="15" fillId="0" borderId="28" xfId="0" applyNumberFormat="1" applyFont="1" applyBorder="1"/>
    <xf numFmtId="0" fontId="16" fillId="4" borderId="22" xfId="0" applyFont="1" applyFill="1" applyBorder="1" applyAlignment="1">
      <alignment horizontal="center" vertical="center"/>
    </xf>
    <xf numFmtId="164" fontId="16" fillId="4" borderId="1" xfId="1" applyFont="1" applyFill="1" applyBorder="1" applyAlignment="1">
      <alignment horizontal="center" vertical="center"/>
    </xf>
    <xf numFmtId="0" fontId="37" fillId="0" borderId="0" xfId="0" applyFont="1" applyAlignment="1">
      <alignment horizontal="centerContinuous" vertical="center"/>
    </xf>
    <xf numFmtId="0" fontId="15" fillId="0" borderId="0" xfId="0" applyFont="1" applyAlignment="1">
      <alignment horizontal="centerContinuous" vertical="center"/>
    </xf>
    <xf numFmtId="164" fontId="23" fillId="0" borderId="0" xfId="1" applyFont="1" applyAlignment="1">
      <alignment horizontal="centerContinuous" vertical="center"/>
    </xf>
    <xf numFmtId="0" fontId="38" fillId="0" borderId="0" xfId="0" applyFont="1" applyAlignment="1">
      <alignment horizontal="centerContinuous" vertical="center"/>
    </xf>
    <xf numFmtId="0" fontId="27" fillId="0" borderId="0" xfId="0" applyFont="1" applyAlignment="1">
      <alignment horizontal="center" vertical="center"/>
    </xf>
    <xf numFmtId="164" fontId="27" fillId="0" borderId="0" xfId="1" applyFont="1" applyAlignment="1">
      <alignment horizontal="centerContinuous" vertical="center"/>
    </xf>
    <xf numFmtId="0" fontId="34" fillId="0" borderId="29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164" fontId="16" fillId="0" borderId="41" xfId="1" applyFont="1" applyBorder="1" applyAlignment="1">
      <alignment horizontal="center" vertical="center"/>
    </xf>
    <xf numFmtId="164" fontId="15" fillId="0" borderId="41" xfId="1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164" fontId="16" fillId="0" borderId="29" xfId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9" fillId="0" borderId="0" xfId="1" applyFont="1" applyFill="1" applyAlignment="1">
      <alignment horizontal="center" vertical="center"/>
    </xf>
    <xf numFmtId="164" fontId="14" fillId="0" borderId="0" xfId="1" applyFont="1" applyFill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center"/>
    </xf>
    <xf numFmtId="0" fontId="16" fillId="0" borderId="27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66" fontId="16" fillId="0" borderId="4" xfId="2" applyNumberFormat="1" applyFont="1" applyFill="1" applyBorder="1" applyAlignment="1">
      <alignment horizontal="center" vertical="center"/>
    </xf>
    <xf numFmtId="166" fontId="16" fillId="0" borderId="5" xfId="2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8" fillId="0" borderId="26" xfId="0" applyFont="1" applyBorder="1" applyAlignment="1">
      <alignment horizontal="left"/>
    </xf>
    <xf numFmtId="164" fontId="34" fillId="0" borderId="0" xfId="1" applyFont="1" applyAlignment="1">
      <alignment horizontal="center" vertical="center"/>
    </xf>
    <xf numFmtId="164" fontId="32" fillId="0" borderId="0" xfId="1" applyFont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32" fillId="0" borderId="3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64" fontId="23" fillId="0" borderId="0" xfId="1" applyFont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64" fontId="15" fillId="0" borderId="0" xfId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7" fillId="0" borderId="14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22" fillId="3" borderId="22" xfId="0" applyFont="1" applyFill="1" applyBorder="1" applyAlignment="1">
      <alignment horizontal="center" vertical="center"/>
    </xf>
    <xf numFmtId="0" fontId="22" fillId="3" borderId="43" xfId="0" applyFont="1" applyFill="1" applyBorder="1" applyAlignment="1">
      <alignment horizontal="center" vertical="center"/>
    </xf>
    <xf numFmtId="164" fontId="21" fillId="0" borderId="0" xfId="1" applyFont="1" applyAlignment="1">
      <alignment horizontal="center" vertical="center"/>
    </xf>
    <xf numFmtId="164" fontId="22" fillId="0" borderId="0" xfId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64" fontId="0" fillId="0" borderId="0" xfId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2" fillId="3" borderId="44" xfId="0" applyFont="1" applyFill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vi Hazlinda" id="{ED09D953-B9B0-4884-8567-EEA96E8DD8D1}" userId="db9b474228dc75f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5-05-14T03:54:15.86" personId="{ED09D953-B9B0-4884-8567-EEA96E8DD8D1}" id="{7502F96F-9B8F-4C68-BFF1-CBDC2E199965}">
    <text>Simp. Wajib : 100.000
Simp. Pokok : 200.000
Berlaku hanya awal</text>
  </threadedComment>
  <threadedComment ref="C11" dT="2025-07-11T06:45:54.55" personId="{ED09D953-B9B0-4884-8567-EEA96E8DD8D1}" id="{CDAB00CE-140C-45BB-8888-EDF991CA4677}">
    <text>Simp. Wajib : 100.000
Simp. Pokok : 200.000
Berlaku hanya awal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view="pageBreakPreview" zoomScaleSheetLayoutView="100" workbookViewId="0">
      <selection activeCell="D41" sqref="D41"/>
    </sheetView>
  </sheetViews>
  <sheetFormatPr defaultRowHeight="14.5" x14ac:dyDescent="0.35"/>
  <cols>
    <col min="1" max="1" width="7.453125" customWidth="1"/>
    <col min="4" max="4" width="18.7265625" customWidth="1"/>
    <col min="5" max="5" width="24.1796875" customWidth="1"/>
  </cols>
  <sheetData>
    <row r="1" spans="1:5" ht="20" x14ac:dyDescent="0.4">
      <c r="A1" s="233" t="s">
        <v>23</v>
      </c>
      <c r="B1" s="233"/>
      <c r="C1" s="233"/>
      <c r="D1" s="233"/>
      <c r="E1" s="233"/>
    </row>
    <row r="2" spans="1:5" ht="20" x14ac:dyDescent="0.4">
      <c r="A2" s="233" t="s">
        <v>55</v>
      </c>
      <c r="B2" s="233"/>
      <c r="C2" s="233"/>
      <c r="D2" s="233"/>
      <c r="E2" s="233"/>
    </row>
    <row r="3" spans="1:5" ht="20.5" thickBot="1" x14ac:dyDescent="0.45">
      <c r="A3" s="234" t="s">
        <v>38</v>
      </c>
      <c r="B3" s="234"/>
      <c r="C3" s="234"/>
      <c r="D3" s="234"/>
      <c r="E3" s="234"/>
    </row>
    <row r="4" spans="1:5" x14ac:dyDescent="0.35">
      <c r="A4" s="11"/>
      <c r="B4" s="11"/>
      <c r="C4" s="11"/>
      <c r="D4" s="11"/>
      <c r="E4" s="11"/>
    </row>
    <row r="5" spans="1:5" ht="18.5" x14ac:dyDescent="0.45">
      <c r="A5" s="12">
        <v>1</v>
      </c>
      <c r="B5" s="13" t="s">
        <v>24</v>
      </c>
      <c r="C5" s="13"/>
      <c r="D5" s="13"/>
      <c r="E5" s="14">
        <f>'Khusus &amp; reguler'!I13</f>
        <v>0</v>
      </c>
    </row>
    <row r="6" spans="1:5" ht="18.5" x14ac:dyDescent="0.45">
      <c r="A6" s="13"/>
      <c r="B6" s="15"/>
      <c r="C6" s="15"/>
      <c r="D6" s="16"/>
      <c r="E6" s="16"/>
    </row>
    <row r="7" spans="1:5" ht="18.5" x14ac:dyDescent="0.45">
      <c r="A7" s="12">
        <v>2</v>
      </c>
      <c r="B7" s="13" t="s">
        <v>25</v>
      </c>
      <c r="C7" s="17"/>
      <c r="D7" s="16"/>
      <c r="E7" s="14"/>
    </row>
    <row r="8" spans="1:5" ht="18.5" x14ac:dyDescent="0.45">
      <c r="A8" s="12"/>
      <c r="B8" s="13" t="s">
        <v>26</v>
      </c>
      <c r="C8" s="17"/>
      <c r="D8" s="16"/>
      <c r="E8" s="14">
        <f>'DKI (2)'!E8+'DKI(LUNAS)'!E7</f>
        <v>0</v>
      </c>
    </row>
    <row r="9" spans="1:5" ht="18.5" x14ac:dyDescent="0.45">
      <c r="A9" s="12"/>
      <c r="B9" s="26" t="s">
        <v>27</v>
      </c>
      <c r="C9" s="17"/>
      <c r="D9" s="16"/>
      <c r="E9" s="14">
        <f>BRIS!E8</f>
        <v>0</v>
      </c>
    </row>
    <row r="10" spans="1:5" ht="19" thickBot="1" x14ac:dyDescent="0.5">
      <c r="A10" s="27"/>
      <c r="B10" s="18"/>
      <c r="C10" s="18"/>
      <c r="D10" s="18"/>
      <c r="E10" s="36"/>
    </row>
    <row r="11" spans="1:5" ht="19" thickBot="1" x14ac:dyDescent="0.5">
      <c r="A11" s="235" t="s">
        <v>28</v>
      </c>
      <c r="B11" s="236"/>
      <c r="C11" s="236"/>
      <c r="D11" s="237"/>
      <c r="E11" s="40">
        <f>SUM(E5:E9)</f>
        <v>0</v>
      </c>
    </row>
    <row r="12" spans="1:5" ht="18.5" x14ac:dyDescent="0.45">
      <c r="A12" s="19">
        <v>3</v>
      </c>
      <c r="B12" s="20" t="s">
        <v>29</v>
      </c>
      <c r="C12" s="21"/>
      <c r="D12" s="22"/>
      <c r="E12" s="23">
        <f>DAFTAR!C13</f>
        <v>400000</v>
      </c>
    </row>
    <row r="13" spans="1:5" ht="19" thickBot="1" x14ac:dyDescent="0.5">
      <c r="A13" s="35"/>
      <c r="B13" s="18"/>
      <c r="C13" s="18"/>
      <c r="D13" s="18"/>
      <c r="E13" s="36"/>
    </row>
    <row r="14" spans="1:5" ht="19" thickBot="1" x14ac:dyDescent="0.5">
      <c r="A14" s="238" t="s">
        <v>30</v>
      </c>
      <c r="B14" s="238"/>
      <c r="C14" s="238"/>
      <c r="D14" s="238"/>
      <c r="E14" s="41">
        <f>E11+E12</f>
        <v>400000</v>
      </c>
    </row>
    <row r="15" spans="1:5" x14ac:dyDescent="0.35">
      <c r="A15" s="2"/>
      <c r="E15" s="1"/>
    </row>
    <row r="16" spans="1:5" ht="15.5" x14ac:dyDescent="0.35">
      <c r="A16" s="24"/>
      <c r="B16" s="25"/>
      <c r="C16" s="25"/>
      <c r="D16" s="25"/>
      <c r="E16" s="25"/>
    </row>
    <row r="17" spans="1:5" x14ac:dyDescent="0.35">
      <c r="E17" s="2" t="s">
        <v>56</v>
      </c>
    </row>
    <row r="18" spans="1:5" ht="15.5" x14ac:dyDescent="0.35">
      <c r="A18" s="239" t="s">
        <v>12</v>
      </c>
      <c r="B18" s="239"/>
      <c r="C18" s="239"/>
      <c r="D18" s="39"/>
      <c r="E18" s="43" t="s">
        <v>18</v>
      </c>
    </row>
    <row r="19" spans="1:5" ht="15.5" x14ac:dyDescent="0.35">
      <c r="A19" s="39"/>
      <c r="B19" s="39"/>
      <c r="C19" s="39"/>
      <c r="D19" s="39"/>
      <c r="E19" s="43"/>
    </row>
    <row r="20" spans="1:5" ht="15.5" x14ac:dyDescent="0.35">
      <c r="A20" s="39"/>
      <c r="B20" s="39"/>
      <c r="C20" s="39"/>
      <c r="D20" s="39"/>
      <c r="E20" s="43"/>
    </row>
    <row r="21" spans="1:5" ht="15.5" x14ac:dyDescent="0.35">
      <c r="A21" s="39"/>
      <c r="B21" s="39"/>
      <c r="C21" s="39"/>
      <c r="D21" s="39"/>
      <c r="E21" s="43"/>
    </row>
    <row r="22" spans="1:5" ht="15.5" x14ac:dyDescent="0.35">
      <c r="A22" s="229" t="s">
        <v>45</v>
      </c>
      <c r="B22" s="229"/>
      <c r="C22" s="229"/>
      <c r="D22" s="39"/>
      <c r="E22" s="45" t="s">
        <v>54</v>
      </c>
    </row>
    <row r="24" spans="1:5" x14ac:dyDescent="0.35">
      <c r="D24" s="44" t="s">
        <v>48</v>
      </c>
    </row>
    <row r="25" spans="1:5" x14ac:dyDescent="0.35">
      <c r="D25" s="230"/>
    </row>
    <row r="26" spans="1:5" x14ac:dyDescent="0.35">
      <c r="D26" s="231"/>
    </row>
    <row r="27" spans="1:5" x14ac:dyDescent="0.35">
      <c r="D27" s="231"/>
    </row>
    <row r="28" spans="1:5" x14ac:dyDescent="0.35">
      <c r="D28" s="231"/>
    </row>
    <row r="29" spans="1:5" x14ac:dyDescent="0.35">
      <c r="D29" s="232"/>
    </row>
  </sheetData>
  <mergeCells count="8">
    <mergeCell ref="A22:C22"/>
    <mergeCell ref="D25:D29"/>
    <mergeCell ref="A1:E1"/>
    <mergeCell ref="A2:E2"/>
    <mergeCell ref="A3:E3"/>
    <mergeCell ref="A11:D11"/>
    <mergeCell ref="A14:D14"/>
    <mergeCell ref="A18:C18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view="pageBreakPreview" zoomScale="85" zoomScaleSheetLayoutView="85" workbookViewId="0">
      <selection activeCell="A15" sqref="A15:I15"/>
    </sheetView>
  </sheetViews>
  <sheetFormatPr defaultColWidth="9.1796875" defaultRowHeight="15.5" x14ac:dyDescent="0.35"/>
  <cols>
    <col min="1" max="1" width="7.453125" style="109" customWidth="1"/>
    <col min="2" max="2" width="42.81640625" style="108" customWidth="1"/>
    <col min="3" max="3" width="22.81640625" style="204" customWidth="1"/>
    <col min="4" max="4" width="22.81640625" style="108" customWidth="1"/>
    <col min="5" max="5" width="21" style="47" customWidth="1"/>
    <col min="6" max="6" width="20" style="47" customWidth="1"/>
    <col min="7" max="7" width="20.1796875" style="47" customWidth="1"/>
    <col min="8" max="8" width="20.54296875" style="47" customWidth="1"/>
    <col min="9" max="9" width="21.453125" style="109" customWidth="1"/>
    <col min="10" max="10" width="9.1796875" style="109"/>
    <col min="11" max="11" width="17.1796875" style="109" bestFit="1" customWidth="1"/>
    <col min="12" max="16384" width="9.1796875" style="109"/>
  </cols>
  <sheetData>
    <row r="1" spans="1:11" ht="25" customHeight="1" x14ac:dyDescent="0.35">
      <c r="A1" s="181" t="s">
        <v>0</v>
      </c>
      <c r="B1" s="181"/>
      <c r="C1" s="182"/>
      <c r="D1" s="181"/>
      <c r="E1" s="183"/>
      <c r="F1" s="183"/>
      <c r="G1" s="183"/>
      <c r="H1" s="183"/>
      <c r="I1" s="184"/>
    </row>
    <row r="2" spans="1:11" ht="25" customHeight="1" x14ac:dyDescent="0.35">
      <c r="A2" s="181" t="s">
        <v>5</v>
      </c>
      <c r="B2" s="181"/>
      <c r="C2" s="182"/>
      <c r="D2" s="181"/>
      <c r="E2" s="183"/>
      <c r="F2" s="183"/>
      <c r="G2" s="183"/>
      <c r="H2" s="183"/>
      <c r="I2" s="184"/>
    </row>
    <row r="3" spans="1:11" ht="25" customHeight="1" x14ac:dyDescent="0.35">
      <c r="A3" s="181" t="s">
        <v>88</v>
      </c>
      <c r="B3" s="181"/>
      <c r="C3" s="182"/>
      <c r="D3" s="181"/>
      <c r="E3" s="183"/>
      <c r="F3" s="183"/>
      <c r="G3" s="183"/>
      <c r="H3" s="183"/>
      <c r="I3" s="184"/>
    </row>
    <row r="4" spans="1:11" ht="25" customHeight="1" thickBot="1" x14ac:dyDescent="0.4">
      <c r="A4" s="185"/>
      <c r="B4" s="107"/>
      <c r="C4" s="186"/>
      <c r="D4" s="107"/>
      <c r="E4" s="185"/>
      <c r="F4" s="185"/>
      <c r="G4" s="185"/>
      <c r="H4" s="185"/>
      <c r="I4" s="185"/>
    </row>
    <row r="5" spans="1:11" ht="25" customHeight="1" x14ac:dyDescent="0.35">
      <c r="A5" s="245" t="s">
        <v>1</v>
      </c>
      <c r="B5" s="245" t="s">
        <v>2</v>
      </c>
      <c r="C5" s="249" t="s">
        <v>75</v>
      </c>
      <c r="D5" s="247" t="s">
        <v>73</v>
      </c>
      <c r="E5" s="242" t="s">
        <v>39</v>
      </c>
      <c r="F5" s="242" t="s">
        <v>40</v>
      </c>
      <c r="G5" s="242" t="s">
        <v>41</v>
      </c>
      <c r="H5" s="242" t="s">
        <v>42</v>
      </c>
      <c r="I5" s="242" t="s">
        <v>4</v>
      </c>
      <c r="K5" s="109" t="s">
        <v>46</v>
      </c>
    </row>
    <row r="6" spans="1:11" ht="25" customHeight="1" thickBot="1" x14ac:dyDescent="0.4">
      <c r="A6" s="246"/>
      <c r="B6" s="246"/>
      <c r="C6" s="250"/>
      <c r="D6" s="248"/>
      <c r="E6" s="243"/>
      <c r="F6" s="243"/>
      <c r="G6" s="243"/>
      <c r="H6" s="243"/>
      <c r="I6" s="243"/>
    </row>
    <row r="7" spans="1:11" ht="16.5" customHeight="1" thickBot="1" x14ac:dyDescent="0.4">
      <c r="A7" s="48">
        <v>1</v>
      </c>
      <c r="B7" s="48">
        <v>2</v>
      </c>
      <c r="C7" s="187"/>
      <c r="D7" s="48"/>
      <c r="E7" s="48">
        <v>3</v>
      </c>
      <c r="F7" s="48">
        <v>4</v>
      </c>
      <c r="G7" s="48"/>
      <c r="H7" s="48"/>
      <c r="I7" s="48" t="s">
        <v>22</v>
      </c>
    </row>
    <row r="8" spans="1:11" ht="25" customHeight="1" x14ac:dyDescent="0.35">
      <c r="A8" s="125">
        <v>1</v>
      </c>
      <c r="B8" s="49" t="s">
        <v>77</v>
      </c>
      <c r="C8" s="124"/>
      <c r="D8" s="49"/>
      <c r="E8" s="177">
        <v>0</v>
      </c>
      <c r="F8" s="178">
        <v>0</v>
      </c>
      <c r="G8" s="178">
        <v>0</v>
      </c>
      <c r="H8" s="179">
        <v>0</v>
      </c>
      <c r="I8" s="126">
        <f t="shared" ref="I8:I12" si="0">SUM(C8:H8)</f>
        <v>0</v>
      </c>
      <c r="K8" s="127"/>
    </row>
    <row r="9" spans="1:11" ht="25" customHeight="1" x14ac:dyDescent="0.35">
      <c r="A9" s="125">
        <v>2</v>
      </c>
      <c r="B9" s="49" t="s">
        <v>59</v>
      </c>
      <c r="C9" s="124"/>
      <c r="D9" s="49"/>
      <c r="E9" s="177">
        <v>0</v>
      </c>
      <c r="F9" s="178">
        <v>0</v>
      </c>
      <c r="G9" s="178">
        <v>0</v>
      </c>
      <c r="H9" s="178">
        <v>0</v>
      </c>
      <c r="I9" s="126">
        <f t="shared" si="0"/>
        <v>0</v>
      </c>
      <c r="J9" s="108"/>
      <c r="K9" s="188"/>
    </row>
    <row r="10" spans="1:11" ht="25" customHeight="1" x14ac:dyDescent="0.35">
      <c r="A10" s="125">
        <v>3</v>
      </c>
      <c r="B10" s="49" t="s">
        <v>62</v>
      </c>
      <c r="C10" s="124"/>
      <c r="D10" s="49"/>
      <c r="E10" s="177">
        <v>0</v>
      </c>
      <c r="F10" s="178">
        <v>0</v>
      </c>
      <c r="G10" s="178">
        <v>0</v>
      </c>
      <c r="H10" s="178">
        <v>0</v>
      </c>
      <c r="I10" s="126">
        <f t="shared" si="0"/>
        <v>0</v>
      </c>
      <c r="K10" s="127"/>
    </row>
    <row r="11" spans="1:11" ht="25" customHeight="1" x14ac:dyDescent="0.35">
      <c r="A11" s="125">
        <v>4</v>
      </c>
      <c r="B11" s="49" t="s">
        <v>60</v>
      </c>
      <c r="C11" s="124"/>
      <c r="D11" s="49"/>
      <c r="E11" s="177">
        <v>0</v>
      </c>
      <c r="F11" s="178">
        <v>0</v>
      </c>
      <c r="G11" s="178">
        <v>0</v>
      </c>
      <c r="H11" s="178">
        <v>0</v>
      </c>
      <c r="I11" s="126">
        <f t="shared" si="0"/>
        <v>0</v>
      </c>
      <c r="K11" s="127"/>
    </row>
    <row r="12" spans="1:11" ht="25" customHeight="1" thickBot="1" x14ac:dyDescent="0.4">
      <c r="A12" s="125">
        <v>5</v>
      </c>
      <c r="B12" s="49" t="s">
        <v>84</v>
      </c>
      <c r="C12" s="124"/>
      <c r="D12" s="49"/>
      <c r="E12" s="177">
        <v>0</v>
      </c>
      <c r="F12" s="178">
        <v>0</v>
      </c>
      <c r="G12" s="178">
        <v>0</v>
      </c>
      <c r="H12" s="179">
        <v>0</v>
      </c>
      <c r="I12" s="126">
        <f t="shared" si="0"/>
        <v>0</v>
      </c>
      <c r="K12" s="127"/>
    </row>
    <row r="13" spans="1:11" ht="25" customHeight="1" thickBot="1" x14ac:dyDescent="0.4">
      <c r="A13" s="189"/>
      <c r="B13" s="189" t="s">
        <v>30</v>
      </c>
      <c r="C13" s="190">
        <f t="shared" ref="C13:I13" si="1">SUM(C8:C12)</f>
        <v>0</v>
      </c>
      <c r="D13" s="190">
        <f t="shared" si="1"/>
        <v>0</v>
      </c>
      <c r="E13" s="190">
        <f t="shared" si="1"/>
        <v>0</v>
      </c>
      <c r="F13" s="190">
        <f t="shared" si="1"/>
        <v>0</v>
      </c>
      <c r="G13" s="190">
        <f t="shared" si="1"/>
        <v>0</v>
      </c>
      <c r="H13" s="190">
        <f t="shared" si="1"/>
        <v>0</v>
      </c>
      <c r="I13" s="190">
        <f t="shared" si="1"/>
        <v>0</v>
      </c>
      <c r="K13" s="127"/>
    </row>
    <row r="14" spans="1:11" ht="25" customHeight="1" x14ac:dyDescent="0.35">
      <c r="A14" s="191" t="s">
        <v>34</v>
      </c>
      <c r="B14" s="191"/>
      <c r="C14" s="192"/>
      <c r="D14" s="191"/>
      <c r="E14" s="193"/>
      <c r="F14" s="193"/>
      <c r="G14" s="193"/>
      <c r="H14" s="193"/>
      <c r="I14" s="193"/>
      <c r="J14" s="194"/>
    </row>
    <row r="15" spans="1:11" ht="16.5" x14ac:dyDescent="0.35">
      <c r="A15" s="244" t="e">
        <v>#NAME?</v>
      </c>
      <c r="B15" s="244"/>
      <c r="C15" s="244"/>
      <c r="D15" s="244"/>
      <c r="E15" s="244"/>
      <c r="F15" s="244"/>
      <c r="G15" s="244"/>
      <c r="H15" s="244"/>
      <c r="I15" s="244"/>
    </row>
    <row r="16" spans="1:11" x14ac:dyDescent="0.35">
      <c r="A16" s="185"/>
      <c r="B16" s="107"/>
      <c r="C16" s="186"/>
      <c r="D16" s="107"/>
      <c r="E16" s="185"/>
      <c r="F16" s="185"/>
      <c r="G16" s="185"/>
      <c r="H16" s="185"/>
      <c r="I16" s="185"/>
    </row>
    <row r="17" spans="1:9" ht="17.5" x14ac:dyDescent="0.35">
      <c r="A17" s="185"/>
      <c r="B17" s="195"/>
      <c r="C17" s="196"/>
      <c r="D17" s="195"/>
      <c r="E17" s="195"/>
      <c r="F17" s="240" t="s">
        <v>89</v>
      </c>
      <c r="G17" s="240"/>
      <c r="H17" s="240"/>
      <c r="I17" s="240"/>
    </row>
    <row r="18" spans="1:9" ht="17.5" x14ac:dyDescent="0.35">
      <c r="A18" s="185"/>
      <c r="B18" s="197" t="s">
        <v>12</v>
      </c>
      <c r="C18" s="198"/>
      <c r="D18" s="197"/>
      <c r="E18" s="195"/>
      <c r="F18" s="240" t="s">
        <v>18</v>
      </c>
      <c r="G18" s="240"/>
      <c r="H18" s="240"/>
      <c r="I18" s="240"/>
    </row>
    <row r="19" spans="1:9" ht="17.5" x14ac:dyDescent="0.35">
      <c r="A19" s="185"/>
      <c r="B19" s="195"/>
      <c r="C19" s="196"/>
      <c r="D19" s="195"/>
      <c r="E19" s="195"/>
      <c r="F19" s="199"/>
      <c r="G19" s="199"/>
      <c r="H19" s="199"/>
      <c r="I19" s="200"/>
    </row>
    <row r="20" spans="1:9" ht="17.5" x14ac:dyDescent="0.35">
      <c r="A20" s="185"/>
      <c r="B20" s="195"/>
      <c r="C20" s="196"/>
      <c r="D20" s="195"/>
      <c r="E20" s="195"/>
      <c r="F20" s="199"/>
      <c r="G20" s="199"/>
      <c r="H20" s="199"/>
      <c r="I20" s="200"/>
    </row>
    <row r="21" spans="1:9" ht="17.5" x14ac:dyDescent="0.35">
      <c r="A21" s="185"/>
      <c r="B21" s="195"/>
      <c r="C21" s="196"/>
      <c r="D21" s="195"/>
      <c r="E21" s="195"/>
      <c r="F21" s="199"/>
      <c r="G21" s="199"/>
      <c r="H21" s="199"/>
      <c r="I21" s="200"/>
    </row>
    <row r="22" spans="1:9" ht="17.5" x14ac:dyDescent="0.35">
      <c r="A22" s="185"/>
      <c r="B22" s="201" t="s">
        <v>81</v>
      </c>
      <c r="C22" s="202"/>
      <c r="D22" s="201"/>
      <c r="E22" s="203"/>
      <c r="F22" s="241" t="s">
        <v>57</v>
      </c>
      <c r="G22" s="241"/>
      <c r="H22" s="241"/>
      <c r="I22" s="241"/>
    </row>
  </sheetData>
  <sortState xmlns:xlrd2="http://schemas.microsoft.com/office/spreadsheetml/2017/richdata2" ref="B8:I31">
    <sortCondition ref="B8"/>
  </sortState>
  <mergeCells count="13">
    <mergeCell ref="F17:I17"/>
    <mergeCell ref="F18:I18"/>
    <mergeCell ref="F22:I22"/>
    <mergeCell ref="G5:G6"/>
    <mergeCell ref="H5:H6"/>
    <mergeCell ref="A15:I15"/>
    <mergeCell ref="A5:A6"/>
    <mergeCell ref="B5:B6"/>
    <mergeCell ref="E5:E6"/>
    <mergeCell ref="F5:F6"/>
    <mergeCell ref="I5:I6"/>
    <mergeCell ref="D5:D6"/>
    <mergeCell ref="C5:C6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47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view="pageBreakPreview" zoomScaleSheetLayoutView="100" workbookViewId="0">
      <selection activeCell="I20" sqref="I20"/>
    </sheetView>
  </sheetViews>
  <sheetFormatPr defaultRowHeight="14.5" x14ac:dyDescent="0.35"/>
  <cols>
    <col min="1" max="1" width="7.453125" customWidth="1"/>
    <col min="4" max="4" width="18.7265625" customWidth="1"/>
    <col min="5" max="5" width="26.7265625" customWidth="1"/>
    <col min="8" max="8" width="0" hidden="1" customWidth="1"/>
  </cols>
  <sheetData>
    <row r="1" spans="1:5" ht="20" x14ac:dyDescent="0.4">
      <c r="A1" s="233" t="s">
        <v>23</v>
      </c>
      <c r="B1" s="233"/>
      <c r="C1" s="233"/>
      <c r="D1" s="233"/>
      <c r="E1" s="233"/>
    </row>
    <row r="2" spans="1:5" ht="20" x14ac:dyDescent="0.4">
      <c r="A2" s="233" t="s">
        <v>82</v>
      </c>
      <c r="B2" s="233"/>
      <c r="C2" s="233"/>
      <c r="D2" s="233"/>
      <c r="E2" s="233"/>
    </row>
    <row r="3" spans="1:5" ht="20" x14ac:dyDescent="0.4">
      <c r="A3" s="233" t="s">
        <v>63</v>
      </c>
      <c r="B3" s="233"/>
      <c r="C3" s="233"/>
      <c r="D3" s="233"/>
      <c r="E3" s="233"/>
    </row>
    <row r="4" spans="1:5" ht="20" x14ac:dyDescent="0.4">
      <c r="A4" s="253" t="s">
        <v>38</v>
      </c>
      <c r="B4" s="253"/>
      <c r="C4" s="253"/>
      <c r="D4" s="253"/>
      <c r="E4" s="253"/>
    </row>
    <row r="5" spans="1:5" ht="20.5" thickBot="1" x14ac:dyDescent="0.45">
      <c r="A5" s="46"/>
      <c r="B5" s="46"/>
      <c r="C5" s="46"/>
      <c r="D5" s="46"/>
      <c r="E5" s="46"/>
    </row>
    <row r="6" spans="1:5" ht="17.5" x14ac:dyDescent="0.35">
      <c r="A6" s="50">
        <v>1</v>
      </c>
      <c r="B6" s="51" t="s">
        <v>24</v>
      </c>
      <c r="C6" s="52"/>
      <c r="D6" s="53"/>
      <c r="E6" s="54">
        <f>'Khusus &amp; reguler'!I13</f>
        <v>0</v>
      </c>
    </row>
    <row r="7" spans="1:5" ht="17.5" x14ac:dyDescent="0.35">
      <c r="A7" s="55"/>
      <c r="B7" s="56"/>
      <c r="C7" s="56"/>
      <c r="D7" s="56"/>
      <c r="E7" s="55"/>
    </row>
    <row r="8" spans="1:5" ht="17.5" x14ac:dyDescent="0.35">
      <c r="A8" s="57">
        <v>2</v>
      </c>
      <c r="B8" s="58" t="s">
        <v>25</v>
      </c>
      <c r="C8" s="59"/>
      <c r="D8" s="56"/>
      <c r="E8" s="60"/>
    </row>
    <row r="9" spans="1:5" ht="17.5" x14ac:dyDescent="0.35">
      <c r="A9" s="57"/>
      <c r="B9" s="61" t="s">
        <v>72</v>
      </c>
      <c r="C9" s="59"/>
      <c r="D9" s="56"/>
      <c r="E9" s="60">
        <f>BRIS!E8</f>
        <v>0</v>
      </c>
    </row>
    <row r="10" spans="1:5" ht="17.5" x14ac:dyDescent="0.35">
      <c r="A10" s="57"/>
      <c r="B10" s="58" t="s">
        <v>74</v>
      </c>
      <c r="C10" s="59"/>
      <c r="D10" s="56"/>
      <c r="E10" s="60" t="e">
        <f>#REF!</f>
        <v>#REF!</v>
      </c>
    </row>
    <row r="11" spans="1:5" ht="18" thickBot="1" x14ac:dyDescent="0.4">
      <c r="A11" s="57"/>
      <c r="B11" s="58" t="s">
        <v>76</v>
      </c>
      <c r="C11" s="105"/>
      <c r="D11" s="105"/>
      <c r="E11" s="106" t="e">
        <f>#REF!</f>
        <v>#REF!</v>
      </c>
    </row>
    <row r="12" spans="1:5" ht="18" thickBot="1" x14ac:dyDescent="0.4">
      <c r="A12" s="254" t="s">
        <v>28</v>
      </c>
      <c r="B12" s="255"/>
      <c r="C12" s="255"/>
      <c r="D12" s="255"/>
      <c r="E12" s="63" t="e">
        <f>SUM(E6:E11)</f>
        <v>#REF!</v>
      </c>
    </row>
    <row r="13" spans="1:5" ht="17.5" x14ac:dyDescent="0.35">
      <c r="A13" s="50">
        <v>3</v>
      </c>
      <c r="B13" s="64" t="s">
        <v>29</v>
      </c>
      <c r="C13" s="64"/>
      <c r="D13" s="64"/>
      <c r="E13" s="65">
        <f>DAFTAR!C13</f>
        <v>400000</v>
      </c>
    </row>
    <row r="14" spans="1:5" ht="18" thickBot="1" x14ac:dyDescent="0.4">
      <c r="A14" s="66">
        <v>4</v>
      </c>
      <c r="B14" s="256" t="s">
        <v>61</v>
      </c>
      <c r="C14" s="256"/>
      <c r="D14" s="256"/>
      <c r="E14" s="62">
        <f>DAFTAR!D13</f>
        <v>0</v>
      </c>
    </row>
    <row r="15" spans="1:5" ht="18" thickBot="1" x14ac:dyDescent="0.4">
      <c r="A15" s="251" t="s">
        <v>30</v>
      </c>
      <c r="B15" s="251"/>
      <c r="C15" s="251"/>
      <c r="D15" s="252"/>
      <c r="E15" s="67" t="e">
        <f>E12+E13+E14</f>
        <v>#REF!</v>
      </c>
    </row>
    <row r="16" spans="1:5" x14ac:dyDescent="0.35">
      <c r="A16" s="68"/>
      <c r="B16" s="69"/>
      <c r="C16" s="69"/>
      <c r="D16" s="69"/>
      <c r="E16" s="70"/>
    </row>
    <row r="17" spans="1:5" ht="15.5" x14ac:dyDescent="0.35">
      <c r="A17" s="43"/>
      <c r="B17" s="39"/>
      <c r="C17" s="39"/>
      <c r="D17" s="39"/>
      <c r="E17" s="39"/>
    </row>
    <row r="18" spans="1:5" x14ac:dyDescent="0.35">
      <c r="A18" s="69"/>
      <c r="B18" s="69"/>
      <c r="C18" s="69"/>
      <c r="D18" s="69"/>
      <c r="E18" s="68" t="s">
        <v>83</v>
      </c>
    </row>
    <row r="19" spans="1:5" ht="15.5" x14ac:dyDescent="0.35">
      <c r="A19" s="239" t="s">
        <v>12</v>
      </c>
      <c r="B19" s="239"/>
      <c r="C19" s="239"/>
      <c r="D19" s="39"/>
      <c r="E19" s="43" t="s">
        <v>18</v>
      </c>
    </row>
    <row r="20" spans="1:5" ht="15.5" x14ac:dyDescent="0.35">
      <c r="A20" s="39"/>
      <c r="B20" s="39"/>
      <c r="C20" s="39"/>
      <c r="D20" s="39"/>
      <c r="E20" s="43"/>
    </row>
    <row r="21" spans="1:5" ht="15.5" x14ac:dyDescent="0.35">
      <c r="A21" s="39"/>
      <c r="B21" s="39"/>
      <c r="C21" s="39"/>
      <c r="D21" s="39"/>
      <c r="E21" s="43"/>
    </row>
    <row r="22" spans="1:5" ht="15.5" x14ac:dyDescent="0.35">
      <c r="A22" s="39"/>
      <c r="B22" s="39"/>
      <c r="C22" s="39"/>
      <c r="D22" s="39"/>
      <c r="E22" s="43"/>
    </row>
    <row r="23" spans="1:5" ht="15.5" x14ac:dyDescent="0.35">
      <c r="A23" s="229" t="s">
        <v>81</v>
      </c>
      <c r="B23" s="229"/>
      <c r="C23" s="229"/>
      <c r="D23" s="39"/>
      <c r="E23" s="45" t="s">
        <v>57</v>
      </c>
    </row>
  </sheetData>
  <mergeCells count="9">
    <mergeCell ref="A15:D15"/>
    <mergeCell ref="A19:C19"/>
    <mergeCell ref="A23:C23"/>
    <mergeCell ref="A1:E1"/>
    <mergeCell ref="A2:E2"/>
    <mergeCell ref="A3:E3"/>
    <mergeCell ref="A4:E4"/>
    <mergeCell ref="A12:D12"/>
    <mergeCell ref="B14:D14"/>
  </mergeCells>
  <printOptions horizontalCentered="1"/>
  <pageMargins left="0.70866141732283505" right="0.70866141732283505" top="0.74803149606299202" bottom="0.74803149606299202" header="0.31496062992126" footer="0.31496062992126"/>
  <pageSetup paperSize="9" scale="120" orientation="portrait" horizontalDpi="120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view="pageBreakPreview" zoomScaleSheetLayoutView="100" workbookViewId="0">
      <selection activeCell="L6" sqref="L6"/>
    </sheetView>
  </sheetViews>
  <sheetFormatPr defaultRowHeight="14.5" x14ac:dyDescent="0.35"/>
  <cols>
    <col min="1" max="1" width="7.453125" customWidth="1"/>
    <col min="4" max="4" width="18.7265625" customWidth="1"/>
    <col min="5" max="5" width="26.7265625" customWidth="1"/>
    <col min="8" max="8" width="0" hidden="1" customWidth="1"/>
  </cols>
  <sheetData>
    <row r="1" spans="1:5" ht="20" x14ac:dyDescent="0.4">
      <c r="A1" s="233" t="s">
        <v>23</v>
      </c>
      <c r="B1" s="233"/>
      <c r="C1" s="233"/>
      <c r="D1" s="233"/>
      <c r="E1" s="233"/>
    </row>
    <row r="2" spans="1:5" ht="20" x14ac:dyDescent="0.4">
      <c r="A2" s="233" t="s">
        <v>85</v>
      </c>
      <c r="B2" s="233"/>
      <c r="C2" s="233"/>
      <c r="D2" s="233"/>
      <c r="E2" s="233"/>
    </row>
    <row r="3" spans="1:5" ht="20" x14ac:dyDescent="0.4">
      <c r="A3" s="233" t="s">
        <v>63</v>
      </c>
      <c r="B3" s="233"/>
      <c r="C3" s="233"/>
      <c r="D3" s="233"/>
      <c r="E3" s="233"/>
    </row>
    <row r="4" spans="1:5" ht="20" x14ac:dyDescent="0.4">
      <c r="A4" s="253" t="s">
        <v>38</v>
      </c>
      <c r="B4" s="253"/>
      <c r="C4" s="253"/>
      <c r="D4" s="253"/>
      <c r="E4" s="253"/>
    </row>
    <row r="5" spans="1:5" ht="20.5" thickBot="1" x14ac:dyDescent="0.45">
      <c r="A5" s="46"/>
      <c r="B5" s="46"/>
      <c r="C5" s="46"/>
      <c r="D5" s="46"/>
      <c r="E5" s="46"/>
    </row>
    <row r="6" spans="1:5" ht="17.5" x14ac:dyDescent="0.35">
      <c r="A6" s="50">
        <v>1</v>
      </c>
      <c r="B6" s="51" t="s">
        <v>24</v>
      </c>
      <c r="C6" s="52"/>
      <c r="D6" s="53"/>
      <c r="E6" s="54">
        <f>'Khusus &amp; reguler'!I13</f>
        <v>0</v>
      </c>
    </row>
    <row r="7" spans="1:5" ht="17.5" x14ac:dyDescent="0.35">
      <c r="A7" s="55"/>
      <c r="B7" s="56"/>
      <c r="C7" s="56"/>
      <c r="D7" s="56"/>
      <c r="E7" s="55"/>
    </row>
    <row r="8" spans="1:5" ht="17.5" x14ac:dyDescent="0.35">
      <c r="A8" s="57">
        <v>2</v>
      </c>
      <c r="B8" s="58" t="s">
        <v>25</v>
      </c>
      <c r="C8" s="59"/>
      <c r="D8" s="56"/>
      <c r="E8" s="60"/>
    </row>
    <row r="9" spans="1:5" ht="17.5" x14ac:dyDescent="0.35">
      <c r="A9" s="57"/>
      <c r="B9" s="61" t="s">
        <v>72</v>
      </c>
      <c r="C9" s="59"/>
      <c r="D9" s="56"/>
      <c r="E9" s="60">
        <f>BRIS!E8</f>
        <v>0</v>
      </c>
    </row>
    <row r="10" spans="1:5" ht="17.5" x14ac:dyDescent="0.35">
      <c r="A10" s="57"/>
      <c r="B10" s="58" t="s">
        <v>74</v>
      </c>
      <c r="C10" s="59"/>
      <c r="D10" s="56"/>
      <c r="E10" s="60" t="e">
        <f>#REF!</f>
        <v>#REF!</v>
      </c>
    </row>
    <row r="11" spans="1:5" ht="18" thickBot="1" x14ac:dyDescent="0.4">
      <c r="A11" s="57"/>
      <c r="B11" s="58" t="s">
        <v>76</v>
      </c>
      <c r="C11" s="105"/>
      <c r="D11" s="105"/>
      <c r="E11" s="106" t="e">
        <f>#REF!</f>
        <v>#REF!</v>
      </c>
    </row>
    <row r="12" spans="1:5" ht="18" thickBot="1" x14ac:dyDescent="0.4">
      <c r="A12" s="254" t="s">
        <v>28</v>
      </c>
      <c r="B12" s="255"/>
      <c r="C12" s="255"/>
      <c r="D12" s="255"/>
      <c r="E12" s="63" t="e">
        <f>SUM(E6:E11)</f>
        <v>#REF!</v>
      </c>
    </row>
    <row r="13" spans="1:5" ht="17.5" x14ac:dyDescent="0.35">
      <c r="A13" s="50">
        <v>3</v>
      </c>
      <c r="B13" s="64" t="s">
        <v>29</v>
      </c>
      <c r="C13" s="64"/>
      <c r="D13" s="64"/>
      <c r="E13" s="65">
        <f>DAFTAR!C13</f>
        <v>400000</v>
      </c>
    </row>
    <row r="14" spans="1:5" ht="18" thickBot="1" x14ac:dyDescent="0.4">
      <c r="A14" s="66">
        <v>4</v>
      </c>
      <c r="B14" s="256" t="s">
        <v>61</v>
      </c>
      <c r="C14" s="256"/>
      <c r="D14" s="256"/>
      <c r="E14" s="62">
        <f>DAFTAR!D13</f>
        <v>0</v>
      </c>
    </row>
    <row r="15" spans="1:5" ht="18" thickBot="1" x14ac:dyDescent="0.4">
      <c r="A15" s="251" t="s">
        <v>30</v>
      </c>
      <c r="B15" s="251"/>
      <c r="C15" s="251"/>
      <c r="D15" s="252"/>
      <c r="E15" s="67" t="e">
        <f>E12+E13+E14</f>
        <v>#REF!</v>
      </c>
    </row>
    <row r="16" spans="1:5" x14ac:dyDescent="0.35">
      <c r="A16" s="68"/>
      <c r="B16" s="69"/>
      <c r="C16" s="69"/>
      <c r="D16" s="69"/>
      <c r="E16" s="70"/>
    </row>
    <row r="17" spans="1:5" ht="15.5" x14ac:dyDescent="0.35">
      <c r="A17" s="43"/>
      <c r="B17" s="39"/>
      <c r="C17" s="39"/>
      <c r="D17" s="39"/>
      <c r="E17" s="39"/>
    </row>
    <row r="18" spans="1:5" x14ac:dyDescent="0.35">
      <c r="A18" s="69"/>
      <c r="B18" s="69"/>
      <c r="C18" s="69"/>
      <c r="D18" s="69"/>
      <c r="E18" s="68" t="s">
        <v>86</v>
      </c>
    </row>
    <row r="19" spans="1:5" ht="15.5" x14ac:dyDescent="0.35">
      <c r="A19" s="239" t="s">
        <v>12</v>
      </c>
      <c r="B19" s="239"/>
      <c r="C19" s="239"/>
      <c r="D19" s="39"/>
      <c r="E19" s="43" t="s">
        <v>18</v>
      </c>
    </row>
    <row r="20" spans="1:5" ht="15.5" x14ac:dyDescent="0.35">
      <c r="A20" s="39"/>
      <c r="B20" s="39"/>
      <c r="C20" s="39"/>
      <c r="D20" s="39"/>
      <c r="E20" s="43"/>
    </row>
    <row r="21" spans="1:5" ht="15.5" x14ac:dyDescent="0.35">
      <c r="A21" s="39"/>
      <c r="B21" s="39"/>
      <c r="C21" s="39"/>
      <c r="D21" s="39"/>
      <c r="E21" s="43"/>
    </row>
    <row r="22" spans="1:5" ht="15.5" x14ac:dyDescent="0.35">
      <c r="A22" s="39"/>
      <c r="B22" s="39"/>
      <c r="C22" s="39"/>
      <c r="D22" s="39"/>
      <c r="E22" s="43"/>
    </row>
    <row r="23" spans="1:5" ht="15.5" x14ac:dyDescent="0.35">
      <c r="A23" s="229" t="s">
        <v>81</v>
      </c>
      <c r="B23" s="229"/>
      <c r="C23" s="229"/>
      <c r="D23" s="39"/>
      <c r="E23" s="45" t="s">
        <v>57</v>
      </c>
    </row>
  </sheetData>
  <mergeCells count="9">
    <mergeCell ref="A15:D15"/>
    <mergeCell ref="A19:C19"/>
    <mergeCell ref="A23:C23"/>
    <mergeCell ref="A1:E1"/>
    <mergeCell ref="A2:E2"/>
    <mergeCell ref="A3:E3"/>
    <mergeCell ref="A4:E4"/>
    <mergeCell ref="A12:D12"/>
    <mergeCell ref="B14:D14"/>
  </mergeCells>
  <printOptions horizontalCentered="1"/>
  <pageMargins left="0.70866141732283505" right="0.70866141732283505" top="0.74803149606299202" bottom="0.74803149606299202" header="0.31496062992126" footer="0.31496062992126"/>
  <pageSetup paperSize="9" scale="120" orientation="portrait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tabSelected="1" view="pageBreakPreview" zoomScale="90" zoomScaleSheetLayoutView="90" workbookViewId="0">
      <selection activeCell="E19" sqref="E19"/>
    </sheetView>
  </sheetViews>
  <sheetFormatPr defaultRowHeight="14.5" x14ac:dyDescent="0.35"/>
  <cols>
    <col min="1" max="1" width="7.453125" customWidth="1"/>
    <col min="4" max="4" width="18.7265625" customWidth="1"/>
    <col min="5" max="5" width="26.7265625" customWidth="1"/>
    <col min="8" max="8" width="0" hidden="1" customWidth="1"/>
  </cols>
  <sheetData>
    <row r="1" spans="1:5" ht="20" x14ac:dyDescent="0.4">
      <c r="A1" s="233" t="s">
        <v>23</v>
      </c>
      <c r="B1" s="233"/>
      <c r="C1" s="233"/>
      <c r="D1" s="233"/>
      <c r="E1" s="233"/>
    </row>
    <row r="2" spans="1:5" ht="20" x14ac:dyDescent="0.4">
      <c r="A2" s="233" t="s">
        <v>103</v>
      </c>
      <c r="B2" s="233"/>
      <c r="C2" s="233"/>
      <c r="D2" s="233"/>
      <c r="E2" s="233"/>
    </row>
    <row r="3" spans="1:5" ht="20" x14ac:dyDescent="0.4">
      <c r="A3" s="233" t="s">
        <v>63</v>
      </c>
      <c r="B3" s="233"/>
      <c r="C3" s="233"/>
      <c r="D3" s="233"/>
      <c r="E3" s="233"/>
    </row>
    <row r="4" spans="1:5" ht="20" x14ac:dyDescent="0.4">
      <c r="A4" s="253" t="s">
        <v>87</v>
      </c>
      <c r="B4" s="253"/>
      <c r="C4" s="253"/>
      <c r="D4" s="253"/>
      <c r="E4" s="253"/>
    </row>
    <row r="5" spans="1:5" ht="20.5" thickBot="1" x14ac:dyDescent="0.45">
      <c r="A5" s="46"/>
      <c r="B5" s="46"/>
      <c r="C5" s="46"/>
      <c r="D5" s="46"/>
      <c r="E5" s="46"/>
    </row>
    <row r="6" spans="1:5" ht="17.5" x14ac:dyDescent="0.35">
      <c r="A6" s="50">
        <v>1</v>
      </c>
      <c r="B6" s="51" t="s">
        <v>24</v>
      </c>
      <c r="C6" s="52"/>
      <c r="D6" s="53"/>
      <c r="E6" s="54">
        <f>'REGULER &amp; KHUSUS'!L11</f>
        <v>3410321</v>
      </c>
    </row>
    <row r="7" spans="1:5" ht="17.5" x14ac:dyDescent="0.35">
      <c r="A7" s="55"/>
      <c r="B7" s="56"/>
      <c r="C7" s="56"/>
      <c r="D7" s="56"/>
      <c r="E7" s="55"/>
    </row>
    <row r="8" spans="1:5" ht="17.5" x14ac:dyDescent="0.35">
      <c r="A8" s="57">
        <v>2</v>
      </c>
      <c r="B8" s="58" t="s">
        <v>25</v>
      </c>
      <c r="C8" s="59"/>
      <c r="D8" s="56"/>
      <c r="E8" s="60"/>
    </row>
    <row r="9" spans="1:5" ht="17.5" x14ac:dyDescent="0.35">
      <c r="A9" s="57"/>
      <c r="B9" s="61" t="s">
        <v>72</v>
      </c>
      <c r="C9" s="59"/>
      <c r="D9" s="56"/>
      <c r="E9" s="60">
        <f>BRIS!E8</f>
        <v>0</v>
      </c>
    </row>
    <row r="10" spans="1:5" ht="17.5" x14ac:dyDescent="0.35">
      <c r="A10" s="57"/>
      <c r="B10" s="58" t="s">
        <v>74</v>
      </c>
      <c r="C10" s="59"/>
      <c r="D10" s="56"/>
      <c r="E10" s="60">
        <v>0</v>
      </c>
    </row>
    <row r="11" spans="1:5" ht="18" thickBot="1" x14ac:dyDescent="0.4">
      <c r="A11" s="57"/>
      <c r="B11" s="58" t="s">
        <v>76</v>
      </c>
      <c r="C11" s="105"/>
      <c r="D11" s="105"/>
      <c r="E11" s="106">
        <v>0</v>
      </c>
    </row>
    <row r="12" spans="1:5" ht="18" thickBot="1" x14ac:dyDescent="0.4">
      <c r="A12" s="254" t="s">
        <v>28</v>
      </c>
      <c r="B12" s="255"/>
      <c r="C12" s="255"/>
      <c r="D12" s="255"/>
      <c r="E12" s="63">
        <f>SUM(E6:E11)</f>
        <v>3410321</v>
      </c>
    </row>
    <row r="13" spans="1:5" ht="17.5" x14ac:dyDescent="0.35">
      <c r="A13" s="50">
        <v>3</v>
      </c>
      <c r="B13" s="64" t="s">
        <v>29</v>
      </c>
      <c r="C13" s="64"/>
      <c r="D13" s="64"/>
      <c r="E13" s="65">
        <f>DAFTAR!C13</f>
        <v>400000</v>
      </c>
    </row>
    <row r="14" spans="1:5" ht="18" thickBot="1" x14ac:dyDescent="0.4">
      <c r="A14" s="66">
        <v>4</v>
      </c>
      <c r="B14" s="256" t="s">
        <v>61</v>
      </c>
      <c r="C14" s="256"/>
      <c r="D14" s="256"/>
      <c r="E14" s="62">
        <f>DAFTAR!D13</f>
        <v>0</v>
      </c>
    </row>
    <row r="15" spans="1:5" ht="18" thickBot="1" x14ac:dyDescent="0.4">
      <c r="A15" s="251" t="s">
        <v>30</v>
      </c>
      <c r="B15" s="251"/>
      <c r="C15" s="251"/>
      <c r="D15" s="252"/>
      <c r="E15" s="67">
        <f>E12+E13+E14</f>
        <v>3810321</v>
      </c>
    </row>
    <row r="16" spans="1:5" x14ac:dyDescent="0.35">
      <c r="A16" s="68"/>
      <c r="B16" s="69"/>
      <c r="C16" s="69"/>
      <c r="D16" s="69"/>
      <c r="E16" s="70"/>
    </row>
    <row r="17" spans="1:5" ht="15.5" x14ac:dyDescent="0.35">
      <c r="A17" s="43"/>
      <c r="B17" s="39"/>
      <c r="C17" s="39"/>
      <c r="D17" s="39"/>
      <c r="E17" s="39"/>
    </row>
    <row r="18" spans="1:5" x14ac:dyDescent="0.35">
      <c r="A18" s="69"/>
      <c r="B18" s="69"/>
      <c r="C18" s="69"/>
      <c r="D18" s="69"/>
      <c r="E18" s="68" t="s">
        <v>104</v>
      </c>
    </row>
    <row r="19" spans="1:5" ht="15.5" x14ac:dyDescent="0.35">
      <c r="A19" s="239" t="s">
        <v>12</v>
      </c>
      <c r="B19" s="239"/>
      <c r="C19" s="239"/>
      <c r="D19" s="39"/>
      <c r="E19" s="43" t="s">
        <v>18</v>
      </c>
    </row>
    <row r="20" spans="1:5" ht="15.5" x14ac:dyDescent="0.35">
      <c r="A20" s="39"/>
      <c r="B20" s="39"/>
      <c r="C20" s="39"/>
      <c r="D20" s="39"/>
      <c r="E20" s="43"/>
    </row>
    <row r="21" spans="1:5" ht="15.5" x14ac:dyDescent="0.35">
      <c r="A21" s="39"/>
      <c r="B21" s="39"/>
      <c r="C21" s="39"/>
      <c r="D21" s="39"/>
      <c r="E21" s="43"/>
    </row>
    <row r="22" spans="1:5" ht="15.5" x14ac:dyDescent="0.35">
      <c r="A22" s="39"/>
      <c r="B22" s="39"/>
      <c r="C22" s="39"/>
      <c r="D22" s="39"/>
      <c r="E22" s="43"/>
    </row>
    <row r="23" spans="1:5" ht="15.5" x14ac:dyDescent="0.35">
      <c r="A23" s="229" t="s">
        <v>93</v>
      </c>
      <c r="B23" s="229"/>
      <c r="C23" s="229"/>
      <c r="D23" s="39"/>
      <c r="E23" s="45" t="s">
        <v>92</v>
      </c>
    </row>
  </sheetData>
  <mergeCells count="9">
    <mergeCell ref="A19:C19"/>
    <mergeCell ref="A23:C23"/>
    <mergeCell ref="A1:E1"/>
    <mergeCell ref="A2:E2"/>
    <mergeCell ref="A4:E4"/>
    <mergeCell ref="A15:D15"/>
    <mergeCell ref="A12:D12"/>
    <mergeCell ref="B14:D14"/>
    <mergeCell ref="A3:E3"/>
  </mergeCells>
  <printOptions horizontalCentered="1"/>
  <pageMargins left="0.70866141732283505" right="0.70866141732283505" top="0.74803149606299202" bottom="0.74803149606299202" header="0.31496062992126" footer="0.31496062992126"/>
  <pageSetup paperSize="9" scale="12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view="pageBreakPreview" topLeftCell="A4" zoomScale="70" zoomScaleSheetLayoutView="70" workbookViewId="0">
      <selection activeCell="B16" sqref="B16"/>
    </sheetView>
  </sheetViews>
  <sheetFormatPr defaultColWidth="9.1796875" defaultRowHeight="21" x14ac:dyDescent="0.35"/>
  <cols>
    <col min="1" max="1" width="7.453125" style="130" customWidth="1"/>
    <col min="2" max="2" width="42.453125" style="156" customWidth="1"/>
    <col min="3" max="4" width="22.453125" style="130" customWidth="1"/>
    <col min="5" max="5" width="24" style="130" customWidth="1"/>
    <col min="6" max="6" width="23.81640625" style="130" customWidth="1"/>
    <col min="7" max="7" width="19.1796875" style="130" customWidth="1"/>
    <col min="8" max="8" width="7.81640625" style="130" customWidth="1"/>
    <col min="9" max="16384" width="9.1796875" style="130"/>
  </cols>
  <sheetData>
    <row r="1" spans="1:8" ht="25" customHeight="1" x14ac:dyDescent="0.35">
      <c r="A1" s="128" t="s">
        <v>65</v>
      </c>
      <c r="B1" s="128"/>
      <c r="C1" s="129"/>
      <c r="D1" s="129"/>
      <c r="E1" s="129"/>
      <c r="F1" s="129"/>
    </row>
    <row r="2" spans="1:8" ht="25" customHeight="1" x14ac:dyDescent="0.35">
      <c r="A2" s="128" t="s">
        <v>5</v>
      </c>
      <c r="B2" s="128"/>
      <c r="C2" s="129"/>
      <c r="D2" s="129"/>
      <c r="E2" s="129"/>
      <c r="F2" s="129"/>
    </row>
    <row r="3" spans="1:8" ht="25" customHeight="1" x14ac:dyDescent="0.35">
      <c r="A3" s="128" t="s">
        <v>105</v>
      </c>
      <c r="B3" s="128"/>
      <c r="C3" s="129"/>
      <c r="D3" s="129"/>
      <c r="E3" s="129"/>
      <c r="F3" s="129"/>
    </row>
    <row r="4" spans="1:8" ht="25" customHeight="1" thickBot="1" x14ac:dyDescent="0.4">
      <c r="A4" s="131"/>
      <c r="B4" s="132"/>
      <c r="C4" s="131"/>
      <c r="D4" s="131"/>
      <c r="E4" s="131"/>
      <c r="F4" s="131"/>
    </row>
    <row r="5" spans="1:8" ht="25" customHeight="1" thickBot="1" x14ac:dyDescent="0.4">
      <c r="A5" s="263" t="s">
        <v>1</v>
      </c>
      <c r="B5" s="265" t="s">
        <v>2</v>
      </c>
      <c r="C5" s="267" t="s">
        <v>3</v>
      </c>
      <c r="D5" s="259" t="s">
        <v>58</v>
      </c>
      <c r="E5" s="259" t="s">
        <v>21</v>
      </c>
      <c r="F5" s="261" t="s">
        <v>4</v>
      </c>
    </row>
    <row r="6" spans="1:8" ht="25" customHeight="1" thickBot="1" x14ac:dyDescent="0.4">
      <c r="A6" s="264"/>
      <c r="B6" s="266"/>
      <c r="C6" s="267"/>
      <c r="D6" s="260"/>
      <c r="E6" s="260"/>
      <c r="F6" s="262"/>
    </row>
    <row r="7" spans="1:8" ht="16.5" customHeight="1" thickBot="1" x14ac:dyDescent="0.4">
      <c r="A7" s="133">
        <v>1</v>
      </c>
      <c r="B7" s="134">
        <v>2</v>
      </c>
      <c r="C7" s="133">
        <v>3</v>
      </c>
      <c r="D7" s="134">
        <v>4</v>
      </c>
      <c r="E7" s="133">
        <v>5</v>
      </c>
      <c r="F7" s="135" t="s">
        <v>64</v>
      </c>
    </row>
    <row r="8" spans="1:8" ht="25" customHeight="1" x14ac:dyDescent="0.35">
      <c r="A8" s="136">
        <v>1</v>
      </c>
      <c r="B8" s="140" t="s">
        <v>59</v>
      </c>
      <c r="C8" s="141">
        <v>100000</v>
      </c>
      <c r="D8" s="142">
        <v>0</v>
      </c>
      <c r="E8" s="137">
        <v>0</v>
      </c>
      <c r="F8" s="138">
        <f>C8+D8+E8</f>
        <v>100000</v>
      </c>
      <c r="H8" s="139"/>
    </row>
    <row r="9" spans="1:8" ht="25" customHeight="1" x14ac:dyDescent="0.35">
      <c r="A9" s="136">
        <v>2</v>
      </c>
      <c r="B9" s="140" t="s">
        <v>94</v>
      </c>
      <c r="C9" s="141">
        <v>100000</v>
      </c>
      <c r="D9" s="142">
        <v>0</v>
      </c>
      <c r="E9" s="137">
        <f>'REGULER &amp; KHUSUS'!L8</f>
        <v>2500000</v>
      </c>
      <c r="F9" s="138">
        <f>C9+D9+E9</f>
        <v>2600000</v>
      </c>
      <c r="H9" s="139"/>
    </row>
    <row r="10" spans="1:8" ht="25" customHeight="1" x14ac:dyDescent="0.35">
      <c r="A10" s="136">
        <v>3</v>
      </c>
      <c r="B10" s="140" t="s">
        <v>95</v>
      </c>
      <c r="C10" s="141">
        <v>100000</v>
      </c>
      <c r="D10" s="142">
        <v>0</v>
      </c>
      <c r="E10" s="137">
        <f>'REGULER &amp; KHUSUS'!L9</f>
        <v>0</v>
      </c>
      <c r="F10" s="138">
        <f>C10+D10+E10</f>
        <v>100000</v>
      </c>
      <c r="G10" s="156" t="s">
        <v>98</v>
      </c>
      <c r="H10" s="139"/>
    </row>
    <row r="11" spans="1:8" ht="25" customHeight="1" thickBot="1" x14ac:dyDescent="0.4">
      <c r="A11" s="221">
        <v>4</v>
      </c>
      <c r="B11" s="140" t="s">
        <v>99</v>
      </c>
      <c r="C11" s="141">
        <v>100000</v>
      </c>
      <c r="D11" s="142">
        <v>0</v>
      </c>
      <c r="E11" s="137">
        <f>'REGULER &amp; KHUSUS'!L10</f>
        <v>910321</v>
      </c>
      <c r="F11" s="138">
        <f>C11+D11+E11</f>
        <v>1010321</v>
      </c>
      <c r="G11" s="156" t="s">
        <v>100</v>
      </c>
      <c r="H11" s="139"/>
    </row>
    <row r="12" spans="1:8" ht="25" hidden="1" customHeight="1" thickBot="1" x14ac:dyDescent="0.4">
      <c r="A12" s="221">
        <v>5</v>
      </c>
      <c r="H12" s="139"/>
    </row>
    <row r="13" spans="1:8" ht="25" customHeight="1" thickBot="1" x14ac:dyDescent="0.4">
      <c r="A13" s="143"/>
      <c r="B13" s="144" t="s">
        <v>30</v>
      </c>
      <c r="C13" s="145">
        <f>SUM(C8:C12)</f>
        <v>400000</v>
      </c>
      <c r="D13" s="145">
        <f>SUM(D8:D12)</f>
        <v>0</v>
      </c>
      <c r="E13" s="145">
        <f>SUM(E8:E12)</f>
        <v>3410321</v>
      </c>
      <c r="F13" s="145">
        <f>SUM(F8:F12)</f>
        <v>3810321</v>
      </c>
      <c r="G13" s="146"/>
      <c r="H13" s="139"/>
    </row>
    <row r="14" spans="1:8" ht="25" customHeight="1" x14ac:dyDescent="0.35">
      <c r="A14" s="147" t="s">
        <v>34</v>
      </c>
      <c r="B14" s="147"/>
      <c r="C14" s="148"/>
      <c r="D14" s="148"/>
      <c r="E14" s="148"/>
      <c r="F14" s="148"/>
      <c r="G14" s="149"/>
    </row>
    <row r="15" spans="1:8" x14ac:dyDescent="0.35">
      <c r="A15" s="147"/>
      <c r="B15" s="147" t="s">
        <v>107</v>
      </c>
      <c r="C15" s="147"/>
      <c r="D15" s="147"/>
      <c r="E15" s="147"/>
      <c r="F15" s="147"/>
    </row>
    <row r="16" spans="1:8" x14ac:dyDescent="0.35">
      <c r="A16" s="131"/>
      <c r="B16" s="132"/>
      <c r="C16" s="131"/>
      <c r="D16" s="131"/>
      <c r="E16" s="131"/>
      <c r="F16" s="131"/>
    </row>
    <row r="17" spans="1:6" x14ac:dyDescent="0.4">
      <c r="A17" s="131"/>
      <c r="B17" s="150"/>
      <c r="C17" s="150"/>
      <c r="D17" s="150"/>
      <c r="E17" s="257" t="s">
        <v>104</v>
      </c>
      <c r="F17" s="257"/>
    </row>
    <row r="18" spans="1:6" x14ac:dyDescent="0.4">
      <c r="A18" s="131"/>
      <c r="B18" s="151" t="s">
        <v>12</v>
      </c>
      <c r="C18" s="150"/>
      <c r="D18" s="150"/>
      <c r="E18" s="257" t="s">
        <v>18</v>
      </c>
      <c r="F18" s="257"/>
    </row>
    <row r="19" spans="1:6" x14ac:dyDescent="0.4">
      <c r="A19" s="131"/>
      <c r="B19" s="152"/>
      <c r="C19" s="150"/>
      <c r="D19" s="150"/>
      <c r="E19" s="205"/>
      <c r="F19" s="205"/>
    </row>
    <row r="20" spans="1:6" x14ac:dyDescent="0.4">
      <c r="A20" s="131"/>
      <c r="B20" s="152"/>
      <c r="C20" s="150"/>
      <c r="D20" s="150"/>
      <c r="E20" s="205"/>
      <c r="F20" s="205"/>
    </row>
    <row r="21" spans="1:6" x14ac:dyDescent="0.4">
      <c r="A21" s="131"/>
      <c r="B21" s="152"/>
      <c r="C21" s="150"/>
      <c r="D21" s="150"/>
      <c r="E21" s="205"/>
      <c r="F21" s="205"/>
    </row>
    <row r="22" spans="1:6" ht="19.5" customHeight="1" x14ac:dyDescent="0.4">
      <c r="A22" s="131"/>
      <c r="B22" s="150"/>
      <c r="C22" s="150"/>
      <c r="D22" s="150"/>
      <c r="E22" s="153"/>
      <c r="F22" s="131"/>
    </row>
    <row r="23" spans="1:6" x14ac:dyDescent="0.4">
      <c r="A23" s="131"/>
      <c r="B23" s="154" t="s">
        <v>93</v>
      </c>
      <c r="C23" s="155"/>
      <c r="D23" s="155"/>
      <c r="E23" s="258" t="s">
        <v>92</v>
      </c>
      <c r="F23" s="258"/>
    </row>
  </sheetData>
  <sortState xmlns:xlrd2="http://schemas.microsoft.com/office/spreadsheetml/2017/richdata2" ref="B8:F40">
    <sortCondition ref="B8"/>
  </sortState>
  <mergeCells count="9">
    <mergeCell ref="E18:F18"/>
    <mergeCell ref="E23:F23"/>
    <mergeCell ref="E5:E6"/>
    <mergeCell ref="F5:F6"/>
    <mergeCell ref="A5:A6"/>
    <mergeCell ref="B5:B6"/>
    <mergeCell ref="C5:C6"/>
    <mergeCell ref="E17:F17"/>
    <mergeCell ref="D5:D6"/>
  </mergeCells>
  <printOptions horizontalCentered="1"/>
  <pageMargins left="0" right="0" top="0.25" bottom="0.74803149606299202" header="0.31496062992126" footer="0.31496062992126"/>
  <pageSetup paperSize="9" scale="55" orientation="portrait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1"/>
  <sheetViews>
    <sheetView view="pageBreakPreview" zoomScale="85" zoomScaleNormal="100" zoomScaleSheetLayoutView="85" workbookViewId="0">
      <selection activeCell="D9" sqref="D9"/>
    </sheetView>
  </sheetViews>
  <sheetFormatPr defaultRowHeight="14.5" x14ac:dyDescent="0.35"/>
  <cols>
    <col min="1" max="1" width="11.26953125" bestFit="1" customWidth="1"/>
    <col min="2" max="2" width="29.1796875" bestFit="1" customWidth="1"/>
    <col min="3" max="12" width="17.7265625" customWidth="1"/>
  </cols>
  <sheetData>
    <row r="1" spans="1:13" ht="15" x14ac:dyDescent="0.35">
      <c r="A1" s="157" t="s">
        <v>65</v>
      </c>
      <c r="B1" s="157"/>
      <c r="C1" s="184"/>
      <c r="D1" s="184"/>
      <c r="E1" s="184"/>
      <c r="F1" s="184"/>
      <c r="G1" s="184"/>
      <c r="H1" s="184"/>
      <c r="I1" s="184"/>
      <c r="J1" s="184"/>
      <c r="K1" s="184"/>
      <c r="L1" s="184"/>
    </row>
    <row r="2" spans="1:13" ht="15" x14ac:dyDescent="0.35">
      <c r="A2" s="157" t="s">
        <v>5</v>
      </c>
      <c r="B2" s="157"/>
      <c r="C2" s="184"/>
      <c r="D2" s="184"/>
      <c r="E2" s="184"/>
      <c r="F2" s="184"/>
      <c r="G2" s="184"/>
      <c r="H2" s="184"/>
      <c r="I2" s="184"/>
      <c r="J2" s="184"/>
      <c r="K2" s="184"/>
      <c r="L2" s="184"/>
    </row>
    <row r="3" spans="1:13" ht="15" x14ac:dyDescent="0.35">
      <c r="A3" s="157" t="s">
        <v>105</v>
      </c>
      <c r="B3" s="157"/>
      <c r="C3" s="184"/>
      <c r="D3" s="184"/>
      <c r="E3" s="184"/>
      <c r="F3" s="184"/>
      <c r="G3" s="184"/>
      <c r="H3" s="184"/>
      <c r="I3" s="184"/>
      <c r="J3" s="184"/>
      <c r="K3" s="184"/>
      <c r="L3" s="184"/>
    </row>
    <row r="4" spans="1:13" ht="15.5" thickBot="1" x14ac:dyDescent="0.4">
      <c r="A4" s="185"/>
      <c r="B4" s="107"/>
      <c r="C4" s="185"/>
      <c r="D4" s="185"/>
      <c r="E4" s="185"/>
      <c r="F4" s="185"/>
      <c r="G4" s="185"/>
      <c r="H4" s="185"/>
      <c r="I4" s="185"/>
      <c r="J4" s="185"/>
      <c r="K4" s="185"/>
      <c r="L4" s="185"/>
    </row>
    <row r="5" spans="1:13" ht="20.5" customHeight="1" thickBot="1" x14ac:dyDescent="0.4">
      <c r="A5" s="268" t="s">
        <v>1</v>
      </c>
      <c r="B5" s="247" t="s">
        <v>2</v>
      </c>
      <c r="C5" s="273" t="s">
        <v>90</v>
      </c>
      <c r="D5" s="274"/>
      <c r="E5" s="275"/>
      <c r="F5" s="273" t="s">
        <v>19</v>
      </c>
      <c r="G5" s="274"/>
      <c r="H5" s="274"/>
      <c r="I5" s="276" t="s">
        <v>96</v>
      </c>
      <c r="J5" s="276"/>
      <c r="K5" s="276"/>
      <c r="L5" s="270" t="s">
        <v>16</v>
      </c>
    </row>
    <row r="6" spans="1:13" ht="15.5" thickBot="1" x14ac:dyDescent="0.4">
      <c r="A6" s="269"/>
      <c r="B6" s="248"/>
      <c r="C6" s="208" t="s">
        <v>9</v>
      </c>
      <c r="D6" s="158" t="s">
        <v>10</v>
      </c>
      <c r="E6" s="208" t="s">
        <v>4</v>
      </c>
      <c r="F6" s="209" t="s">
        <v>9</v>
      </c>
      <c r="G6" s="208" t="s">
        <v>10</v>
      </c>
      <c r="H6" s="210" t="s">
        <v>4</v>
      </c>
      <c r="I6" s="158" t="s">
        <v>9</v>
      </c>
      <c r="J6" s="158" t="s">
        <v>10</v>
      </c>
      <c r="K6" s="158" t="s">
        <v>4</v>
      </c>
      <c r="L6" s="271"/>
    </row>
    <row r="7" spans="1:13" ht="15" thickBot="1" x14ac:dyDescent="0.4">
      <c r="A7" s="159">
        <v>1</v>
      </c>
      <c r="B7" s="48">
        <v>2</v>
      </c>
      <c r="C7" s="160">
        <v>3</v>
      </c>
      <c r="D7" s="48">
        <v>4</v>
      </c>
      <c r="E7" s="160">
        <v>5</v>
      </c>
      <c r="F7" s="48">
        <v>6</v>
      </c>
      <c r="G7" s="160">
        <v>7</v>
      </c>
      <c r="H7" s="159">
        <v>8</v>
      </c>
      <c r="I7" s="159">
        <v>9</v>
      </c>
      <c r="J7" s="159">
        <v>10</v>
      </c>
      <c r="K7" s="159">
        <v>11</v>
      </c>
      <c r="L7" s="48" t="s">
        <v>97</v>
      </c>
    </row>
    <row r="8" spans="1:13" ht="15.5" x14ac:dyDescent="0.35">
      <c r="A8" s="164">
        <v>1</v>
      </c>
      <c r="B8" s="225" t="s">
        <v>94</v>
      </c>
      <c r="C8" s="211">
        <v>0</v>
      </c>
      <c r="D8" s="212">
        <v>0</v>
      </c>
      <c r="E8" s="168">
        <f t="shared" ref="E8:E10" si="0">C8+D8</f>
        <v>0</v>
      </c>
      <c r="F8" s="167">
        <v>2500000</v>
      </c>
      <c r="G8" s="167"/>
      <c r="H8" s="168">
        <f>F8+G8</f>
        <v>2500000</v>
      </c>
      <c r="I8" s="168">
        <v>0</v>
      </c>
      <c r="J8" s="168">
        <v>0</v>
      </c>
      <c r="K8" s="168">
        <f>I8+J8</f>
        <v>0</v>
      </c>
      <c r="L8" s="168">
        <f t="shared" ref="L8:L10" si="1">E8+H8+K8</f>
        <v>2500000</v>
      </c>
      <c r="M8" t="s">
        <v>101</v>
      </c>
    </row>
    <row r="9" spans="1:13" ht="15.5" x14ac:dyDescent="0.35">
      <c r="A9" s="222">
        <v>2</v>
      </c>
      <c r="B9" s="225" t="s">
        <v>95</v>
      </c>
      <c r="C9" s="211">
        <v>0</v>
      </c>
      <c r="D9" s="212">
        <v>0</v>
      </c>
      <c r="E9" s="168">
        <f t="shared" si="0"/>
        <v>0</v>
      </c>
      <c r="F9" s="167">
        <v>0</v>
      </c>
      <c r="G9" s="167"/>
      <c r="H9" s="168">
        <f>F9+G9</f>
        <v>0</v>
      </c>
      <c r="I9" s="223">
        <v>0</v>
      </c>
      <c r="J9" s="168">
        <v>0</v>
      </c>
      <c r="K9" s="223">
        <v>0</v>
      </c>
      <c r="L9" s="168">
        <f t="shared" si="1"/>
        <v>0</v>
      </c>
      <c r="M9" t="s">
        <v>102</v>
      </c>
    </row>
    <row r="10" spans="1:13" ht="16" thickBot="1" x14ac:dyDescent="0.4">
      <c r="A10" s="226">
        <v>3</v>
      </c>
      <c r="B10" s="225" t="s">
        <v>99</v>
      </c>
      <c r="C10" s="211">
        <v>0</v>
      </c>
      <c r="D10" s="212">
        <v>0</v>
      </c>
      <c r="E10" s="168">
        <f t="shared" si="0"/>
        <v>0</v>
      </c>
      <c r="F10" s="167">
        <v>0</v>
      </c>
      <c r="G10" s="224">
        <v>0</v>
      </c>
      <c r="H10" s="168">
        <f>F10+G10</f>
        <v>0</v>
      </c>
      <c r="I10" s="227">
        <v>901988</v>
      </c>
      <c r="J10" s="223">
        <v>8333</v>
      </c>
      <c r="K10" s="227">
        <f>I10+J10</f>
        <v>910321</v>
      </c>
      <c r="L10" s="168">
        <f t="shared" si="1"/>
        <v>910321</v>
      </c>
    </row>
    <row r="11" spans="1:13" ht="15.5" thickBot="1" x14ac:dyDescent="0.4">
      <c r="A11" s="213"/>
      <c r="B11" s="213" t="s">
        <v>30</v>
      </c>
      <c r="C11" s="214">
        <f t="shared" ref="C11:L11" si="2">SUM(C8:C10)</f>
        <v>0</v>
      </c>
      <c r="D11" s="214">
        <f t="shared" si="2"/>
        <v>0</v>
      </c>
      <c r="E11" s="214">
        <f t="shared" si="2"/>
        <v>0</v>
      </c>
      <c r="F11" s="214">
        <f t="shared" si="2"/>
        <v>2500000</v>
      </c>
      <c r="G11" s="214">
        <f t="shared" si="2"/>
        <v>0</v>
      </c>
      <c r="H11" s="214">
        <f t="shared" si="2"/>
        <v>2500000</v>
      </c>
      <c r="I11" s="214">
        <f t="shared" si="2"/>
        <v>901988</v>
      </c>
      <c r="J11" s="214">
        <f t="shared" si="2"/>
        <v>8333</v>
      </c>
      <c r="K11" s="214">
        <f t="shared" si="2"/>
        <v>910321</v>
      </c>
      <c r="L11" s="214">
        <f>SUM(L8:L10)</f>
        <v>3410321</v>
      </c>
    </row>
    <row r="12" spans="1:13" ht="15" x14ac:dyDescent="0.35">
      <c r="A12" s="207" t="s">
        <v>91</v>
      </c>
      <c r="B12" s="207" t="s">
        <v>106</v>
      </c>
      <c r="C12" s="215"/>
      <c r="D12" s="215"/>
      <c r="E12" s="215"/>
      <c r="F12" s="215"/>
      <c r="G12" s="215"/>
      <c r="H12" s="215"/>
      <c r="I12" s="215"/>
      <c r="J12" s="215"/>
      <c r="K12" s="215"/>
      <c r="L12" s="215"/>
    </row>
    <row r="13" spans="1:13" ht="15" x14ac:dyDescent="0.35"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</row>
    <row r="14" spans="1:13" ht="15" x14ac:dyDescent="0.35">
      <c r="A14" s="185"/>
      <c r="B14" s="107"/>
      <c r="C14" s="185"/>
      <c r="D14" s="185"/>
      <c r="E14" s="185"/>
      <c r="F14" s="216"/>
      <c r="G14" s="216"/>
      <c r="H14" s="185"/>
      <c r="I14" s="185"/>
      <c r="J14" s="185"/>
      <c r="K14" s="185"/>
      <c r="L14" s="185"/>
    </row>
    <row r="15" spans="1:13" ht="15" x14ac:dyDescent="0.35">
      <c r="A15" s="185"/>
      <c r="B15" s="107"/>
      <c r="C15" s="185"/>
      <c r="D15" s="185"/>
      <c r="E15" s="185"/>
      <c r="F15" s="185"/>
      <c r="G15" s="185"/>
      <c r="H15" s="272" t="s">
        <v>104</v>
      </c>
      <c r="I15" s="272"/>
      <c r="J15" s="272"/>
      <c r="K15" s="272"/>
      <c r="L15" s="272"/>
    </row>
    <row r="16" spans="1:13" ht="15" x14ac:dyDescent="0.35">
      <c r="A16" s="185"/>
      <c r="B16" s="120" t="s">
        <v>12</v>
      </c>
      <c r="C16" s="185"/>
      <c r="D16" s="228"/>
      <c r="E16" s="185"/>
      <c r="F16" s="185"/>
      <c r="G16" s="185"/>
      <c r="H16" s="217" t="s">
        <v>37</v>
      </c>
      <c r="I16" s="217"/>
      <c r="J16" s="217"/>
      <c r="K16" s="217"/>
      <c r="L16" s="217"/>
    </row>
    <row r="17" spans="1:12" ht="15" x14ac:dyDescent="0.35">
      <c r="A17" s="185"/>
      <c r="B17" s="120"/>
      <c r="C17" s="185"/>
      <c r="D17" s="185"/>
      <c r="E17" s="185"/>
      <c r="F17" s="218"/>
      <c r="G17" s="218"/>
      <c r="H17" s="112"/>
      <c r="I17" s="112"/>
      <c r="J17" s="112"/>
      <c r="K17" s="112"/>
      <c r="L17" s="120"/>
    </row>
    <row r="18" spans="1:12" ht="15" x14ac:dyDescent="0.35">
      <c r="A18" s="185"/>
      <c r="B18" s="120"/>
      <c r="C18" s="185"/>
      <c r="D18" s="185"/>
      <c r="E18" s="185"/>
      <c r="F18" s="216"/>
      <c r="G18" s="216"/>
      <c r="H18" s="185"/>
      <c r="I18" s="185"/>
      <c r="J18" s="185"/>
      <c r="K18" s="185"/>
      <c r="L18" s="185"/>
    </row>
    <row r="19" spans="1:12" ht="15" x14ac:dyDescent="0.35">
      <c r="A19" s="185"/>
      <c r="B19" s="120"/>
      <c r="C19" s="185"/>
      <c r="D19" s="185"/>
      <c r="E19" s="185"/>
      <c r="F19" s="185"/>
      <c r="G19" s="185"/>
      <c r="H19" s="112"/>
      <c r="I19" s="112"/>
      <c r="J19" s="112"/>
      <c r="K19" s="112"/>
      <c r="L19" s="120"/>
    </row>
    <row r="20" spans="1:12" ht="15" x14ac:dyDescent="0.35">
      <c r="A20" s="185"/>
      <c r="B20" s="120"/>
      <c r="C20" s="185"/>
      <c r="D20" s="185"/>
      <c r="E20" s="185"/>
      <c r="F20" s="185"/>
      <c r="G20" s="185"/>
      <c r="H20" s="112"/>
      <c r="I20" s="112"/>
      <c r="J20" s="112"/>
      <c r="K20" s="112"/>
      <c r="L20" s="120"/>
    </row>
    <row r="21" spans="1:12" ht="15" x14ac:dyDescent="0.35">
      <c r="A21" s="185"/>
      <c r="B21" s="219" t="s">
        <v>93</v>
      </c>
      <c r="C21" s="185"/>
      <c r="D21" s="185"/>
      <c r="E21" s="185"/>
      <c r="F21" s="185"/>
      <c r="G21" s="185"/>
      <c r="H21" s="220" t="s">
        <v>92</v>
      </c>
      <c r="I21" s="220"/>
      <c r="J21" s="220"/>
      <c r="K21" s="220"/>
      <c r="L21" s="220"/>
    </row>
  </sheetData>
  <mergeCells count="7">
    <mergeCell ref="A5:A6"/>
    <mergeCell ref="B5:B6"/>
    <mergeCell ref="L5:L6"/>
    <mergeCell ref="H15:L15"/>
    <mergeCell ref="F5:H5"/>
    <mergeCell ref="C5:E5"/>
    <mergeCell ref="I5:K5"/>
  </mergeCells>
  <pageMargins left="0.7" right="0.7" top="0.75" bottom="0.75" header="0.3" footer="0.3"/>
  <pageSetup paperSize="9" scale="40" orientation="portrait" r:id="rId1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"/>
  <sheetViews>
    <sheetView view="pageBreakPreview" zoomScale="85" zoomScaleNormal="98" zoomScaleSheetLayoutView="85" workbookViewId="0">
      <selection activeCell="H12" sqref="H12"/>
    </sheetView>
  </sheetViews>
  <sheetFormatPr defaultColWidth="9.1796875" defaultRowHeight="15.5" x14ac:dyDescent="0.35"/>
  <cols>
    <col min="1" max="1" width="4.81640625" style="109" customWidth="1"/>
    <col min="2" max="2" width="31.1796875" style="108" customWidth="1"/>
    <col min="3" max="3" width="15" style="47" customWidth="1"/>
    <col min="4" max="4" width="15.26953125" style="47" customWidth="1"/>
    <col min="5" max="5" width="15.81640625" style="47" customWidth="1"/>
    <col min="6" max="6" width="15.7265625" style="47" customWidth="1"/>
    <col min="7" max="8" width="15.54296875" style="47" customWidth="1"/>
    <col min="9" max="9" width="19.1796875" style="47" customWidth="1"/>
    <col min="10" max="10" width="11.54296875" style="109" bestFit="1" customWidth="1"/>
    <col min="11" max="16384" width="9.1796875" style="109"/>
  </cols>
  <sheetData>
    <row r="1" spans="1:9" x14ac:dyDescent="0.35">
      <c r="A1" s="157" t="s">
        <v>65</v>
      </c>
      <c r="B1" s="157"/>
      <c r="C1" s="184"/>
      <c r="D1" s="184"/>
      <c r="E1" s="184"/>
      <c r="F1" s="184"/>
      <c r="G1" s="184"/>
      <c r="H1" s="184"/>
      <c r="I1" s="184"/>
    </row>
    <row r="2" spans="1:9" x14ac:dyDescent="0.35">
      <c r="A2" s="157" t="s">
        <v>5</v>
      </c>
      <c r="B2" s="157"/>
      <c r="C2" s="184"/>
      <c r="D2" s="184"/>
      <c r="E2" s="184"/>
      <c r="F2" s="184"/>
      <c r="G2" s="184"/>
      <c r="H2" s="184"/>
      <c r="I2" s="184"/>
    </row>
    <row r="3" spans="1:9" x14ac:dyDescent="0.35">
      <c r="A3" s="157" t="s">
        <v>88</v>
      </c>
      <c r="B3" s="157"/>
      <c r="C3" s="184"/>
      <c r="D3" s="184"/>
      <c r="E3" s="184"/>
      <c r="F3" s="184"/>
      <c r="G3" s="184"/>
      <c r="H3" s="184"/>
      <c r="I3" s="184"/>
    </row>
    <row r="4" spans="1:9" ht="16" thickBot="1" x14ac:dyDescent="0.4">
      <c r="A4" s="185"/>
      <c r="B4" s="107"/>
      <c r="C4" s="185"/>
      <c r="D4" s="185"/>
      <c r="E4" s="185"/>
      <c r="F4" s="185"/>
      <c r="G4" s="185"/>
      <c r="H4" s="185"/>
      <c r="I4" s="185"/>
    </row>
    <row r="5" spans="1:9" ht="16.5" customHeight="1" thickBot="1" x14ac:dyDescent="0.4">
      <c r="A5" s="268" t="s">
        <v>1</v>
      </c>
      <c r="B5" s="247" t="s">
        <v>2</v>
      </c>
      <c r="C5" s="274" t="s">
        <v>78</v>
      </c>
      <c r="D5" s="274"/>
      <c r="E5" s="275"/>
      <c r="F5" s="283" t="s">
        <v>19</v>
      </c>
      <c r="G5" s="284"/>
      <c r="H5" s="270"/>
      <c r="I5" s="281" t="s">
        <v>4</v>
      </c>
    </row>
    <row r="6" spans="1:9" ht="16" thickBot="1" x14ac:dyDescent="0.4">
      <c r="A6" s="269"/>
      <c r="B6" s="248"/>
      <c r="C6" s="206" t="s">
        <v>9</v>
      </c>
      <c r="D6" s="158" t="s">
        <v>10</v>
      </c>
      <c r="E6" s="206" t="s">
        <v>4</v>
      </c>
      <c r="F6" s="158" t="s">
        <v>9</v>
      </c>
      <c r="G6" s="206" t="s">
        <v>10</v>
      </c>
      <c r="H6" s="158" t="s">
        <v>4</v>
      </c>
      <c r="I6" s="282"/>
    </row>
    <row r="7" spans="1:9" ht="12.75" customHeight="1" thickBot="1" x14ac:dyDescent="0.4">
      <c r="A7" s="159">
        <v>1</v>
      </c>
      <c r="B7" s="48">
        <v>2</v>
      </c>
      <c r="C7" s="160">
        <v>3</v>
      </c>
      <c r="D7" s="48">
        <v>4</v>
      </c>
      <c r="E7" s="160">
        <v>5</v>
      </c>
      <c r="F7" s="48">
        <v>6</v>
      </c>
      <c r="G7" s="160">
        <v>7</v>
      </c>
      <c r="H7" s="48">
        <v>8</v>
      </c>
      <c r="I7" s="161" t="s">
        <v>66</v>
      </c>
    </row>
    <row r="8" spans="1:9" ht="23.25" customHeight="1" x14ac:dyDescent="0.35">
      <c r="A8" s="162">
        <v>1</v>
      </c>
      <c r="B8" s="165" t="s">
        <v>77</v>
      </c>
      <c r="C8" s="166"/>
      <c r="D8" s="167">
        <v>0</v>
      </c>
      <c r="E8" s="163">
        <f t="shared" ref="E8:E12" si="0">C8+D8</f>
        <v>0</v>
      </c>
      <c r="F8" s="167">
        <v>0</v>
      </c>
      <c r="G8" s="166">
        <v>0</v>
      </c>
      <c r="H8" s="168">
        <f t="shared" ref="H8:H12" si="1">F8+G8</f>
        <v>0</v>
      </c>
      <c r="I8" s="180">
        <f t="shared" ref="I8:I12" si="2">E8+H8</f>
        <v>0</v>
      </c>
    </row>
    <row r="9" spans="1:9" ht="23.25" customHeight="1" x14ac:dyDescent="0.35">
      <c r="A9" s="164">
        <v>2</v>
      </c>
      <c r="B9" s="165" t="s">
        <v>59</v>
      </c>
      <c r="C9" s="166">
        <v>0</v>
      </c>
      <c r="D9" s="167">
        <v>0</v>
      </c>
      <c r="E9" s="169">
        <f t="shared" si="0"/>
        <v>0</v>
      </c>
      <c r="F9" s="167">
        <v>0</v>
      </c>
      <c r="G9" s="166">
        <v>0</v>
      </c>
      <c r="H9" s="168">
        <f t="shared" si="1"/>
        <v>0</v>
      </c>
      <c r="I9" s="180">
        <f t="shared" si="2"/>
        <v>0</v>
      </c>
    </row>
    <row r="10" spans="1:9" ht="23.25" customHeight="1" x14ac:dyDescent="0.35">
      <c r="A10" s="162">
        <v>3</v>
      </c>
      <c r="B10" s="165" t="s">
        <v>62</v>
      </c>
      <c r="C10" s="166">
        <v>0</v>
      </c>
      <c r="D10" s="167">
        <v>0</v>
      </c>
      <c r="E10" s="169">
        <f t="shared" si="0"/>
        <v>0</v>
      </c>
      <c r="F10" s="167">
        <v>0</v>
      </c>
      <c r="G10" s="166">
        <v>0</v>
      </c>
      <c r="H10" s="168">
        <f t="shared" si="1"/>
        <v>0</v>
      </c>
      <c r="I10" s="180">
        <f t="shared" si="2"/>
        <v>0</v>
      </c>
    </row>
    <row r="11" spans="1:9" ht="23.25" customHeight="1" x14ac:dyDescent="0.35">
      <c r="A11" s="164">
        <v>4</v>
      </c>
      <c r="B11" s="165" t="s">
        <v>60</v>
      </c>
      <c r="C11" s="166"/>
      <c r="D11" s="167">
        <v>0</v>
      </c>
      <c r="E11" s="169">
        <f t="shared" si="0"/>
        <v>0</v>
      </c>
      <c r="F11" s="167">
        <v>0</v>
      </c>
      <c r="G11" s="166">
        <v>0</v>
      </c>
      <c r="H11" s="168">
        <f t="shared" si="1"/>
        <v>0</v>
      </c>
      <c r="I11" s="180">
        <f t="shared" si="2"/>
        <v>0</v>
      </c>
    </row>
    <row r="12" spans="1:9" ht="23.25" customHeight="1" thickBot="1" x14ac:dyDescent="0.4">
      <c r="A12" s="162">
        <v>5</v>
      </c>
      <c r="B12" s="165" t="s">
        <v>84</v>
      </c>
      <c r="C12" s="166">
        <v>0</v>
      </c>
      <c r="D12" s="167">
        <v>0</v>
      </c>
      <c r="E12" s="169">
        <f t="shared" si="0"/>
        <v>0</v>
      </c>
      <c r="F12" s="167">
        <v>0</v>
      </c>
      <c r="G12" s="166">
        <v>0</v>
      </c>
      <c r="H12" s="168">
        <f t="shared" si="1"/>
        <v>0</v>
      </c>
      <c r="I12" s="180">
        <f t="shared" si="2"/>
        <v>0</v>
      </c>
    </row>
    <row r="13" spans="1:9" ht="23.25" customHeight="1" thickBot="1" x14ac:dyDescent="0.4">
      <c r="A13" s="170" t="s">
        <v>8</v>
      </c>
      <c r="B13" s="171"/>
      <c r="C13" s="172">
        <f t="shared" ref="C13:I13" si="3">SUM(C8:C12)</f>
        <v>0</v>
      </c>
      <c r="D13" s="172">
        <f t="shared" si="3"/>
        <v>0</v>
      </c>
      <c r="E13" s="172">
        <f t="shared" si="3"/>
        <v>0</v>
      </c>
      <c r="F13" s="172">
        <f t="shared" si="3"/>
        <v>0</v>
      </c>
      <c r="G13" s="172">
        <f t="shared" si="3"/>
        <v>0</v>
      </c>
      <c r="H13" s="172">
        <f t="shared" si="3"/>
        <v>0</v>
      </c>
      <c r="I13" s="173">
        <f t="shared" si="3"/>
        <v>0</v>
      </c>
    </row>
    <row r="14" spans="1:9" x14ac:dyDescent="0.35">
      <c r="A14" s="280" t="s">
        <v>34</v>
      </c>
      <c r="B14" s="280"/>
      <c r="C14" s="280"/>
      <c r="D14" s="285"/>
      <c r="E14" s="280"/>
      <c r="F14" s="285"/>
      <c r="G14" s="280"/>
      <c r="H14" s="285"/>
      <c r="I14" s="280"/>
    </row>
    <row r="15" spans="1:9" x14ac:dyDescent="0.35">
      <c r="A15" s="285" t="e">
        <v>#NAME?</v>
      </c>
      <c r="B15" s="285"/>
      <c r="C15" s="285"/>
      <c r="D15" s="285"/>
      <c r="E15" s="285"/>
      <c r="F15" s="285"/>
      <c r="G15" s="285"/>
      <c r="H15" s="285"/>
      <c r="I15" s="285"/>
    </row>
    <row r="16" spans="1:9" x14ac:dyDescent="0.35">
      <c r="A16" s="185"/>
      <c r="B16" s="107"/>
      <c r="C16" s="185"/>
      <c r="D16" s="185"/>
      <c r="E16" s="185"/>
      <c r="F16" s="277"/>
      <c r="G16" s="277"/>
      <c r="H16" s="185"/>
      <c r="I16" s="185"/>
    </row>
    <row r="17" spans="1:9" x14ac:dyDescent="0.35">
      <c r="A17" s="185"/>
      <c r="B17" s="107"/>
      <c r="C17" s="185"/>
      <c r="D17" s="185"/>
      <c r="E17" s="185"/>
      <c r="F17" s="185"/>
      <c r="G17" s="277" t="s">
        <v>89</v>
      </c>
      <c r="H17" s="277"/>
      <c r="I17" s="277"/>
    </row>
    <row r="18" spans="1:9" x14ac:dyDescent="0.3">
      <c r="A18" s="185"/>
      <c r="B18" s="174" t="s">
        <v>12</v>
      </c>
      <c r="C18" s="185"/>
      <c r="D18" s="185"/>
      <c r="E18" s="185"/>
      <c r="F18" s="185"/>
      <c r="G18" s="278" t="s">
        <v>37</v>
      </c>
      <c r="H18" s="278"/>
      <c r="I18" s="278"/>
    </row>
    <row r="19" spans="1:9" x14ac:dyDescent="0.3">
      <c r="A19" s="185"/>
      <c r="B19" s="175"/>
      <c r="C19" s="185"/>
      <c r="D19" s="185"/>
      <c r="E19" s="185"/>
      <c r="F19" s="185"/>
      <c r="G19" s="185"/>
      <c r="H19" s="185"/>
      <c r="I19" s="185"/>
    </row>
    <row r="20" spans="1:9" x14ac:dyDescent="0.3">
      <c r="A20" s="185"/>
      <c r="B20" s="175"/>
      <c r="C20" s="185"/>
      <c r="D20" s="185"/>
      <c r="E20" s="185"/>
      <c r="F20" s="185"/>
      <c r="G20" s="185"/>
      <c r="H20" s="185"/>
      <c r="I20" s="185"/>
    </row>
    <row r="21" spans="1:9" x14ac:dyDescent="0.3">
      <c r="A21" s="185"/>
      <c r="B21" s="175"/>
      <c r="C21" s="185"/>
      <c r="D21" s="185"/>
      <c r="E21" s="185"/>
      <c r="F21" s="185"/>
      <c r="G21" s="185"/>
      <c r="H21" s="185"/>
      <c r="I21" s="185"/>
    </row>
    <row r="22" spans="1:9" x14ac:dyDescent="0.3">
      <c r="A22" s="185"/>
      <c r="B22" s="175"/>
      <c r="C22" s="185"/>
      <c r="D22" s="185"/>
      <c r="E22" s="185"/>
      <c r="F22" s="185"/>
      <c r="G22" s="185"/>
      <c r="H22" s="185"/>
      <c r="I22" s="185"/>
    </row>
    <row r="23" spans="1:9" x14ac:dyDescent="0.3">
      <c r="A23" s="185"/>
      <c r="B23" s="176" t="s">
        <v>81</v>
      </c>
      <c r="C23" s="185"/>
      <c r="D23" s="185"/>
      <c r="E23" s="185"/>
      <c r="F23" s="185"/>
      <c r="G23" s="279" t="s">
        <v>57</v>
      </c>
      <c r="H23" s="279"/>
      <c r="I23" s="279"/>
    </row>
  </sheetData>
  <sortState xmlns:xlrd2="http://schemas.microsoft.com/office/spreadsheetml/2017/richdata2" ref="B8:I24">
    <sortCondition ref="B8"/>
  </sortState>
  <mergeCells count="12">
    <mergeCell ref="G17:I17"/>
    <mergeCell ref="G18:I18"/>
    <mergeCell ref="G23:I23"/>
    <mergeCell ref="A14:B14"/>
    <mergeCell ref="I5:I6"/>
    <mergeCell ref="F16:G16"/>
    <mergeCell ref="F5:H5"/>
    <mergeCell ref="C14:I14"/>
    <mergeCell ref="A5:A6"/>
    <mergeCell ref="B5:B6"/>
    <mergeCell ref="C5:E5"/>
    <mergeCell ref="A15:I15"/>
  </mergeCells>
  <printOptions horizontalCentered="1"/>
  <pageMargins left="0.39370078740157483" right="0.39370078740157483" top="0.74803149606299213" bottom="0" header="0.31496062992125984" footer="0.31496062992125984"/>
  <pageSetup paperSize="9" scale="70" orientation="landscape" horizontalDpi="4294967293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9"/>
  <sheetViews>
    <sheetView view="pageBreakPreview" zoomScaleSheetLayoutView="100" workbookViewId="0">
      <selection activeCell="E7" sqref="E7"/>
    </sheetView>
  </sheetViews>
  <sheetFormatPr defaultColWidth="9.1796875" defaultRowHeight="14.5" x14ac:dyDescent="0.35"/>
  <cols>
    <col min="1" max="1" width="5.1796875" style="6" customWidth="1"/>
    <col min="2" max="2" width="27.81640625" style="4" customWidth="1"/>
    <col min="3" max="3" width="15.26953125" style="102" customWidth="1"/>
    <col min="4" max="4" width="15" style="102" customWidth="1"/>
    <col min="5" max="5" width="15" style="5" customWidth="1"/>
    <col min="6" max="6" width="15.26953125" style="6" customWidth="1"/>
    <col min="7" max="16384" width="9.1796875" style="4"/>
  </cols>
  <sheetData>
    <row r="1" spans="1:6" x14ac:dyDescent="0.35">
      <c r="A1" s="71" t="s">
        <v>13</v>
      </c>
      <c r="B1" s="72"/>
      <c r="C1" s="73"/>
      <c r="D1" s="73"/>
      <c r="E1" s="73"/>
      <c r="F1" s="74"/>
    </row>
    <row r="2" spans="1:6" x14ac:dyDescent="0.35">
      <c r="A2" s="71" t="s">
        <v>33</v>
      </c>
      <c r="B2" s="72"/>
      <c r="C2" s="73"/>
      <c r="D2" s="73"/>
      <c r="E2" s="73"/>
      <c r="F2" s="74"/>
    </row>
    <row r="3" spans="1:6" x14ac:dyDescent="0.35">
      <c r="A3" s="71" t="s">
        <v>71</v>
      </c>
      <c r="B3" s="72"/>
      <c r="C3" s="73"/>
      <c r="D3" s="73"/>
      <c r="E3" s="73"/>
      <c r="F3" s="74"/>
    </row>
    <row r="4" spans="1:6" ht="15" thickBot="1" x14ac:dyDescent="0.4">
      <c r="A4" s="74"/>
      <c r="B4" s="72"/>
      <c r="C4" s="73"/>
      <c r="D4" s="73"/>
      <c r="E4" s="73"/>
      <c r="F4" s="74"/>
    </row>
    <row r="5" spans="1:6" s="9" customFormat="1" ht="21.75" customHeight="1" thickBot="1" x14ac:dyDescent="0.4">
      <c r="A5" s="75" t="s">
        <v>1</v>
      </c>
      <c r="B5" s="76" t="s">
        <v>11</v>
      </c>
      <c r="C5" s="77" t="s">
        <v>14</v>
      </c>
      <c r="D5" s="98" t="s">
        <v>15</v>
      </c>
      <c r="E5" s="77" t="s">
        <v>16</v>
      </c>
      <c r="F5" s="78" t="s">
        <v>17</v>
      </c>
    </row>
    <row r="6" spans="1:6" s="9" customFormat="1" ht="13.5" customHeight="1" thickBot="1" x14ac:dyDescent="0.4">
      <c r="A6" s="94">
        <v>1</v>
      </c>
      <c r="B6" s="95">
        <v>2</v>
      </c>
      <c r="C6" s="99">
        <v>3</v>
      </c>
      <c r="D6" s="100">
        <v>4</v>
      </c>
      <c r="E6" s="96" t="s">
        <v>67</v>
      </c>
      <c r="F6" s="97">
        <v>6</v>
      </c>
    </row>
    <row r="7" spans="1:6" ht="25.5" customHeight="1" thickBot="1" x14ac:dyDescent="0.4">
      <c r="A7" s="79">
        <v>1</v>
      </c>
      <c r="B7" s="80" t="s">
        <v>6</v>
      </c>
      <c r="C7" s="103">
        <v>0</v>
      </c>
      <c r="D7" s="104">
        <v>0</v>
      </c>
      <c r="E7" s="81">
        <f t="shared" ref="E7" si="0">C7+D7</f>
        <v>0</v>
      </c>
      <c r="F7" s="82" t="s">
        <v>20</v>
      </c>
    </row>
    <row r="8" spans="1:6" s="10" customFormat="1" ht="21.75" customHeight="1" thickBot="1" x14ac:dyDescent="0.4">
      <c r="A8" s="286" t="s">
        <v>4</v>
      </c>
      <c r="B8" s="287"/>
      <c r="C8" s="101">
        <f>SUM(C7:C7)</f>
        <v>0</v>
      </c>
      <c r="D8" s="101">
        <f t="shared" ref="D8:E8" si="1">SUM(D7:D7)</f>
        <v>0</v>
      </c>
      <c r="E8" s="101">
        <f t="shared" si="1"/>
        <v>0</v>
      </c>
      <c r="F8" s="83"/>
    </row>
    <row r="9" spans="1:6" x14ac:dyDescent="0.35">
      <c r="A9" s="84" t="s">
        <v>35</v>
      </c>
      <c r="B9" s="85"/>
      <c r="C9" s="86"/>
      <c r="D9" s="86"/>
      <c r="E9" s="86"/>
      <c r="F9" s="87"/>
    </row>
    <row r="10" spans="1:6" x14ac:dyDescent="0.35">
      <c r="A10" s="290" t="e">
        <v>#NAME?</v>
      </c>
      <c r="B10" s="290"/>
      <c r="C10" s="290"/>
      <c r="D10" s="290"/>
      <c r="E10" s="290"/>
      <c r="F10" s="290"/>
    </row>
    <row r="11" spans="1:6" x14ac:dyDescent="0.35">
      <c r="A11" s="88"/>
      <c r="B11" s="89"/>
      <c r="C11" s="73"/>
      <c r="D11" s="73"/>
      <c r="E11" s="73"/>
      <c r="F11" s="74"/>
    </row>
    <row r="12" spans="1:6" x14ac:dyDescent="0.35">
      <c r="A12" s="74"/>
      <c r="B12" s="72"/>
      <c r="C12" s="73"/>
      <c r="D12" s="73"/>
      <c r="E12" s="288" t="s">
        <v>70</v>
      </c>
      <c r="F12" s="288"/>
    </row>
    <row r="13" spans="1:6" x14ac:dyDescent="0.35">
      <c r="A13" s="74"/>
      <c r="B13" s="74" t="s">
        <v>12</v>
      </c>
      <c r="C13" s="73"/>
      <c r="D13" s="73"/>
      <c r="E13" s="288" t="s">
        <v>18</v>
      </c>
      <c r="F13" s="288"/>
    </row>
    <row r="14" spans="1:6" x14ac:dyDescent="0.35">
      <c r="A14" s="74"/>
      <c r="B14" s="74"/>
      <c r="C14" s="73"/>
      <c r="D14" s="73"/>
      <c r="E14" s="73"/>
      <c r="F14" s="74"/>
    </row>
    <row r="15" spans="1:6" x14ac:dyDescent="0.35">
      <c r="A15" s="74"/>
      <c r="B15" s="74"/>
      <c r="C15" s="73"/>
      <c r="D15" s="73"/>
      <c r="E15" s="73"/>
      <c r="F15" s="74"/>
    </row>
    <row r="16" spans="1:6" x14ac:dyDescent="0.35">
      <c r="A16" s="74"/>
      <c r="B16" s="74"/>
      <c r="C16" s="73"/>
      <c r="D16" s="73"/>
      <c r="E16" s="73"/>
      <c r="F16" s="74"/>
    </row>
    <row r="17" spans="1:6" x14ac:dyDescent="0.35">
      <c r="A17" s="74"/>
      <c r="B17" s="90" t="s">
        <v>69</v>
      </c>
      <c r="C17" s="73"/>
      <c r="D17" s="73"/>
      <c r="E17" s="289" t="s">
        <v>57</v>
      </c>
      <c r="F17" s="289"/>
    </row>
    <row r="27" spans="1:6" x14ac:dyDescent="0.35">
      <c r="B27" s="5"/>
    </row>
    <row r="28" spans="1:6" x14ac:dyDescent="0.35">
      <c r="B28" s="5"/>
    </row>
    <row r="29" spans="1:6" s="5" customFormat="1" x14ac:dyDescent="0.35">
      <c r="A29" s="6"/>
      <c r="C29" s="102"/>
      <c r="D29" s="102"/>
      <c r="F29" s="6"/>
    </row>
  </sheetData>
  <mergeCells count="5">
    <mergeCell ref="A8:B8"/>
    <mergeCell ref="E12:F12"/>
    <mergeCell ref="E13:F13"/>
    <mergeCell ref="E17:F17"/>
    <mergeCell ref="A10:F10"/>
  </mergeCells>
  <printOptions horizontalCentered="1"/>
  <pageMargins left="0.39370078740157483" right="0.39370078740157483" top="0.74803149606299213" bottom="0.74803149606299213" header="0.31496062992125984" footer="0.31496062992125984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8"/>
  <sheetViews>
    <sheetView view="pageBreakPreview" zoomScaleSheetLayoutView="100" workbookViewId="0">
      <selection activeCell="A10" sqref="A10"/>
    </sheetView>
  </sheetViews>
  <sheetFormatPr defaultColWidth="9.1796875" defaultRowHeight="14.5" x14ac:dyDescent="0.35"/>
  <cols>
    <col min="1" max="1" width="5.1796875" style="6" customWidth="1"/>
    <col min="2" max="2" width="27.81640625" style="4" customWidth="1"/>
    <col min="3" max="3" width="15.26953125" style="5" customWidth="1"/>
    <col min="4" max="5" width="15" style="5" customWidth="1"/>
    <col min="6" max="6" width="15.26953125" style="6" customWidth="1"/>
    <col min="7" max="16384" width="9.1796875" style="4"/>
  </cols>
  <sheetData>
    <row r="1" spans="1:8" x14ac:dyDescent="0.35">
      <c r="A1" s="3" t="s">
        <v>13</v>
      </c>
    </row>
    <row r="2" spans="1:8" x14ac:dyDescent="0.35">
      <c r="A2" s="3" t="s">
        <v>33</v>
      </c>
    </row>
    <row r="3" spans="1:8" x14ac:dyDescent="0.35">
      <c r="A3" s="3" t="s">
        <v>49</v>
      </c>
    </row>
    <row r="5" spans="1:8" s="9" customFormat="1" ht="24" customHeight="1" thickBot="1" x14ac:dyDescent="0.4">
      <c r="A5" s="7" t="s">
        <v>1</v>
      </c>
      <c r="B5" s="7" t="s">
        <v>11</v>
      </c>
      <c r="C5" s="8" t="s">
        <v>14</v>
      </c>
      <c r="D5" s="8" t="s">
        <v>15</v>
      </c>
      <c r="E5" s="8" t="s">
        <v>16</v>
      </c>
      <c r="F5" s="7" t="s">
        <v>17</v>
      </c>
      <c r="H5" s="9" t="s">
        <v>44</v>
      </c>
    </row>
    <row r="6" spans="1:8" ht="24" customHeight="1" thickTop="1" thickBot="1" x14ac:dyDescent="0.4">
      <c r="A6" s="28">
        <v>1</v>
      </c>
      <c r="B6" s="30" t="s">
        <v>7</v>
      </c>
      <c r="C6" s="42">
        <v>0</v>
      </c>
      <c r="D6" s="42">
        <v>0</v>
      </c>
      <c r="E6" s="29">
        <f>C6+D6</f>
        <v>0</v>
      </c>
      <c r="F6" s="28" t="s">
        <v>43</v>
      </c>
    </row>
    <row r="7" spans="1:8" s="10" customFormat="1" ht="24" customHeight="1" thickTop="1" x14ac:dyDescent="0.35">
      <c r="A7" s="291" t="s">
        <v>4</v>
      </c>
      <c r="B7" s="291"/>
      <c r="C7" s="37">
        <f>SUM(C6:C6)</f>
        <v>0</v>
      </c>
      <c r="D7" s="37">
        <f>SUM(D6:D6)</f>
        <v>0</v>
      </c>
      <c r="E7" s="37">
        <f>SUM(E6:E6)</f>
        <v>0</v>
      </c>
      <c r="F7" s="38"/>
    </row>
    <row r="8" spans="1:8" x14ac:dyDescent="0.35">
      <c r="A8" s="34" t="s">
        <v>36</v>
      </c>
      <c r="B8" s="31"/>
      <c r="C8" s="32"/>
      <c r="D8" s="32"/>
      <c r="E8" s="32"/>
      <c r="F8" s="33"/>
    </row>
    <row r="9" spans="1:8" x14ac:dyDescent="0.35">
      <c r="A9" s="294" t="e">
        <v>#NAME?</v>
      </c>
      <c r="B9" s="294"/>
      <c r="C9" s="294"/>
      <c r="D9" s="294"/>
      <c r="E9" s="294"/>
      <c r="F9" s="294"/>
    </row>
    <row r="10" spans="1:8" x14ac:dyDescent="0.35">
      <c r="A10" s="3"/>
      <c r="B10" s="3"/>
      <c r="C10" s="3"/>
      <c r="D10" s="3"/>
      <c r="E10" s="3"/>
      <c r="F10" s="3"/>
    </row>
    <row r="11" spans="1:8" x14ac:dyDescent="0.35">
      <c r="E11" s="292" t="s">
        <v>50</v>
      </c>
      <c r="F11" s="292"/>
    </row>
    <row r="12" spans="1:8" x14ac:dyDescent="0.35">
      <c r="B12" s="6" t="s">
        <v>12</v>
      </c>
      <c r="E12" s="292" t="s">
        <v>37</v>
      </c>
      <c r="F12" s="292"/>
    </row>
    <row r="13" spans="1:8" x14ac:dyDescent="0.35">
      <c r="B13" s="6"/>
    </row>
    <row r="14" spans="1:8" x14ac:dyDescent="0.35">
      <c r="B14" s="6"/>
    </row>
    <row r="15" spans="1:8" x14ac:dyDescent="0.35">
      <c r="B15" s="6"/>
    </row>
    <row r="16" spans="1:8" x14ac:dyDescent="0.35">
      <c r="B16" s="9" t="s">
        <v>45</v>
      </c>
      <c r="E16" s="293" t="s">
        <v>47</v>
      </c>
      <c r="F16" s="293"/>
    </row>
    <row r="26" spans="2:2" x14ac:dyDescent="0.35">
      <c r="B26" s="5"/>
    </row>
    <row r="27" spans="2:2" x14ac:dyDescent="0.35">
      <c r="B27" s="5"/>
    </row>
    <row r="28" spans="2:2" x14ac:dyDescent="0.35">
      <c r="B28" s="5"/>
    </row>
  </sheetData>
  <mergeCells count="5">
    <mergeCell ref="A7:B7"/>
    <mergeCell ref="E11:F11"/>
    <mergeCell ref="E12:F12"/>
    <mergeCell ref="E16:F16"/>
    <mergeCell ref="A9:F9"/>
  </mergeCells>
  <printOptions horizontalCentered="1"/>
  <pageMargins left="0.39370078740157483" right="0.39370078740157483" top="0.74803149606299213" bottom="0.74803149606299213" header="0.31496062992125984" footer="0.31496062992125984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9"/>
  <sheetViews>
    <sheetView view="pageBreakPreview" zoomScale="106" zoomScaleSheetLayoutView="106" workbookViewId="0">
      <selection activeCell="E7" sqref="E7"/>
    </sheetView>
  </sheetViews>
  <sheetFormatPr defaultColWidth="9.1796875" defaultRowHeight="14.5" x14ac:dyDescent="0.35"/>
  <cols>
    <col min="1" max="1" width="5.1796875" style="6" customWidth="1"/>
    <col min="2" max="2" width="30.54296875" style="4" customWidth="1"/>
    <col min="3" max="3" width="15.26953125" style="121" customWidth="1"/>
    <col min="4" max="4" width="15" style="121" customWidth="1"/>
    <col min="5" max="5" width="15" style="5" customWidth="1"/>
    <col min="6" max="6" width="16.1796875" style="6" customWidth="1"/>
    <col min="7" max="16384" width="9.1796875" style="4"/>
  </cols>
  <sheetData>
    <row r="1" spans="1:6" x14ac:dyDescent="0.35">
      <c r="A1" s="71" t="s">
        <v>31</v>
      </c>
      <c r="B1" s="72"/>
      <c r="C1" s="112"/>
      <c r="D1" s="112"/>
      <c r="E1" s="73"/>
      <c r="F1" s="74"/>
    </row>
    <row r="2" spans="1:6" x14ac:dyDescent="0.35">
      <c r="A2" s="71" t="s">
        <v>32</v>
      </c>
      <c r="B2" s="72"/>
      <c r="C2" s="112"/>
      <c r="D2" s="112"/>
      <c r="E2" s="73"/>
      <c r="F2" s="74"/>
    </row>
    <row r="3" spans="1:6" x14ac:dyDescent="0.35">
      <c r="A3" s="71" t="s">
        <v>80</v>
      </c>
      <c r="B3" s="72"/>
      <c r="C3" s="112"/>
      <c r="D3" s="112"/>
      <c r="E3" s="73"/>
      <c r="F3" s="74"/>
    </row>
    <row r="4" spans="1:6" ht="15" thickBot="1" x14ac:dyDescent="0.4">
      <c r="A4" s="74"/>
      <c r="B4" s="72"/>
      <c r="C4" s="112"/>
      <c r="D4" s="112"/>
      <c r="E4" s="73"/>
      <c r="F4" s="74"/>
    </row>
    <row r="5" spans="1:6" s="9" customFormat="1" ht="19.5" customHeight="1" thickBot="1" x14ac:dyDescent="0.4">
      <c r="A5" s="75" t="s">
        <v>1</v>
      </c>
      <c r="B5" s="76" t="s">
        <v>11</v>
      </c>
      <c r="C5" s="113" t="s">
        <v>14</v>
      </c>
      <c r="D5" s="114" t="s">
        <v>15</v>
      </c>
      <c r="E5" s="77" t="s">
        <v>16</v>
      </c>
      <c r="F5" s="78" t="s">
        <v>17</v>
      </c>
    </row>
    <row r="6" spans="1:6" s="9" customFormat="1" ht="13.5" customHeight="1" thickBot="1" x14ac:dyDescent="0.4">
      <c r="A6" s="94">
        <v>1</v>
      </c>
      <c r="B6" s="95">
        <v>2</v>
      </c>
      <c r="C6" s="115">
        <v>3</v>
      </c>
      <c r="D6" s="116">
        <v>4</v>
      </c>
      <c r="E6" s="96" t="s">
        <v>67</v>
      </c>
      <c r="F6" s="97">
        <v>6</v>
      </c>
    </row>
    <row r="7" spans="1:6" ht="19.5" customHeight="1" thickBot="1" x14ac:dyDescent="0.4">
      <c r="A7" s="91">
        <v>1</v>
      </c>
      <c r="B7" s="110" t="s">
        <v>51</v>
      </c>
      <c r="C7" s="122">
        <v>0</v>
      </c>
      <c r="D7" s="123">
        <v>0</v>
      </c>
      <c r="E7" s="92">
        <f>C7+D7</f>
        <v>0</v>
      </c>
      <c r="F7" s="93" t="s">
        <v>53</v>
      </c>
    </row>
    <row r="8" spans="1:6" s="10" customFormat="1" ht="19.5" customHeight="1" thickBot="1" x14ac:dyDescent="0.4">
      <c r="A8" s="286" t="s">
        <v>4</v>
      </c>
      <c r="B8" s="295"/>
      <c r="C8" s="117">
        <f>SUM(C7:C7)</f>
        <v>0</v>
      </c>
      <c r="D8" s="118">
        <f>SUM(D7:D7)</f>
        <v>0</v>
      </c>
      <c r="E8" s="101">
        <f>SUM(E7:E7)</f>
        <v>0</v>
      </c>
      <c r="F8" s="111"/>
    </row>
    <row r="9" spans="1:6" x14ac:dyDescent="0.35">
      <c r="A9" s="84" t="s">
        <v>35</v>
      </c>
      <c r="B9" s="85"/>
      <c r="C9" s="119"/>
      <c r="D9" s="119"/>
      <c r="E9" s="86"/>
      <c r="F9" s="87"/>
    </row>
    <row r="10" spans="1:6" x14ac:dyDescent="0.35">
      <c r="A10" s="290" t="e">
        <v>#NAME?</v>
      </c>
      <c r="B10" s="290"/>
      <c r="C10" s="290"/>
      <c r="D10" s="290"/>
      <c r="E10" s="290"/>
      <c r="F10" s="290"/>
    </row>
    <row r="11" spans="1:6" x14ac:dyDescent="0.35">
      <c r="A11" s="74"/>
      <c r="B11" s="74"/>
      <c r="C11" s="120"/>
      <c r="D11" s="120"/>
      <c r="E11" s="74"/>
      <c r="F11" s="74"/>
    </row>
    <row r="12" spans="1:6" x14ac:dyDescent="0.35">
      <c r="A12" s="74"/>
      <c r="B12" s="72"/>
      <c r="C12" s="112"/>
      <c r="D12" s="112"/>
      <c r="E12" s="288" t="s">
        <v>79</v>
      </c>
      <c r="F12" s="288"/>
    </row>
    <row r="13" spans="1:6" x14ac:dyDescent="0.35">
      <c r="A13" s="74"/>
      <c r="B13" s="74" t="s">
        <v>12</v>
      </c>
      <c r="C13" s="112"/>
      <c r="D13" s="112"/>
      <c r="E13" s="288" t="s">
        <v>37</v>
      </c>
      <c r="F13" s="288"/>
    </row>
    <row r="14" spans="1:6" x14ac:dyDescent="0.35">
      <c r="A14" s="74"/>
      <c r="B14" s="74"/>
      <c r="C14" s="112"/>
      <c r="D14" s="112"/>
      <c r="E14" s="73"/>
      <c r="F14" s="74"/>
    </row>
    <row r="15" spans="1:6" x14ac:dyDescent="0.35">
      <c r="A15" s="74"/>
      <c r="B15" s="74"/>
      <c r="C15" s="112"/>
      <c r="D15" s="112"/>
      <c r="E15" s="73"/>
      <c r="F15" s="74"/>
    </row>
    <row r="16" spans="1:6" x14ac:dyDescent="0.35">
      <c r="A16" s="74"/>
      <c r="B16" s="74"/>
      <c r="C16" s="112"/>
      <c r="D16" s="112" t="s">
        <v>68</v>
      </c>
      <c r="E16" s="73"/>
      <c r="F16" s="74" t="s">
        <v>52</v>
      </c>
    </row>
    <row r="17" spans="1:6" x14ac:dyDescent="0.35">
      <c r="A17" s="74"/>
      <c r="B17" s="90" t="s">
        <v>69</v>
      </c>
      <c r="C17" s="112"/>
      <c r="D17" s="112"/>
      <c r="E17" s="289" t="s">
        <v>57</v>
      </c>
      <c r="F17" s="289"/>
    </row>
    <row r="27" spans="1:6" x14ac:dyDescent="0.35">
      <c r="B27" s="5"/>
    </row>
    <row r="28" spans="1:6" x14ac:dyDescent="0.35">
      <c r="B28" s="5"/>
    </row>
    <row r="29" spans="1:6" x14ac:dyDescent="0.35">
      <c r="B29" s="5"/>
    </row>
  </sheetData>
  <sortState xmlns:xlrd2="http://schemas.microsoft.com/office/spreadsheetml/2017/richdata2" ref="B7:F8">
    <sortCondition ref="B7"/>
  </sortState>
  <mergeCells count="5">
    <mergeCell ref="A8:B8"/>
    <mergeCell ref="E12:F12"/>
    <mergeCell ref="E13:F13"/>
    <mergeCell ref="E17:F17"/>
    <mergeCell ref="A10:F10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98" orientation="portrait" horizontalDpi="300" verticalDpi="300" r:id="rId1"/>
  <colBreaks count="1" manualBreakCount="1">
    <brk id="6" max="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TANDA TERIMA</vt:lpstr>
      <vt:lpstr>DAFTAR (2)</vt:lpstr>
      <vt:lpstr>REKAP (2)</vt:lpstr>
      <vt:lpstr>REKAP (3)</vt:lpstr>
      <vt:lpstr>REKAP</vt:lpstr>
      <vt:lpstr>DAFTAR</vt:lpstr>
      <vt:lpstr>REGULER &amp; KHUSUS</vt:lpstr>
      <vt:lpstr>Khusus &amp; reguler</vt:lpstr>
      <vt:lpstr>DKI (2)</vt:lpstr>
      <vt:lpstr>DKI(LUNAS)</vt:lpstr>
      <vt:lpstr>BRIS</vt:lpstr>
      <vt:lpstr>BRIS!Print_Area</vt:lpstr>
      <vt:lpstr>DAFTAR!Print_Area</vt:lpstr>
      <vt:lpstr>'DAFTAR (2)'!Print_Area</vt:lpstr>
      <vt:lpstr>'DKI(LUNAS)'!Print_Area</vt:lpstr>
      <vt:lpstr>'Khusus &amp; reguler'!Print_Area</vt:lpstr>
      <vt:lpstr>'REGULER &amp; KHUSUS'!Print_Area</vt:lpstr>
      <vt:lpstr>REKAP!Print_Area</vt:lpstr>
      <vt:lpstr>'REKAP (2)'!Print_Area</vt:lpstr>
      <vt:lpstr>'REKAP (3)'!Print_Area</vt:lpstr>
      <vt:lpstr>'TANDA TERIMA'!Print_Area</vt:lpstr>
      <vt:lpstr>DAFTAR!Print_Titles</vt:lpstr>
      <vt:lpstr>'DAFTAR (2)'!Print_Titles</vt:lpstr>
      <vt:lpstr>'Khusus &amp; reguler'!Print_Titles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Koperasi BKI</dc:creator>
  <cp:lastModifiedBy>Vivi Hazlinda</cp:lastModifiedBy>
  <cp:lastPrinted>2025-12-15T06:51:59Z</cp:lastPrinted>
  <dcterms:created xsi:type="dcterms:W3CDTF">2010-04-21T00:57:03Z</dcterms:created>
  <dcterms:modified xsi:type="dcterms:W3CDTF">2026-01-12T04:18:19Z</dcterms:modified>
</cp:coreProperties>
</file>