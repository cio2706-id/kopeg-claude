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DARH\Desktop\2025 - SHAIDATUN ROHMAH\2025 - SHAIDATUN ROHMAH\C. KERTAS KERJA 2025\"/>
    </mc:Choice>
  </mc:AlternateContent>
  <xr:revisionPtr revIDLastSave="0" documentId="13_ncr:1_{01FFF144-DDDC-4851-8922-1E419A14B9AB}" xr6:coauthVersionLast="47" xr6:coauthVersionMax="47" xr10:uidLastSave="{00000000-0000-0000-0000-000000000000}"/>
  <bookViews>
    <workbookView xWindow="-110" yWindow="-110" windowWidth="19420" windowHeight="10300" tabRatio="895" xr2:uid="{1D265DC4-EFF6-4FD9-8079-85E6340A5CE5}"/>
  </bookViews>
  <sheets>
    <sheet name="REKAP PIUTANG BANK" sheetId="3" r:id="rId1"/>
    <sheet name="Sheet1" sheetId="10" r:id="rId2"/>
    <sheet name="Sheet3" sheetId="9" state="hidden" r:id="rId3"/>
    <sheet name="Piutang Bank Mandiri -24" sheetId="2" state="hidden" r:id="rId4"/>
    <sheet name="Piutang Bank BSI-24" sheetId="5" state="hidden" r:id="rId5"/>
    <sheet name="Piutang Bank Mandiri -25" sheetId="6" state="hidden" r:id="rId6"/>
    <sheet name="Piutang Bank BSI - 25" sheetId="7" state="hidden" r:id="rId7"/>
  </sheets>
  <definedNames>
    <definedName name="_xlnm.Print_Area" localSheetId="0">'REKAP PIUTANG BANK'!$A$1:$AE$78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0" l="1"/>
  <c r="AH47" i="3"/>
  <c r="W47" i="3"/>
  <c r="B10" i="10" l="1"/>
  <c r="B6" i="10"/>
  <c r="B5" i="10"/>
  <c r="AE47" i="3"/>
  <c r="V77" i="3"/>
  <c r="V76" i="3"/>
  <c r="B9" i="10" l="1"/>
  <c r="AE20" i="3" l="1"/>
  <c r="AE21" i="3"/>
  <c r="AE22" i="3"/>
  <c r="AE18" i="3" l="1"/>
  <c r="AE11" i="3" l="1"/>
  <c r="AE19" i="3"/>
  <c r="AE15" i="3"/>
  <c r="AE14" i="3"/>
  <c r="AE10" i="3"/>
  <c r="AE12" i="3"/>
  <c r="AE9" i="3"/>
  <c r="AE5" i="3"/>
  <c r="AE6" i="3"/>
  <c r="AE4" i="3"/>
  <c r="AD76" i="3" l="1"/>
  <c r="AD78" i="3" s="1"/>
  <c r="AE75" i="3"/>
  <c r="AE74" i="3"/>
  <c r="AE73" i="3"/>
  <c r="AE72" i="3"/>
  <c r="AE71" i="3"/>
  <c r="AE70" i="3"/>
  <c r="AE69" i="3"/>
  <c r="AE68" i="3"/>
  <c r="AE67" i="3"/>
  <c r="AE65" i="3"/>
  <c r="AE64" i="3"/>
  <c r="AE63" i="3"/>
  <c r="AE62" i="3"/>
  <c r="AE61" i="3"/>
  <c r="AE59" i="3"/>
  <c r="AE58" i="3"/>
  <c r="AE56" i="3"/>
  <c r="AE54" i="3"/>
  <c r="AE53" i="3"/>
  <c r="AE50" i="3"/>
  <c r="AE49" i="3"/>
  <c r="AE48" i="3"/>
  <c r="AE46" i="3"/>
  <c r="AE45" i="3"/>
  <c r="AE43" i="3"/>
  <c r="AE42" i="3"/>
  <c r="AE41" i="3"/>
  <c r="AE40" i="3"/>
  <c r="AE38" i="3"/>
  <c r="AE36" i="3"/>
  <c r="AE35" i="3"/>
  <c r="AE33" i="3"/>
  <c r="AC77" i="3"/>
  <c r="AC76" i="3"/>
  <c r="AC78" i="3" s="1"/>
  <c r="AE76" i="3" l="1"/>
  <c r="AC21" i="3"/>
  <c r="AB77" i="3"/>
  <c r="S76" i="3"/>
  <c r="T76" i="3"/>
  <c r="U76" i="3"/>
  <c r="W76" i="3"/>
  <c r="AC24" i="3" l="1"/>
  <c r="AC26" i="3" s="1"/>
  <c r="AD24" i="3"/>
  <c r="AD26" i="3" s="1"/>
  <c r="AB24" i="3"/>
  <c r="AB26" i="3" s="1"/>
  <c r="AB76" i="3" l="1"/>
  <c r="AB78" i="3" s="1"/>
  <c r="AA46" i="3"/>
  <c r="AA40" i="3"/>
  <c r="AA66" i="3"/>
  <c r="AA76" i="3" l="1"/>
  <c r="AA77" i="3"/>
  <c r="AA78" i="3" l="1"/>
  <c r="AA24" i="3" l="1"/>
  <c r="AA26" i="3" l="1"/>
  <c r="Z37" i="3"/>
  <c r="Z76" i="3" s="1"/>
  <c r="Z78" i="3" l="1"/>
  <c r="Y68" i="3"/>
  <c r="Y76" i="3" s="1"/>
  <c r="Y77" i="3" l="1"/>
  <c r="X37" i="3"/>
  <c r="X77" i="3" l="1"/>
  <c r="X67" i="3" l="1"/>
  <c r="X76" i="3" l="1"/>
  <c r="X78" i="3" s="1"/>
  <c r="V47" i="3"/>
  <c r="U77" i="3"/>
  <c r="Z24" i="3" l="1"/>
  <c r="Z26" i="3" s="1"/>
  <c r="S24" i="3"/>
  <c r="T24" i="3"/>
  <c r="U24" i="3"/>
  <c r="V24" i="3"/>
  <c r="Y24" i="3" l="1"/>
  <c r="Y26" i="3" s="1"/>
  <c r="X24" i="3" l="1"/>
  <c r="X26" i="3" s="1"/>
  <c r="W24" i="3" l="1"/>
  <c r="F8" i="9"/>
  <c r="D9" i="9"/>
  <c r="D8" i="9"/>
  <c r="D5" i="9"/>
  <c r="D4" i="9"/>
  <c r="W84" i="3"/>
  <c r="V84" i="3"/>
  <c r="V80" i="3"/>
  <c r="G550" i="7"/>
  <c r="G551" i="7" s="1"/>
  <c r="W26" i="3" l="1"/>
  <c r="W78" i="3"/>
  <c r="Y78" i="3"/>
  <c r="F556" i="7"/>
  <c r="E556" i="7"/>
  <c r="D556" i="7"/>
  <c r="G534" i="7"/>
  <c r="G535" i="7" s="1"/>
  <c r="G536" i="7" s="1"/>
  <c r="G537" i="7" s="1"/>
  <c r="G538" i="7" s="1"/>
  <c r="G539" i="7" s="1"/>
  <c r="G540" i="7" s="1"/>
  <c r="G541" i="7" s="1"/>
  <c r="G542" i="7" s="1"/>
  <c r="G543" i="7" s="1"/>
  <c r="G544" i="7" s="1"/>
  <c r="G545" i="7" s="1"/>
  <c r="G520" i="7"/>
  <c r="G521" i="7" s="1"/>
  <c r="G522" i="7" s="1"/>
  <c r="G523" i="7" s="1"/>
  <c r="G524" i="7" s="1"/>
  <c r="G525" i="7" s="1"/>
  <c r="G526" i="7" s="1"/>
  <c r="G527" i="7" s="1"/>
  <c r="G528" i="7" s="1"/>
  <c r="G529" i="7" s="1"/>
  <c r="G530" i="7" s="1"/>
  <c r="G531" i="7" s="1"/>
  <c r="G507" i="7"/>
  <c r="G508" i="7" s="1"/>
  <c r="G509" i="7" s="1"/>
  <c r="G510" i="7" s="1"/>
  <c r="G511" i="7" s="1"/>
  <c r="G512" i="7" s="1"/>
  <c r="G513" i="7" s="1"/>
  <c r="G514" i="7" s="1"/>
  <c r="G515" i="7" s="1"/>
  <c r="G516" i="7" s="1"/>
  <c r="G517" i="7" s="1"/>
  <c r="G494" i="7"/>
  <c r="G495" i="7" s="1"/>
  <c r="G496" i="7" s="1"/>
  <c r="G497" i="7" s="1"/>
  <c r="G498" i="7" s="1"/>
  <c r="G499" i="7" s="1"/>
  <c r="G500" i="7" s="1"/>
  <c r="G501" i="7" s="1"/>
  <c r="G502" i="7" s="1"/>
  <c r="G503" i="7" s="1"/>
  <c r="G504" i="7" s="1"/>
  <c r="G480" i="7"/>
  <c r="G481" i="7" s="1"/>
  <c r="G482" i="7" s="1"/>
  <c r="G483" i="7" s="1"/>
  <c r="G484" i="7" s="1"/>
  <c r="G485" i="7" s="1"/>
  <c r="G486" i="7" s="1"/>
  <c r="G487" i="7" s="1"/>
  <c r="G488" i="7" s="1"/>
  <c r="G489" i="7" s="1"/>
  <c r="G490" i="7" s="1"/>
  <c r="G491" i="7" s="1"/>
  <c r="G466" i="7"/>
  <c r="G467" i="7" s="1"/>
  <c r="G468" i="7" s="1"/>
  <c r="G469" i="7" s="1"/>
  <c r="G470" i="7" s="1"/>
  <c r="G471" i="7" s="1"/>
  <c r="G472" i="7" s="1"/>
  <c r="G473" i="7" s="1"/>
  <c r="G474" i="7" s="1"/>
  <c r="G475" i="7" s="1"/>
  <c r="G476" i="7" s="1"/>
  <c r="G477" i="7" s="1"/>
  <c r="G451" i="7"/>
  <c r="G452" i="7" s="1"/>
  <c r="G453" i="7" s="1"/>
  <c r="G454" i="7" s="1"/>
  <c r="G455" i="7" s="1"/>
  <c r="G456" i="7" s="1"/>
  <c r="G457" i="7" s="1"/>
  <c r="G458" i="7" s="1"/>
  <c r="G459" i="7" s="1"/>
  <c r="G460" i="7" s="1"/>
  <c r="G461" i="7" s="1"/>
  <c r="G462" i="7" s="1"/>
  <c r="G463" i="7" s="1"/>
  <c r="G437" i="7"/>
  <c r="G438" i="7" s="1"/>
  <c r="G439" i="7" s="1"/>
  <c r="G440" i="7" s="1"/>
  <c r="G441" i="7" s="1"/>
  <c r="G442" i="7" s="1"/>
  <c r="G443" i="7" s="1"/>
  <c r="G444" i="7" s="1"/>
  <c r="G445" i="7" s="1"/>
  <c r="G446" i="7" s="1"/>
  <c r="G447" i="7" s="1"/>
  <c r="G448" i="7" s="1"/>
  <c r="G423" i="7"/>
  <c r="G424" i="7" s="1"/>
  <c r="G425" i="7" s="1"/>
  <c r="G426" i="7" s="1"/>
  <c r="G427" i="7" s="1"/>
  <c r="G428" i="7" s="1"/>
  <c r="G429" i="7" s="1"/>
  <c r="G430" i="7" s="1"/>
  <c r="G431" i="7" s="1"/>
  <c r="G432" i="7" s="1"/>
  <c r="G433" i="7" s="1"/>
  <c r="G434" i="7" s="1"/>
  <c r="G409" i="7"/>
  <c r="G410" i="7" s="1"/>
  <c r="G411" i="7" s="1"/>
  <c r="G412" i="7" s="1"/>
  <c r="G413" i="7" s="1"/>
  <c r="G414" i="7" s="1"/>
  <c r="G415" i="7" s="1"/>
  <c r="G416" i="7" s="1"/>
  <c r="G417" i="7" s="1"/>
  <c r="G418" i="7" s="1"/>
  <c r="G419" i="7" s="1"/>
  <c r="G420" i="7" s="1"/>
  <c r="G396" i="7"/>
  <c r="G397" i="7" s="1"/>
  <c r="G398" i="7" s="1"/>
  <c r="G399" i="7" s="1"/>
  <c r="G400" i="7" s="1"/>
  <c r="G401" i="7" s="1"/>
  <c r="G402" i="7" s="1"/>
  <c r="G403" i="7" s="1"/>
  <c r="G404" i="7" s="1"/>
  <c r="G405" i="7" s="1"/>
  <c r="G406" i="7" s="1"/>
  <c r="G368" i="7"/>
  <c r="G369" i="7" s="1"/>
  <c r="G370" i="7" s="1"/>
  <c r="G371" i="7" s="1"/>
  <c r="G372" i="7" s="1"/>
  <c r="G373" i="7" s="1"/>
  <c r="G374" i="7" s="1"/>
  <c r="G375" i="7" s="1"/>
  <c r="G376" i="7" s="1"/>
  <c r="G377" i="7" s="1"/>
  <c r="G378" i="7" s="1"/>
  <c r="G353" i="7"/>
  <c r="G354" i="7" s="1"/>
  <c r="G355" i="7" s="1"/>
  <c r="G356" i="7" s="1"/>
  <c r="G357" i="7" s="1"/>
  <c r="G358" i="7" s="1"/>
  <c r="G359" i="7" s="1"/>
  <c r="G360" i="7" s="1"/>
  <c r="G361" i="7" s="1"/>
  <c r="G362" i="7" s="1"/>
  <c r="G363" i="7" s="1"/>
  <c r="G364" i="7" s="1"/>
  <c r="G340" i="7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25" i="7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298" i="7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283" i="7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56" i="7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42" i="7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28" i="7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14" i="7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01" i="7"/>
  <c r="G202" i="7" s="1"/>
  <c r="G203" i="7" s="1"/>
  <c r="G187" i="7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72" i="7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49" i="7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38" i="7"/>
  <c r="G139" i="7" s="1"/>
  <c r="G140" i="7" s="1"/>
  <c r="G141" i="7" s="1"/>
  <c r="G142" i="7" s="1"/>
  <c r="G143" i="7" s="1"/>
  <c r="G144" i="7" s="1"/>
  <c r="G145" i="7" s="1"/>
  <c r="G146" i="7" s="1"/>
  <c r="G124" i="7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10" i="7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96" i="7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80" i="7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66" i="7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37" i="7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U78" i="3" l="1"/>
  <c r="T78" i="3"/>
  <c r="V78" i="3"/>
  <c r="S78" i="3"/>
  <c r="V26" i="3" l="1"/>
  <c r="U26" i="3"/>
  <c r="T26" i="3"/>
  <c r="S26" i="3"/>
  <c r="G209" i="6" l="1"/>
  <c r="G121" i="6"/>
  <c r="G85" i="6"/>
  <c r="J65" i="3"/>
  <c r="G457" i="5"/>
  <c r="G458" i="5" s="1"/>
  <c r="G459" i="5" s="1"/>
  <c r="G460" i="5" s="1"/>
  <c r="G461" i="5" s="1"/>
  <c r="G92" i="5" l="1"/>
  <c r="G91" i="5"/>
  <c r="I65" i="3"/>
  <c r="E548" i="5"/>
  <c r="D76" i="3"/>
  <c r="J69" i="3" a="1"/>
  <c r="J69" i="3" s="1"/>
  <c r="E69" i="3" a="1"/>
  <c r="E69" i="3" s="1"/>
  <c r="J68" i="3" a="1"/>
  <c r="J68" i="3" s="1"/>
  <c r="E68" i="3" a="1"/>
  <c r="E68" i="3" s="1"/>
  <c r="P65" i="3"/>
  <c r="O65" i="3"/>
  <c r="N65" i="3"/>
  <c r="M65" i="3"/>
  <c r="L65" i="3"/>
  <c r="K65" i="3"/>
  <c r="H65" i="3"/>
  <c r="G65" i="3"/>
  <c r="F65" i="3"/>
  <c r="E65" i="3"/>
  <c r="Q19" i="3"/>
  <c r="Q20" i="3"/>
  <c r="Q21" i="3"/>
  <c r="P42" i="3"/>
  <c r="O42" i="3"/>
  <c r="N42" i="3"/>
  <c r="M42" i="3"/>
  <c r="L42" i="3"/>
  <c r="K42" i="3"/>
  <c r="J42" i="3"/>
  <c r="I42" i="3"/>
  <c r="H42" i="3"/>
  <c r="G146" i="5"/>
  <c r="G42" i="3"/>
  <c r="I38" i="3"/>
  <c r="P38" i="3"/>
  <c r="O38" i="3"/>
  <c r="N38" i="3"/>
  <c r="M38" i="3"/>
  <c r="L38" i="3"/>
  <c r="K38" i="3"/>
  <c r="J38" i="3"/>
  <c r="H38" i="3"/>
  <c r="G38" i="3"/>
  <c r="F38" i="3"/>
  <c r="E38" i="3"/>
  <c r="Q38" i="3" s="1"/>
  <c r="E71" i="3" a="1"/>
  <c r="E71" i="3" s="1"/>
  <c r="Q71" i="3" s="1"/>
  <c r="E70" i="3" a="1"/>
  <c r="E70" i="3" s="1"/>
  <c r="Q70" i="3" s="1"/>
  <c r="E67" i="3" a="1"/>
  <c r="E67" i="3" s="1"/>
  <c r="R67" i="3" s="1"/>
  <c r="E66" i="3" a="1"/>
  <c r="E66" i="3" s="1"/>
  <c r="R66" i="3" s="1"/>
  <c r="AE66" i="3" s="1"/>
  <c r="E64" i="3" a="1"/>
  <c r="E64" i="3" s="1"/>
  <c r="Q64" i="3" s="1"/>
  <c r="E63" i="3" a="1"/>
  <c r="E63" i="3" s="1"/>
  <c r="Q63" i="3" s="1"/>
  <c r="E62" i="3" a="1"/>
  <c r="E62" i="3" s="1"/>
  <c r="R62" i="3" s="1"/>
  <c r="E61" i="3" a="1"/>
  <c r="E61" i="3" s="1"/>
  <c r="Q61" i="3" s="1"/>
  <c r="E60" i="3" a="1"/>
  <c r="E60" i="3" s="1"/>
  <c r="R60" i="3" s="1"/>
  <c r="AE60" i="3" s="1"/>
  <c r="E59" i="3" a="1"/>
  <c r="E59" i="3" s="1"/>
  <c r="R59" i="3" s="1"/>
  <c r="E58" i="3" a="1"/>
  <c r="E58" i="3" s="1"/>
  <c r="R58" i="3" s="1"/>
  <c r="E57" i="3" a="1"/>
  <c r="E57" i="3" s="1"/>
  <c r="R57" i="3" s="1"/>
  <c r="E56" i="3" a="1"/>
  <c r="E56" i="3" s="1"/>
  <c r="Q56" i="3" s="1"/>
  <c r="E55" i="3" a="1"/>
  <c r="E55" i="3" s="1"/>
  <c r="Q55" i="3" s="1"/>
  <c r="E54" i="3" a="1"/>
  <c r="E54" i="3" s="1"/>
  <c r="Q54" i="3" s="1"/>
  <c r="E53" i="3" a="1"/>
  <c r="E53" i="3" s="1"/>
  <c r="Q53" i="3" s="1"/>
  <c r="E52" i="3" a="1"/>
  <c r="E52" i="3" s="1"/>
  <c r="Q52" i="3" s="1"/>
  <c r="E51" i="3" a="1"/>
  <c r="E51" i="3" s="1"/>
  <c r="R51" i="3" s="1"/>
  <c r="AE51" i="3" s="1"/>
  <c r="E50" i="3" a="1"/>
  <c r="E50" i="3" s="1"/>
  <c r="R50" i="3" s="1"/>
  <c r="E49" i="3" a="1"/>
  <c r="E49" i="3" s="1"/>
  <c r="Q49" i="3" s="1"/>
  <c r="E48" i="3" a="1"/>
  <c r="E48" i="3" s="1"/>
  <c r="Q48" i="3" s="1"/>
  <c r="E47" i="3" a="1"/>
  <c r="E47" i="3" s="1"/>
  <c r="R47" i="3" s="1"/>
  <c r="E46" i="3" a="1"/>
  <c r="E46" i="3" s="1"/>
  <c r="R46" i="3" s="1"/>
  <c r="E45" i="3" a="1"/>
  <c r="E45" i="3" s="1"/>
  <c r="R45" i="3" s="1"/>
  <c r="E44" i="3" a="1"/>
  <c r="E44" i="3" s="1"/>
  <c r="Q44" i="3" s="1"/>
  <c r="E43" i="3" a="1"/>
  <c r="E43" i="3" s="1"/>
  <c r="Q43" i="3" s="1"/>
  <c r="E41" i="3" a="1"/>
  <c r="E41" i="3" s="1"/>
  <c r="R41" i="3" s="1"/>
  <c r="E40" i="3" a="1"/>
  <c r="E40" i="3" s="1"/>
  <c r="R40" i="3" s="1"/>
  <c r="E39" i="3" a="1"/>
  <c r="E39" i="3" s="1"/>
  <c r="Q39" i="3" s="1"/>
  <c r="G85" i="5"/>
  <c r="E37" i="3" a="1"/>
  <c r="E37" i="3" s="1"/>
  <c r="R37" i="3" s="1"/>
  <c r="E36" i="3" a="1"/>
  <c r="E36" i="3" s="1"/>
  <c r="Q36" i="3" s="1"/>
  <c r="E35" i="3" a="1"/>
  <c r="E35" i="3" s="1"/>
  <c r="R35" i="3" s="1"/>
  <c r="G544" i="5"/>
  <c r="G545" i="5" s="1"/>
  <c r="G530" i="5"/>
  <c r="G531" i="5" s="1"/>
  <c r="G490" i="5"/>
  <c r="G491" i="5"/>
  <c r="G476" i="5"/>
  <c r="G477" i="5" s="1"/>
  <c r="G405" i="5"/>
  <c r="G406" i="5"/>
  <c r="G391" i="5"/>
  <c r="G392" i="5" s="1"/>
  <c r="G377" i="5"/>
  <c r="G378" i="5"/>
  <c r="G363" i="5"/>
  <c r="G364" i="5" s="1"/>
  <c r="G349" i="5"/>
  <c r="G350" i="5"/>
  <c r="G335" i="5"/>
  <c r="G336" i="5" s="1"/>
  <c r="G321" i="5"/>
  <c r="G307" i="5"/>
  <c r="G308" i="5" s="1"/>
  <c r="G293" i="5"/>
  <c r="G294" i="5"/>
  <c r="R49" i="3" l="1"/>
  <c r="Q42" i="3"/>
  <c r="Q35" i="3"/>
  <c r="R64" i="3"/>
  <c r="R63" i="3"/>
  <c r="Q47" i="3"/>
  <c r="Q45" i="3"/>
  <c r="R54" i="3"/>
  <c r="Q58" i="3"/>
  <c r="R61" i="3"/>
  <c r="Q51" i="3"/>
  <c r="Q46" i="3"/>
  <c r="R48" i="3"/>
  <c r="R52" i="3"/>
  <c r="AE52" i="3" s="1"/>
  <c r="R42" i="3"/>
  <c r="R39" i="3"/>
  <c r="AE39" i="3" s="1"/>
  <c r="Q59" i="3"/>
  <c r="R36" i="3"/>
  <c r="Q57" i="3"/>
  <c r="R38" i="3"/>
  <c r="R71" i="3"/>
  <c r="R70" i="3"/>
  <c r="Q60" i="3"/>
  <c r="R65" i="3"/>
  <c r="R53" i="3"/>
  <c r="R56" i="3"/>
  <c r="Q62" i="3"/>
  <c r="Q50" i="3"/>
  <c r="Q37" i="3"/>
  <c r="R55" i="3"/>
  <c r="AE55" i="3" s="1"/>
  <c r="R43" i="3"/>
  <c r="Q67" i="3"/>
  <c r="Q41" i="3"/>
  <c r="Q66" i="3"/>
  <c r="Q40" i="3"/>
  <c r="Q69" i="3"/>
  <c r="R69" i="3"/>
  <c r="Q68" i="3"/>
  <c r="R68" i="3"/>
  <c r="Q65" i="3"/>
  <c r="G419" i="5" l="1"/>
  <c r="G420" i="5" s="1"/>
  <c r="G433" i="5"/>
  <c r="G434" i="5"/>
  <c r="G447" i="5"/>
  <c r="G448" i="5"/>
  <c r="G462" i="5"/>
  <c r="G463" i="5" s="1"/>
  <c r="G51" i="5" l="1"/>
  <c r="G52" i="5" s="1"/>
  <c r="G53" i="5" s="1"/>
  <c r="G54" i="5" s="1"/>
  <c r="G55" i="5" s="1"/>
  <c r="G56" i="5" s="1"/>
  <c r="G57" i="5" s="1"/>
  <c r="G58" i="5" s="1"/>
  <c r="G59" i="5" s="1"/>
  <c r="E34" i="3" l="1" a="1"/>
  <c r="E34" i="3" s="1"/>
  <c r="D547" i="5"/>
  <c r="G138" i="5"/>
  <c r="F547" i="5"/>
  <c r="F549" i="5" s="1"/>
  <c r="E33" i="3" a="1"/>
  <c r="H76" i="3" l="1"/>
  <c r="H78" i="3" s="1"/>
  <c r="L76" i="3"/>
  <c r="L78" i="3" s="1"/>
  <c r="F76" i="3"/>
  <c r="F78" i="3" s="1"/>
  <c r="P76" i="3"/>
  <c r="P78" i="3" s="1"/>
  <c r="M76" i="3"/>
  <c r="M78" i="3" s="1"/>
  <c r="I76" i="3"/>
  <c r="I78" i="3" s="1"/>
  <c r="O76" i="3"/>
  <c r="O78" i="3" s="1"/>
  <c r="N76" i="3"/>
  <c r="N78" i="3" s="1"/>
  <c r="K76" i="3"/>
  <c r="K78" i="3" s="1"/>
  <c r="J76" i="3"/>
  <c r="J78" i="3" s="1"/>
  <c r="G76" i="3"/>
  <c r="G78" i="3" s="1"/>
  <c r="Q34" i="3"/>
  <c r="E33" i="3"/>
  <c r="E76" i="3" s="1"/>
  <c r="E547" i="5"/>
  <c r="E549" i="5" s="1"/>
  <c r="D78" i="3"/>
  <c r="R33" i="3" l="1"/>
  <c r="Q33" i="3"/>
  <c r="E78" i="3"/>
  <c r="R76" i="3" l="1"/>
  <c r="AE78" i="3"/>
  <c r="R78" i="3"/>
  <c r="Q76" i="3"/>
  <c r="Q78" i="3" s="1"/>
  <c r="G534" i="5"/>
  <c r="G535" i="5" s="1"/>
  <c r="G536" i="5" s="1"/>
  <c r="G537" i="5" s="1"/>
  <c r="G538" i="5" s="1"/>
  <c r="G539" i="5" s="1"/>
  <c r="G540" i="5" s="1"/>
  <c r="G541" i="5" s="1"/>
  <c r="G542" i="5" s="1"/>
  <c r="G543" i="5" s="1"/>
  <c r="G520" i="5"/>
  <c r="G521" i="5" s="1"/>
  <c r="G522" i="5" s="1"/>
  <c r="G523" i="5" s="1"/>
  <c r="G524" i="5" s="1"/>
  <c r="G525" i="5" s="1"/>
  <c r="G526" i="5" s="1"/>
  <c r="G527" i="5" s="1"/>
  <c r="G528" i="5" s="1"/>
  <c r="G529" i="5" s="1"/>
  <c r="G507" i="5"/>
  <c r="G508" i="5" s="1"/>
  <c r="G509" i="5" s="1"/>
  <c r="G510" i="5" s="1"/>
  <c r="G511" i="5" s="1"/>
  <c r="G512" i="5" s="1"/>
  <c r="G513" i="5" s="1"/>
  <c r="G514" i="5" s="1"/>
  <c r="G515" i="5" s="1"/>
  <c r="G516" i="5" s="1"/>
  <c r="G517" i="5" s="1"/>
  <c r="G494" i="5"/>
  <c r="G495" i="5" s="1"/>
  <c r="G496" i="5" s="1"/>
  <c r="G497" i="5" s="1"/>
  <c r="G498" i="5" s="1"/>
  <c r="G499" i="5" s="1"/>
  <c r="G500" i="5" s="1"/>
  <c r="G501" i="5" s="1"/>
  <c r="G502" i="5" s="1"/>
  <c r="G503" i="5" s="1"/>
  <c r="G504" i="5" s="1"/>
  <c r="G480" i="5"/>
  <c r="G481" i="5" s="1"/>
  <c r="G482" i="5" s="1"/>
  <c r="G483" i="5" s="1"/>
  <c r="G484" i="5" s="1"/>
  <c r="G485" i="5" s="1"/>
  <c r="G486" i="5" s="1"/>
  <c r="G487" i="5" s="1"/>
  <c r="G488" i="5" s="1"/>
  <c r="G489" i="5" s="1"/>
  <c r="G466" i="5"/>
  <c r="G467" i="5" s="1"/>
  <c r="G468" i="5" s="1"/>
  <c r="G469" i="5" s="1"/>
  <c r="G470" i="5" s="1"/>
  <c r="G471" i="5" s="1"/>
  <c r="G472" i="5" s="1"/>
  <c r="G473" i="5" s="1"/>
  <c r="G474" i="5" s="1"/>
  <c r="G475" i="5" s="1"/>
  <c r="G451" i="5"/>
  <c r="G452" i="5" s="1"/>
  <c r="G453" i="5" s="1"/>
  <c r="G454" i="5" s="1"/>
  <c r="G455" i="5" s="1"/>
  <c r="G456" i="5" s="1"/>
  <c r="G437" i="5"/>
  <c r="G438" i="5" s="1"/>
  <c r="G439" i="5" s="1"/>
  <c r="G440" i="5" s="1"/>
  <c r="G441" i="5" s="1"/>
  <c r="G442" i="5" s="1"/>
  <c r="G443" i="5" s="1"/>
  <c r="G444" i="5" s="1"/>
  <c r="G445" i="5" s="1"/>
  <c r="G446" i="5" s="1"/>
  <c r="G423" i="5"/>
  <c r="G424" i="5" s="1"/>
  <c r="G425" i="5" s="1"/>
  <c r="G426" i="5" s="1"/>
  <c r="G427" i="5" s="1"/>
  <c r="G428" i="5" s="1"/>
  <c r="G429" i="5" s="1"/>
  <c r="G430" i="5" s="1"/>
  <c r="G431" i="5" s="1"/>
  <c r="G432" i="5" s="1"/>
  <c r="G409" i="5"/>
  <c r="G410" i="5" s="1"/>
  <c r="G411" i="5" s="1"/>
  <c r="G412" i="5" s="1"/>
  <c r="G413" i="5" s="1"/>
  <c r="G414" i="5" s="1"/>
  <c r="G415" i="5" s="1"/>
  <c r="G416" i="5" s="1"/>
  <c r="G417" i="5" s="1"/>
  <c r="G418" i="5" s="1"/>
  <c r="G395" i="5"/>
  <c r="G396" i="5" s="1"/>
  <c r="G397" i="5" s="1"/>
  <c r="G398" i="5" s="1"/>
  <c r="G399" i="5" s="1"/>
  <c r="G400" i="5" s="1"/>
  <c r="G401" i="5" s="1"/>
  <c r="G402" i="5" s="1"/>
  <c r="G403" i="5" s="1"/>
  <c r="G404" i="5" s="1"/>
  <c r="G381" i="5"/>
  <c r="G382" i="5" s="1"/>
  <c r="G383" i="5" s="1"/>
  <c r="G384" i="5" s="1"/>
  <c r="G385" i="5" s="1"/>
  <c r="G386" i="5" s="1"/>
  <c r="G387" i="5" s="1"/>
  <c r="G388" i="5" s="1"/>
  <c r="G389" i="5" s="1"/>
  <c r="G390" i="5" s="1"/>
  <c r="G367" i="5"/>
  <c r="G368" i="5" s="1"/>
  <c r="G369" i="5" s="1"/>
  <c r="G370" i="5" s="1"/>
  <c r="G371" i="5" s="1"/>
  <c r="G372" i="5" s="1"/>
  <c r="G373" i="5" s="1"/>
  <c r="G374" i="5" s="1"/>
  <c r="G375" i="5" s="1"/>
  <c r="G376" i="5" s="1"/>
  <c r="G353" i="5"/>
  <c r="G354" i="5" s="1"/>
  <c r="G355" i="5" s="1"/>
  <c r="G356" i="5" s="1"/>
  <c r="G357" i="5" s="1"/>
  <c r="G358" i="5" s="1"/>
  <c r="G359" i="5" s="1"/>
  <c r="G360" i="5" s="1"/>
  <c r="G361" i="5" s="1"/>
  <c r="G362" i="5" s="1"/>
  <c r="G339" i="5"/>
  <c r="G340" i="5" s="1"/>
  <c r="G341" i="5" s="1"/>
  <c r="G342" i="5" s="1"/>
  <c r="G343" i="5" s="1"/>
  <c r="G344" i="5" s="1"/>
  <c r="G345" i="5" s="1"/>
  <c r="G346" i="5" s="1"/>
  <c r="G347" i="5" s="1"/>
  <c r="G348" i="5" s="1"/>
  <c r="G325" i="5"/>
  <c r="G326" i="5" s="1"/>
  <c r="G327" i="5" s="1"/>
  <c r="G328" i="5" s="1"/>
  <c r="G329" i="5" s="1"/>
  <c r="G330" i="5" s="1"/>
  <c r="G331" i="5" s="1"/>
  <c r="G332" i="5" s="1"/>
  <c r="G333" i="5" s="1"/>
  <c r="G334" i="5" s="1"/>
  <c r="G311" i="5"/>
  <c r="G312" i="5" s="1"/>
  <c r="G313" i="5" s="1"/>
  <c r="G314" i="5" s="1"/>
  <c r="G315" i="5" s="1"/>
  <c r="G316" i="5" s="1"/>
  <c r="G317" i="5" s="1"/>
  <c r="G318" i="5" s="1"/>
  <c r="G319" i="5" s="1"/>
  <c r="G320" i="5" s="1"/>
  <c r="G297" i="5"/>
  <c r="G298" i="5" s="1"/>
  <c r="G299" i="5" s="1"/>
  <c r="G300" i="5" s="1"/>
  <c r="G301" i="5" s="1"/>
  <c r="G302" i="5" s="1"/>
  <c r="G303" i="5" s="1"/>
  <c r="G304" i="5" s="1"/>
  <c r="G305" i="5" s="1"/>
  <c r="G306" i="5" s="1"/>
  <c r="G283" i="5"/>
  <c r="G284" i="5" s="1"/>
  <c r="G285" i="5" s="1"/>
  <c r="G286" i="5" s="1"/>
  <c r="G287" i="5" s="1"/>
  <c r="G288" i="5" s="1"/>
  <c r="G289" i="5" s="1"/>
  <c r="G290" i="5" s="1"/>
  <c r="G291" i="5" s="1"/>
  <c r="G292" i="5" s="1"/>
  <c r="G270" i="5"/>
  <c r="G271" i="5" s="1"/>
  <c r="G272" i="5" s="1"/>
  <c r="G273" i="5" s="1"/>
  <c r="G274" i="5" s="1"/>
  <c r="G275" i="5" s="1"/>
  <c r="G276" i="5" s="1"/>
  <c r="G277" i="5" s="1"/>
  <c r="G278" i="5" s="1"/>
  <c r="G279" i="5" s="1"/>
  <c r="G256" i="5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42" i="5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28" i="5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14" i="5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00" i="5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186" i="5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72" i="5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63" i="5"/>
  <c r="G164" i="5" s="1"/>
  <c r="G165" i="5" s="1"/>
  <c r="G166" i="5" s="1"/>
  <c r="G167" i="5" s="1"/>
  <c r="G149" i="5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39" i="5"/>
  <c r="G140" i="5" s="1"/>
  <c r="G141" i="5" s="1"/>
  <c r="G142" i="5" s="1"/>
  <c r="G143" i="5" s="1"/>
  <c r="G144" i="5" s="1"/>
  <c r="G145" i="5" s="1"/>
  <c r="G124" i="5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10" i="5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96" i="5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80" i="5"/>
  <c r="G81" i="5" s="1"/>
  <c r="G82" i="5" s="1"/>
  <c r="G83" i="5" s="1"/>
  <c r="G84" i="5" s="1"/>
  <c r="G86" i="5" s="1"/>
  <c r="G87" i="5" s="1"/>
  <c r="G88" i="5" s="1"/>
  <c r="G89" i="5" s="1"/>
  <c r="G90" i="5" s="1"/>
  <c r="G66" i="5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37" i="5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23" i="5"/>
  <c r="G24" i="5" s="1"/>
  <c r="G25" i="5" s="1"/>
  <c r="G26" i="5" s="1"/>
  <c r="G27" i="5" s="1"/>
  <c r="G28" i="5" s="1"/>
  <c r="G29" i="5" s="1"/>
  <c r="G30" i="5" s="1"/>
  <c r="G31" i="5" s="1"/>
  <c r="G9" i="5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E23" i="3" a="1"/>
  <c r="E23" i="3" s="1"/>
  <c r="Q23" i="3" s="1"/>
  <c r="F260" i="2" l="1"/>
  <c r="P22" i="3"/>
  <c r="O22" i="3"/>
  <c r="N22" i="3"/>
  <c r="M22" i="3"/>
  <c r="L22" i="3"/>
  <c r="K22" i="3"/>
  <c r="J22" i="3"/>
  <c r="I22" i="3"/>
  <c r="H22" i="3"/>
  <c r="G22" i="3"/>
  <c r="F22" i="3"/>
  <c r="E22" i="3"/>
  <c r="D21" i="3"/>
  <c r="G240" i="2"/>
  <c r="G241" i="2"/>
  <c r="E18" i="3" a="1"/>
  <c r="E18" i="3" s="1"/>
  <c r="Q18" i="3" s="1"/>
  <c r="E17" i="3" a="1"/>
  <c r="E17" i="3" s="1"/>
  <c r="Q17" i="3" s="1"/>
  <c r="E16" i="3" a="1"/>
  <c r="E16" i="3" s="1"/>
  <c r="Q16" i="3" s="1"/>
  <c r="E15" i="3" a="1"/>
  <c r="E15" i="3" s="1"/>
  <c r="Q15" i="3" s="1"/>
  <c r="E14" i="3" a="1"/>
  <c r="E14" i="3" s="1"/>
  <c r="Q14" i="3" s="1"/>
  <c r="E13" i="3" a="1"/>
  <c r="E13" i="3" s="1"/>
  <c r="Q13" i="3" s="1"/>
  <c r="E12" i="3" a="1"/>
  <c r="E12" i="3" s="1"/>
  <c r="Q12" i="3" s="1"/>
  <c r="G208" i="2"/>
  <c r="G207" i="2"/>
  <c r="G209" i="2" s="1"/>
  <c r="E11" i="3" a="1"/>
  <c r="E11" i="3" s="1"/>
  <c r="Q11" i="3" s="1"/>
  <c r="G138" i="2"/>
  <c r="G139" i="2" s="1"/>
  <c r="G140" i="2" s="1"/>
  <c r="E10" i="3" a="1"/>
  <c r="E10" i="3" s="1"/>
  <c r="Q10" i="3" s="1"/>
  <c r="E9" i="3" a="1"/>
  <c r="E9" i="3" s="1"/>
  <c r="Q9" i="3" s="1"/>
  <c r="E8" i="3" a="1"/>
  <c r="E8" i="3" s="1"/>
  <c r="Q8" i="3" s="1"/>
  <c r="E7" i="3" a="1"/>
  <c r="E7" i="3" s="1"/>
  <c r="Q7" i="3" s="1"/>
  <c r="G115" i="2"/>
  <c r="G116" i="2"/>
  <c r="G117" i="2" s="1"/>
  <c r="G118" i="2" s="1"/>
  <c r="G119" i="2" s="1"/>
  <c r="E6" i="3" a="1"/>
  <c r="E6" i="3" s="1"/>
  <c r="Q6" i="3" s="1"/>
  <c r="E5" i="3" a="1"/>
  <c r="E5" i="3" s="1"/>
  <c r="Q5" i="3" s="1"/>
  <c r="G154" i="2"/>
  <c r="G155" i="2" s="1"/>
  <c r="G156" i="2" s="1"/>
  <c r="P4" i="3"/>
  <c r="O4" i="3"/>
  <c r="N4" i="3"/>
  <c r="M4" i="3"/>
  <c r="L4" i="3"/>
  <c r="K4" i="3"/>
  <c r="J4" i="3"/>
  <c r="I4" i="3"/>
  <c r="H4" i="3"/>
  <c r="G4" i="3"/>
  <c r="E4" i="3"/>
  <c r="F4" i="3"/>
  <c r="D25" i="3"/>
  <c r="D23" i="3"/>
  <c r="D22" i="3"/>
  <c r="D20" i="3"/>
  <c r="R20" i="3" s="1"/>
  <c r="D19" i="3"/>
  <c r="R19" i="3" s="1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Q4" i="3" l="1"/>
  <c r="Q22" i="3"/>
  <c r="R21" i="3"/>
  <c r="R22" i="3"/>
  <c r="R18" i="3"/>
  <c r="R17" i="3"/>
  <c r="AE17" i="3" s="1"/>
  <c r="R16" i="3"/>
  <c r="AE16" i="3" s="1"/>
  <c r="R15" i="3"/>
  <c r="R14" i="3"/>
  <c r="R12" i="3"/>
  <c r="R11" i="3"/>
  <c r="R6" i="3"/>
  <c r="R7" i="3"/>
  <c r="AE7" i="3" s="1"/>
  <c r="R10" i="3"/>
  <c r="R9" i="3"/>
  <c r="R5" i="3"/>
  <c r="F24" i="3"/>
  <c r="F26" i="3" s="1"/>
  <c r="J24" i="3"/>
  <c r="J26" i="3" s="1"/>
  <c r="K24" i="3"/>
  <c r="K26" i="3" s="1"/>
  <c r="L24" i="3"/>
  <c r="L26" i="3" s="1"/>
  <c r="M24" i="3"/>
  <c r="M26" i="3" s="1"/>
  <c r="O24" i="3"/>
  <c r="O26" i="3" s="1"/>
  <c r="G24" i="3"/>
  <c r="G26" i="3" s="1"/>
  <c r="H24" i="3"/>
  <c r="H26" i="3" s="1"/>
  <c r="I24" i="3"/>
  <c r="I26" i="3" s="1"/>
  <c r="E24" i="3"/>
  <c r="E26" i="3" s="1"/>
  <c r="D24" i="3"/>
  <c r="D26" i="3" s="1"/>
  <c r="P24" i="3"/>
  <c r="P26" i="3" s="1"/>
  <c r="N24" i="3"/>
  <c r="N26" i="3" s="1"/>
  <c r="R4" i="3"/>
  <c r="AE24" i="3" l="1"/>
  <c r="F37" i="6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F127" i="6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F159" i="6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F52" i="6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F143" i="6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F175" i="6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R24" i="3"/>
  <c r="R26" i="3" s="1"/>
  <c r="F191" i="6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F104" i="6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F21" i="6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F6" i="6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F88" i="6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F68" i="6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Q24" i="3"/>
  <c r="Q26" i="3" s="1"/>
  <c r="AE26" i="3" l="1"/>
  <c r="G224" i="2"/>
  <c r="G225" i="2"/>
  <c r="E257" i="2" l="1"/>
  <c r="F257" i="2"/>
  <c r="D257" i="2"/>
  <c r="G256" i="2"/>
  <c r="G246" i="2"/>
  <c r="G247" i="2" s="1"/>
  <c r="G248" i="2" s="1"/>
  <c r="G249" i="2" s="1"/>
  <c r="G250" i="2" s="1"/>
  <c r="G251" i="2" s="1"/>
  <c r="G230" i="2"/>
  <c r="G231" i="2" s="1"/>
  <c r="G232" i="2" s="1"/>
  <c r="G233" i="2" s="1"/>
  <c r="G234" i="2" s="1"/>
  <c r="G235" i="2" s="1"/>
  <c r="G236" i="2" s="1"/>
  <c r="G237" i="2" s="1"/>
  <c r="G238" i="2" s="1"/>
  <c r="G239" i="2" s="1"/>
  <c r="G214" i="2"/>
  <c r="G215" i="2" s="1"/>
  <c r="G216" i="2" s="1"/>
  <c r="G217" i="2" s="1"/>
  <c r="G218" i="2" s="1"/>
  <c r="G219" i="2" s="1"/>
  <c r="G220" i="2" s="1"/>
  <c r="G221" i="2" s="1"/>
  <c r="G222" i="2" s="1"/>
  <c r="G223" i="2" s="1"/>
  <c r="G198" i="2"/>
  <c r="G199" i="2" s="1"/>
  <c r="G200" i="2" s="1"/>
  <c r="G201" i="2" s="1"/>
  <c r="G202" i="2" s="1"/>
  <c r="G203" i="2" s="1"/>
  <c r="G204" i="2" s="1"/>
  <c r="G205" i="2" s="1"/>
  <c r="G206" i="2" s="1"/>
  <c r="G182" i="2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67" i="2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60" i="2"/>
  <c r="G144" i="2"/>
  <c r="G145" i="2" s="1"/>
  <c r="G146" i="2" s="1"/>
  <c r="G147" i="2" s="1"/>
  <c r="G148" i="2" s="1"/>
  <c r="G149" i="2" s="1"/>
  <c r="G150" i="2" s="1"/>
  <c r="G151" i="2" s="1"/>
  <c r="G152" i="2" s="1"/>
  <c r="G153" i="2" s="1"/>
  <c r="G128" i="2"/>
  <c r="G129" i="2" s="1"/>
  <c r="G130" i="2" s="1"/>
  <c r="G131" i="2" s="1"/>
  <c r="G132" i="2" s="1"/>
  <c r="G133" i="2" s="1"/>
  <c r="G134" i="2" s="1"/>
  <c r="G135" i="2" s="1"/>
  <c r="G136" i="2" s="1"/>
  <c r="G137" i="2" s="1"/>
  <c r="G124" i="2"/>
  <c r="G108" i="2"/>
  <c r="G109" i="2" s="1"/>
  <c r="G110" i="2" s="1"/>
  <c r="G111" i="2" s="1"/>
  <c r="G112" i="2" s="1"/>
  <c r="G113" i="2" s="1"/>
  <c r="G114" i="2" s="1"/>
  <c r="G95" i="2"/>
  <c r="G96" i="2" s="1"/>
  <c r="G97" i="2" s="1"/>
  <c r="G98" i="2" s="1"/>
  <c r="G99" i="2" s="1"/>
  <c r="G100" i="2" s="1"/>
  <c r="G101" i="2" s="1"/>
  <c r="G102" i="2" s="1"/>
  <c r="G103" i="2" s="1"/>
  <c r="E260" i="2" l="1"/>
  <c r="G257" i="2"/>
  <c r="G81" i="2"/>
  <c r="G82" i="2" s="1"/>
  <c r="G83" i="2" s="1"/>
  <c r="G84" i="2" s="1"/>
  <c r="G85" i="2" s="1"/>
  <c r="G86" i="2" s="1"/>
  <c r="G87" i="2" s="1"/>
  <c r="G88" i="2" s="1"/>
  <c r="G89" i="2" s="1"/>
  <c r="G90" i="2" s="1"/>
  <c r="G67" i="2"/>
  <c r="G68" i="2" s="1"/>
  <c r="G69" i="2" s="1"/>
  <c r="G70" i="2" s="1"/>
  <c r="G71" i="2" s="1"/>
  <c r="G72" i="2" s="1"/>
  <c r="G73" i="2" s="1"/>
  <c r="G74" i="2" s="1"/>
  <c r="G75" i="2" s="1"/>
  <c r="G76" i="2" s="1"/>
  <c r="G61" i="2"/>
  <c r="G62" i="2" s="1"/>
  <c r="G63" i="2" s="1"/>
  <c r="G64" i="2" s="1"/>
  <c r="G46" i="2"/>
  <c r="G47" i="2" s="1"/>
  <c r="G48" i="2" s="1"/>
  <c r="G49" i="2" s="1"/>
  <c r="G50" i="2" s="1"/>
  <c r="G51" i="2" s="1"/>
  <c r="G52" i="2" s="1"/>
  <c r="G53" i="2" s="1"/>
  <c r="G54" i="2" s="1"/>
  <c r="G55" i="2" s="1"/>
  <c r="G30" i="2"/>
  <c r="G31" i="2" s="1"/>
  <c r="G32" i="2" s="1"/>
  <c r="G33" i="2" s="1"/>
  <c r="G34" i="2" s="1"/>
  <c r="G35" i="2" s="1"/>
  <c r="G36" i="2" s="1"/>
  <c r="G37" i="2" s="1"/>
  <c r="G38" i="2" s="1"/>
  <c r="G39" i="2" s="1"/>
  <c r="G15" i="2"/>
  <c r="G16" i="2" s="1"/>
  <c r="G17" i="2" s="1"/>
  <c r="G18" i="2" s="1"/>
  <c r="G19" i="2" s="1"/>
  <c r="G20" i="2" s="1"/>
  <c r="G21" i="2" s="1"/>
  <c r="G22" i="2" s="1"/>
  <c r="G23" i="2" s="1"/>
  <c r="G24" i="2" s="1"/>
  <c r="G7" i="2"/>
  <c r="G8" i="2" l="1"/>
  <c r="G9" i="2" s="1"/>
  <c r="G10" i="2" s="1"/>
  <c r="G11" i="2" s="1"/>
  <c r="G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<sst xmlns="http://schemas.openxmlformats.org/spreadsheetml/2006/main" count="3090" uniqueCount="244">
  <si>
    <t>Memo</t>
  </si>
  <si>
    <t>Saldo Awal</t>
  </si>
  <si>
    <t>Jumlah transaksi  Sub Perk</t>
  </si>
  <si>
    <t>Elis Rosida</t>
  </si>
  <si>
    <t>Endah Mustika Ningtyas</t>
  </si>
  <si>
    <t>Erry Sanjaya Djayus</t>
  </si>
  <si>
    <t>Kasa</t>
  </si>
  <si>
    <t>Angsuran Pinjaman Bank Mandiri Erry Sanjaya Djayus</t>
  </si>
  <si>
    <t>Selisih Pembulatan Pinjaman Bank Mandiri Erry Sanjaya Djayus</t>
  </si>
  <si>
    <t>Eva Sintauli Saragih, SE</t>
  </si>
  <si>
    <t>Angsuran Pinjaman Bank Mandiri Eva Sintauli Saragih, SE</t>
  </si>
  <si>
    <t>Angsuran Pinjaman Bank MandiriEva Sintauli Saragih, SE</t>
  </si>
  <si>
    <t>Indra Permana</t>
  </si>
  <si>
    <t>Angsuran Pinjaman Bank Mandiri Indra Permana</t>
  </si>
  <si>
    <t>Irwanto, B.Sc.</t>
  </si>
  <si>
    <t>Angsuran Pinjaman Bank Mandiri Irwanto, B.Sc.</t>
  </si>
  <si>
    <t>Mahmud Mochtar, ST</t>
  </si>
  <si>
    <t>Angsuran Pinjaman Bank Mandiri Mahmur Mochtar, ST</t>
  </si>
  <si>
    <t>Mahmur Mochtar, ST</t>
  </si>
  <si>
    <t>Moch. Zaky, ST.</t>
  </si>
  <si>
    <t>Prasetyo S.T</t>
  </si>
  <si>
    <t>Rachmat Kurniawan</t>
  </si>
  <si>
    <t>Angsuran Pinjaman Bank Mandiri Rachmat Kurniawan</t>
  </si>
  <si>
    <t>Rahadi Sigit</t>
  </si>
  <si>
    <t>Angsuran Pinjaman Bank Mandiri Rahadi Sigit</t>
  </si>
  <si>
    <t>Ratna S. Rini</t>
  </si>
  <si>
    <t>Angsuran Pinjaman Bank Mandiri Ratna S. Rini</t>
  </si>
  <si>
    <t>Pelunasan Pinjaman Bank Mandiri Ratna S. Rini</t>
  </si>
  <si>
    <t>Rochmansyah</t>
  </si>
  <si>
    <t>Angsuran Pinjaman Bank Mandiri Rochmansyah</t>
  </si>
  <si>
    <t>Angsuran Pinjaman Bank Mandir Rochmansyah</t>
  </si>
  <si>
    <t>Saridi</t>
  </si>
  <si>
    <t>Sudirman, SE</t>
  </si>
  <si>
    <t>Sukadi Redji</t>
  </si>
  <si>
    <t>Angsuran Pinjaman Bank Mandiri Sukadi Redji</t>
  </si>
  <si>
    <t>Sumartini</t>
  </si>
  <si>
    <t>Angsuran Pinjaman Bank Mandiri Sumartini</t>
  </si>
  <si>
    <t>Taufik Hidayat, SE, MM.</t>
  </si>
  <si>
    <t>Teguh Andani S.Sos</t>
  </si>
  <si>
    <t>Angsuran Pinjaman Bank Mandiri Teguh Andani S.Sos</t>
  </si>
  <si>
    <t>Togap Hidayat. Ir</t>
  </si>
  <si>
    <t>Angsuran Pinjaman Bank Mandiri Togap Hidayat. Ir</t>
  </si>
  <si>
    <t>Toni Syarif Hidayat</t>
  </si>
  <si>
    <t>Tri Laksono, Ir</t>
  </si>
  <si>
    <t>Angsuran Pinjaman Bank Mandiri Tri Laksono, Ir</t>
  </si>
  <si>
    <t>Angsuran Pinjaman Bank BSI Tri Laksono, Ir</t>
  </si>
  <si>
    <t>Wahidin</t>
  </si>
  <si>
    <t>Wahjoe Ario Tedjo, Ir</t>
  </si>
  <si>
    <t>Wawan Priya Widyanta</t>
  </si>
  <si>
    <t>Angsuran Pinjaman Bank Mandiri Wawan Priya Widyanta</t>
  </si>
  <si>
    <t>Eka Nanda Pratama, ST</t>
  </si>
  <si>
    <t>Angsuran Pinjaman Bank Mandiri Eka Nanda Pratama, ST</t>
  </si>
  <si>
    <t>Angsuran Pinjaman Bank Mandiri Eka Nanda Prataama, ST</t>
  </si>
  <si>
    <t>Angsuran Pinjaman Bank Mandirii Eka Nanda Pratama, ST</t>
  </si>
  <si>
    <t>Muhammad Sofyan</t>
  </si>
  <si>
    <t>Angsuran Pinjaman Bank Mandiri Muhammad Sofyan</t>
  </si>
  <si>
    <t>Guntur Anggriwan</t>
  </si>
  <si>
    <t>ANGSURAN</t>
  </si>
  <si>
    <t>SALDO AWAL</t>
  </si>
  <si>
    <t>D</t>
  </si>
  <si>
    <t>K</t>
  </si>
  <si>
    <t>SALDO AKHIR</t>
  </si>
  <si>
    <t>Saldo Akhir</t>
  </si>
  <si>
    <t xml:space="preserve">BANK MANDIRI </t>
  </si>
  <si>
    <t>No</t>
  </si>
  <si>
    <t xml:space="preserve">Nama </t>
  </si>
  <si>
    <t>Angsuran</t>
  </si>
  <si>
    <t>PEMBAYARAN TAHUN 2025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</si>
  <si>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</si>
  <si>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</si>
  <si>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</si>
  <si>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</si>
  <si>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</si>
  <si>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</si>
  <si>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</si>
  <si>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</si>
  <si>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</si>
  <si>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 xml:space="preserve">Oktober </t>
  </si>
  <si>
    <t xml:space="preserve">November </t>
  </si>
  <si>
    <t xml:space="preserve">Desember </t>
  </si>
  <si>
    <t>Sisa Hutang 2024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</si>
  <si>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</si>
  <si>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</si>
  <si>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</si>
  <si>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</si>
  <si>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</si>
  <si>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</si>
  <si>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</si>
  <si>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</si>
  <si>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</si>
  <si>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</si>
  <si>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</si>
  <si>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</si>
  <si>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Piutang</t>
  </si>
  <si>
    <t>M. Sofyan</t>
  </si>
  <si>
    <t>LUNAS</t>
  </si>
  <si>
    <t>Teguh Andani</t>
  </si>
  <si>
    <t>Erry Sanjaya</t>
  </si>
  <si>
    <t>Ratna S Rini</t>
  </si>
  <si>
    <t>PELUNASAN PINJAMAN AN RATNA S RINI</t>
  </si>
  <si>
    <t>Eka Nanda</t>
  </si>
  <si>
    <t>Taufik Hidayat</t>
  </si>
  <si>
    <t>Guntur Anggriawan</t>
  </si>
  <si>
    <t xml:space="preserve">Sudirman </t>
  </si>
  <si>
    <t xml:space="preserve">  </t>
  </si>
  <si>
    <t xml:space="preserve">Mahmur Mochtar </t>
  </si>
  <si>
    <t>TOTAL</t>
  </si>
  <si>
    <t>BANK BSI</t>
  </si>
  <si>
    <t>Indra Kusuma</t>
  </si>
  <si>
    <t>Haeruddin</t>
  </si>
  <si>
    <t>Andi Lama Passesu</t>
  </si>
  <si>
    <t>Zul Fajrin Azdin</t>
  </si>
  <si>
    <t>Suismono</t>
  </si>
  <si>
    <t>Nossy Osriat</t>
  </si>
  <si>
    <t>Soleh Abidin</t>
  </si>
  <si>
    <t>Dandi Rukmana</t>
  </si>
  <si>
    <t>Achmad Tawakkal</t>
  </si>
  <si>
    <t>Himawan</t>
  </si>
  <si>
    <t>Piutang 2023</t>
  </si>
  <si>
    <t>TOTAL PEMBAYARAN 2024</t>
  </si>
  <si>
    <t>1104.008</t>
  </si>
  <si>
    <t>Angsuran Pinjaman Bank BSI Achmad Tawakkal</t>
  </si>
  <si>
    <t>Agung Prihanto, Ir</t>
  </si>
  <si>
    <t>Angsuran Pinjaman Bank BSI Agung Prihanto, Ir</t>
  </si>
  <si>
    <t>Angsuran Pinjaman Bank BSI Andi Lama Passesu</t>
  </si>
  <si>
    <t>Arief Budi Permana, Ir</t>
  </si>
  <si>
    <t>Angsuran Pinjaman Bank BSI Arief Budi Permana, Ir</t>
  </si>
  <si>
    <t>Angsruan Pinjaman Bank BSI Arief Budi Permana, Ir</t>
  </si>
  <si>
    <t>Angsuran Pinjaman Bank BSI Dandi Rukmana</t>
  </si>
  <si>
    <t>Angsuran Pinjaman BSI Dandi Rukmana</t>
  </si>
  <si>
    <t>Dede Mamun, SE</t>
  </si>
  <si>
    <t>Angsuran Pinjaman Bank BSI Dede Mamun, SE</t>
  </si>
  <si>
    <t>Pelunasan Pinjaman Bank BSI Dede Mamun, SE</t>
  </si>
  <si>
    <t>Pencairan Pinjaman Bank BSI Dede Mamum</t>
  </si>
  <si>
    <t>Angsuran Pinjaman Bank BSI Elis Rosida</t>
  </si>
  <si>
    <t>Angsuran Pinjaman Bank BSI Endah Mustika Ningtyas</t>
  </si>
  <si>
    <t>Angsuran Pinjaman Bank BSI Eva Sintauli Saragih, SE</t>
  </si>
  <si>
    <t>Piutang Bank BSI Haeruddin</t>
  </si>
  <si>
    <t>Angsuran Pinjaman Bank BSI Haeruddin</t>
  </si>
  <si>
    <t>Harrys Pahala</t>
  </si>
  <si>
    <t>Angsuran Pinjaman Bank BSI Harrys Pahala</t>
  </si>
  <si>
    <t>Angsuran Pinjaman Bank BSI Himawan</t>
  </si>
  <si>
    <t>Selisih Pembulatan Pinjaman Bank BSI Himawan</t>
  </si>
  <si>
    <t>Angsuran Pinjaman Bank BSI Indra Kusuma</t>
  </si>
  <si>
    <t>Angsuran Pinjaman Bank BSI Indra Permana</t>
  </si>
  <si>
    <t>Angsuran Pinjaman Bank BSI Mahmur Mochtar, ST</t>
  </si>
  <si>
    <t>Angsuran Pinjaman Bank BSI Moch. Zaky, ST.</t>
  </si>
  <si>
    <t>Angsuran Pinjaman Bank BSI Nossy Osriat</t>
  </si>
  <si>
    <t>Nur Rahmad Hidayat, ST</t>
  </si>
  <si>
    <t>Angsuran Pinjaman Bank BSI Nur Rahmad Hidayat, ST</t>
  </si>
  <si>
    <t>Angsuran Pinjaman Bank BSI Prasetyo S.T</t>
  </si>
  <si>
    <t>Angsuran Pinjaman Bank BSI Ratna S. Rini</t>
  </si>
  <si>
    <t>Pelunasan Pinjaman Bank BSI Ratna S. Rini</t>
  </si>
  <si>
    <t>Angsuran Pinjaman Bank BSI Saridi</t>
  </si>
  <si>
    <t>Angsuran Pinjaman Bank BSI Soleh Abidin</t>
  </si>
  <si>
    <t>Angsuran Pinjaman Bank BSI  Soleh Abidin</t>
  </si>
  <si>
    <t>Angsuran Pinjaman Bank BSI Suismono</t>
  </si>
  <si>
    <t>Angsuran Pinjaman Bank BSI Sumartini</t>
  </si>
  <si>
    <t>Angsuran Pinjaman Bank BSI Toni Syarif Hidayat</t>
  </si>
  <si>
    <t>Angsuran Pinjaman Bank BSI Wahidin</t>
  </si>
  <si>
    <t>Angsuran Pinjaman Bank BSI Wahjoe Ario Tedjo, Ir</t>
  </si>
  <si>
    <t>Angsuran Pinjaman BSI Wahjoe Ario Tedjo, Ir</t>
  </si>
  <si>
    <t>Yohana Kaonseng</t>
  </si>
  <si>
    <t>Angsuran Pinjaman Bank BSI Yohana Kaonseng</t>
  </si>
  <si>
    <t>Agris Setyawan, ST.</t>
  </si>
  <si>
    <t>Angsuran Pinjaman Bank BSI Agris Setyawan, ST.</t>
  </si>
  <si>
    <t>Bayu Mahardika W, ST.</t>
  </si>
  <si>
    <t>Angsuran Pinjaman Bank BSI Bayu Mahardika W, ST.</t>
  </si>
  <si>
    <t>Neni Yuniarti</t>
  </si>
  <si>
    <t>Angsuran Pinjaman Bank BSI Neni Yuniarti</t>
  </si>
  <si>
    <t>Noah Cahyasasnita, ST.</t>
  </si>
  <si>
    <t>Angsuran Pinjaman Bank BSI Noah Cahyasasnita, ST.</t>
  </si>
  <si>
    <t>Irawati, ST</t>
  </si>
  <si>
    <t>Angsuran Pinjaman Bank BSI Irawati, ST</t>
  </si>
  <si>
    <t>Pencairan Pinjaman Bank BSI Irawati, ST</t>
  </si>
  <si>
    <t>Pelunasan Pinjaman Bank BSI Irawati, ST</t>
  </si>
  <si>
    <t>Alwin Ridwan</t>
  </si>
  <si>
    <t>Angsuran Pinjaman Bank BSI Alwin Ridwan</t>
  </si>
  <si>
    <t>Michelle Chantal Mustamu</t>
  </si>
  <si>
    <t>Angsuran Pinjaman Bank BSI Michelle Chantal Mustamu</t>
  </si>
  <si>
    <t>Hediar Hapri Bangabua</t>
  </si>
  <si>
    <t>Angsuran Pinjaman Bank BSI Hediar Hapri Bangabua</t>
  </si>
  <si>
    <t>R Ade Wardoyo</t>
  </si>
  <si>
    <t>Angsuran Pinjaman Bank BSI R Ade Wardoyo</t>
  </si>
  <si>
    <t>Angsuran Pinjaman Bank BSI Zul Fajrin Azdin</t>
  </si>
  <si>
    <t>Abd. Rahman, ST</t>
  </si>
  <si>
    <t>Angsuran Pinjaman Bank BSI Abd. Rahman, ST</t>
  </si>
  <si>
    <t>Angsuran Pinjaman BSI Abd. Rahman, ST</t>
  </si>
  <si>
    <t>PIUTANG BANK MANDIRI</t>
  </si>
  <si>
    <t>TUTUP DENGAN DANA BLOKIRAN PINJAMAN ANGGOTA</t>
  </si>
  <si>
    <t>PUSAT</t>
  </si>
  <si>
    <t>ACADEMY</t>
  </si>
  <si>
    <t>CABANG ALL</t>
  </si>
  <si>
    <t>PRIOK</t>
  </si>
  <si>
    <t>-</t>
  </si>
  <si>
    <t>Faried</t>
  </si>
  <si>
    <t>sebelum</t>
  </si>
  <si>
    <t>BSI FARIED</t>
  </si>
  <si>
    <t>Pokok Ditagih</t>
  </si>
  <si>
    <t>Pokok Seharusnya</t>
  </si>
  <si>
    <t>Selisih</t>
  </si>
  <si>
    <t>Jasa Ditagih</t>
  </si>
  <si>
    <t>Jasa Seharusnya</t>
  </si>
  <si>
    <t>Eva Sintauli Saragih</t>
  </si>
  <si>
    <t>Tri Laksono Joeniawan, S.T.</t>
  </si>
  <si>
    <t>Rachmad Kurniawan</t>
  </si>
  <si>
    <t>Togap Hidayat Siagian</t>
  </si>
  <si>
    <t>Achmad Tawakkal Rampa</t>
  </si>
  <si>
    <t>Andi Lamappasessu</t>
  </si>
  <si>
    <t>Dede Ma'mun Sumantri</t>
  </si>
  <si>
    <t>Endah Mustika Ningtias</t>
  </si>
  <si>
    <t>Haerudin</t>
  </si>
  <si>
    <t>Harrys Pahala Manalu</t>
  </si>
  <si>
    <t>Mochammad Zaky</t>
  </si>
  <si>
    <t>Nosy Osriat</t>
  </si>
  <si>
    <t>Nur Rahmad Hidayat</t>
  </si>
  <si>
    <t>Prasetyo</t>
  </si>
  <si>
    <t>Bayu Mahardika Wicaksono</t>
  </si>
  <si>
    <t>Nenny Yuniarti</t>
  </si>
  <si>
    <t>Irawati</t>
  </si>
  <si>
    <t>R. Agus Doddy Dwisagita</t>
  </si>
  <si>
    <t>IRWANTO</t>
  </si>
  <si>
    <t>Fauzi</t>
  </si>
  <si>
    <t>DIREKSI</t>
  </si>
  <si>
    <t>Adesta Munas Latief</t>
  </si>
  <si>
    <t>JKT KOM</t>
  </si>
  <si>
    <t>COE ENERGY</t>
  </si>
  <si>
    <t>COE TRANS &amp; LOGIS</t>
  </si>
  <si>
    <t>Sisa Hutang Tahun 2024</t>
  </si>
  <si>
    <t>Selisih lebih bayar potongan di bulan Mei 2025</t>
  </si>
  <si>
    <t>Angsuran pembayaran selama 2025</t>
  </si>
  <si>
    <t>Penambahan pinjaman di bulan Mei 2025</t>
  </si>
  <si>
    <t>Pelunasan Pokok dengan pinjaman baru</t>
  </si>
  <si>
    <t>Sisa Pinjaman per mei 2025</t>
  </si>
  <si>
    <t>Pembayaran Pinjaman dengan potongan baru</t>
  </si>
  <si>
    <t>Sisa Pinjaman per Desember 2025</t>
  </si>
  <si>
    <t>Pelunasan dengan asuransi karena meninggal</t>
  </si>
  <si>
    <t>Note: Pak Mahmur tetap dipotong saat bulan mei pengajuan pinjaman baru</t>
  </si>
  <si>
    <t>Jakarta, 5 Februari 2026</t>
  </si>
  <si>
    <t>Mengetahui,</t>
  </si>
  <si>
    <t>Dea Adawiyah</t>
  </si>
  <si>
    <t>Rincian pengembalian atas kelebihan potongan pinjaman BSI an Mahmur Mochtar</t>
  </si>
  <si>
    <t>Pembuat Daftar,</t>
  </si>
  <si>
    <t>Shaidatun Rohmah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</si>
</sst>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\-mm\-yyyy"/>
    <numFmt numFmtId="165" formatCode="#,##0.00_);\(#,##0.00\)"/>
    <numFmt numFmtId="166" formatCode="_-* #,##0_-;\-* #,##0_-;_-* &quot;-&quot;??_-;_-@_-"/>
    <numFmt numFmtId="167" formatCode="#,##0_);\(#,##0\)"/>
  </numFmts>
  <fonts count="21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u/>
      <sz val="10"/>
      <color indexed="8"/>
      <name val="Arial Narrow"/>
      <family val="2"/>
    </font>
    <font>
      <sz val="9"/>
      <color indexed="8"/>
      <name val="Arial Narrow"/>
      <family val="2"/>
    </font>
    <font>
      <sz val="10"/>
      <color indexed="8"/>
      <name val="Arial"/>
      <family val="2"/>
    </font>
    <font>
      <sz val="7"/>
      <color rgb="FF777777"/>
      <name val="Arial"/>
      <family val="2"/>
    </font>
    <font>
      <sz val="11"/>
      <name val="Arial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Calibri"/>
      <family val="2"/>
      <scheme val="minor"/>
    </font>
    <font>
      <sz val="10"/>
      <name val="Arial Narrow"/>
      <family val="2"/>
    </font>
    <font>
      <sz val="8"/>
      <color rgb="FF777777"/>
      <name val="Arial"/>
      <family val="2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top"/>
    </xf>
    <xf numFmtId="43" fontId="6" fillId="0" borderId="0" applyFont="0" applyFill="0" applyBorder="0" applyAlignment="0" applyProtection="0">
      <alignment vertical="top"/>
    </xf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top"/>
    </xf>
    <xf numFmtId="43" fontId="1" fillId="0" borderId="0" applyFont="0" applyFill="0" applyBorder="0" applyAlignment="0" applyProtection="0">
      <alignment vertical="top"/>
    </xf>
  </cellStyleXfs>
  <cellXfs count="159">
    <xf numFmtId="0" fontId="0" fillId="0" borderId="0" xfId="0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>
      <alignment vertical="top"/>
    </xf>
    <xf numFmtId="0" fontId="3" fillId="0" borderId="0" xfId="0" applyFont="1" applyAlignment="1">
      <alignment vertical="top" wrapText="1"/>
    </xf>
    <xf numFmtId="165" fontId="3" fillId="0" borderId="0" xfId="0" applyNumberFormat="1" applyFont="1">
      <alignment vertical="top"/>
    </xf>
    <xf numFmtId="0" fontId="3" fillId="0" borderId="0" xfId="0" applyFont="1" applyAlignment="1">
      <alignment vertical="top" wrapText="1" readingOrder="1"/>
    </xf>
    <xf numFmtId="0" fontId="2" fillId="0" borderId="0" xfId="0" applyFont="1">
      <alignment vertical="top"/>
    </xf>
    <xf numFmtId="165" fontId="2" fillId="0" borderId="0" xfId="0" applyNumberFormat="1" applyFont="1">
      <alignment vertical="top"/>
    </xf>
    <xf numFmtId="0" fontId="3" fillId="0" borderId="0" xfId="0" applyFont="1">
      <alignment vertical="top"/>
    </xf>
    <xf numFmtId="14" fontId="3" fillId="0" borderId="0" xfId="0" applyNumberFormat="1" applyFont="1">
      <alignment vertical="top"/>
    </xf>
    <xf numFmtId="164" fontId="3" fillId="0" borderId="0" xfId="0" applyNumberFormat="1" applyFont="1">
      <alignment vertical="top"/>
    </xf>
    <xf numFmtId="4" fontId="0" fillId="0" borderId="0" xfId="0" applyNumberFormat="1">
      <alignment vertical="top"/>
    </xf>
    <xf numFmtId="43" fontId="4" fillId="0" borderId="0" xfId="1" applyFont="1" applyAlignment="1">
      <alignment vertical="top"/>
    </xf>
    <xf numFmtId="43" fontId="3" fillId="0" borderId="0" xfId="1" applyFont="1" applyAlignment="1">
      <alignment vertical="top" wrapText="1"/>
    </xf>
    <xf numFmtId="43" fontId="3" fillId="0" borderId="0" xfId="1" applyFont="1" applyAlignment="1">
      <alignment vertical="top" wrapText="1" readingOrder="1"/>
    </xf>
    <xf numFmtId="43" fontId="0" fillId="0" borderId="0" xfId="1" applyFont="1">
      <alignment vertical="top"/>
    </xf>
    <xf numFmtId="43" fontId="0" fillId="0" borderId="0" xfId="0" applyNumberFormat="1">
      <alignment vertical="top"/>
    </xf>
    <xf numFmtId="43" fontId="3" fillId="0" borderId="0" xfId="0" applyNumberFormat="1" applyFont="1">
      <alignment vertical="top"/>
    </xf>
    <xf numFmtId="43" fontId="1" fillId="0" borderId="0" xfId="1" applyFont="1">
      <alignment vertical="top"/>
    </xf>
    <xf numFmtId="4" fontId="7" fillId="0" borderId="0" xfId="0" applyNumberFormat="1" applyFont="1">
      <alignment vertical="top"/>
    </xf>
    <xf numFmtId="166" fontId="9" fillId="0" borderId="0" xfId="2" applyNumberFormat="1" applyFont="1"/>
    <xf numFmtId="166" fontId="9" fillId="0" borderId="0" xfId="2" applyNumberFormat="1" applyFont="1" applyFill="1"/>
    <xf numFmtId="166" fontId="9" fillId="0" borderId="0" xfId="2" applyNumberFormat="1" applyFont="1" applyAlignment="1">
      <alignment horizontal="center"/>
    </xf>
    <xf numFmtId="166" fontId="10" fillId="0" borderId="10" xfId="2" applyNumberFormat="1" applyFont="1" applyFill="1" applyBorder="1" applyAlignment="1">
      <alignment horizontal="center" vertical="center"/>
    </xf>
    <xf numFmtId="166" fontId="9" fillId="0" borderId="12" xfId="2" applyNumberFormat="1" applyFont="1" applyFill="1" applyBorder="1"/>
    <xf numFmtId="166" fontId="9" fillId="2" borderId="11" xfId="2" applyNumberFormat="1" applyFont="1" applyFill="1" applyBorder="1"/>
    <xf numFmtId="166" fontId="9" fillId="2" borderId="12" xfId="2" applyNumberFormat="1" applyFont="1" applyFill="1" applyBorder="1"/>
    <xf numFmtId="166" fontId="9" fillId="2" borderId="8" xfId="2" applyNumberFormat="1" applyFont="1" applyFill="1" applyBorder="1"/>
    <xf numFmtId="166" fontId="9" fillId="2" borderId="9" xfId="2" applyNumberFormat="1" applyFont="1" applyFill="1" applyBorder="1"/>
    <xf numFmtId="166" fontId="10" fillId="0" borderId="9" xfId="2" applyNumberFormat="1" applyFont="1" applyFill="1" applyBorder="1"/>
    <xf numFmtId="166" fontId="9" fillId="2" borderId="0" xfId="2" applyNumberFormat="1" applyFont="1" applyFill="1"/>
    <xf numFmtId="166" fontId="9" fillId="0" borderId="0" xfId="2" applyNumberFormat="1" applyFont="1" applyFill="1" applyAlignment="1">
      <alignment horizontal="center"/>
    </xf>
    <xf numFmtId="166" fontId="10" fillId="0" borderId="4" xfId="2" applyNumberFormat="1" applyFont="1" applyFill="1" applyBorder="1" applyAlignment="1">
      <alignment horizontal="center" vertical="center"/>
    </xf>
    <xf numFmtId="166" fontId="9" fillId="0" borderId="7" xfId="2" applyNumberFormat="1" applyFont="1" applyFill="1" applyBorder="1" applyAlignment="1">
      <alignment horizontal="center"/>
    </xf>
    <xf numFmtId="166" fontId="10" fillId="0" borderId="5" xfId="2" applyNumberFormat="1" applyFont="1" applyFill="1" applyBorder="1" applyAlignment="1">
      <alignment horizontal="center" vertical="center"/>
    </xf>
    <xf numFmtId="166" fontId="10" fillId="0" borderId="10" xfId="2" applyNumberFormat="1" applyFont="1" applyFill="1" applyBorder="1" applyAlignment="1">
      <alignment horizontal="center"/>
    </xf>
    <xf numFmtId="166" fontId="9" fillId="0" borderId="11" xfId="2" applyNumberFormat="1" applyFont="1" applyFill="1" applyBorder="1"/>
    <xf numFmtId="166" fontId="9" fillId="0" borderId="12" xfId="2" applyNumberFormat="1" applyFont="1" applyFill="1" applyBorder="1" applyAlignment="1">
      <alignment horizontal="center"/>
    </xf>
    <xf numFmtId="43" fontId="9" fillId="0" borderId="11" xfId="2" applyFont="1" applyFill="1" applyBorder="1"/>
    <xf numFmtId="43" fontId="9" fillId="0" borderId="0" xfId="2" applyFont="1" applyFill="1"/>
    <xf numFmtId="166" fontId="10" fillId="0" borderId="10" xfId="2" applyNumberFormat="1" applyFont="1" applyFill="1" applyBorder="1" applyAlignment="1">
      <alignment horizontal="center" vertical="center" wrapText="1"/>
    </xf>
    <xf numFmtId="166" fontId="10" fillId="0" borderId="10" xfId="2" applyNumberFormat="1" applyFont="1" applyFill="1" applyBorder="1"/>
    <xf numFmtId="166" fontId="9" fillId="3" borderId="12" xfId="2" applyNumberFormat="1" applyFont="1" applyFill="1" applyBorder="1"/>
    <xf numFmtId="0" fontId="3" fillId="0" borderId="0" xfId="4" applyFont="1" applyAlignment="1">
      <alignment horizontal="left" vertical="top"/>
    </xf>
    <xf numFmtId="0" fontId="3" fillId="0" borderId="0" xfId="4" applyFont="1" applyAlignment="1">
      <alignment vertical="top" wrapText="1" readingOrder="1"/>
    </xf>
    <xf numFmtId="0" fontId="2" fillId="0" borderId="0" xfId="4" applyFont="1">
      <alignment vertical="top"/>
    </xf>
    <xf numFmtId="165" fontId="2" fillId="0" borderId="0" xfId="4" applyNumberFormat="1" applyFont="1">
      <alignment vertical="top"/>
    </xf>
    <xf numFmtId="164" fontId="3" fillId="0" borderId="0" xfId="4" applyNumberFormat="1" applyFont="1">
      <alignment vertical="top"/>
    </xf>
    <xf numFmtId="0" fontId="3" fillId="0" borderId="0" xfId="4" applyFont="1" applyAlignment="1">
      <alignment vertical="top" wrapText="1"/>
    </xf>
    <xf numFmtId="165" fontId="3" fillId="0" borderId="0" xfId="4" applyNumberFormat="1" applyFont="1">
      <alignment vertical="top"/>
    </xf>
    <xf numFmtId="0" fontId="4" fillId="0" borderId="0" xfId="4" applyFont="1">
      <alignment vertical="top"/>
    </xf>
    <xf numFmtId="0" fontId="3" fillId="0" borderId="0" xfId="4" applyFont="1">
      <alignment vertical="top"/>
    </xf>
    <xf numFmtId="166" fontId="2" fillId="0" borderId="0" xfId="1" applyNumberFormat="1" applyFont="1" applyAlignment="1">
      <alignment vertical="top"/>
    </xf>
    <xf numFmtId="166" fontId="3" fillId="0" borderId="0" xfId="1" applyNumberFormat="1" applyFont="1">
      <alignment vertical="top"/>
    </xf>
    <xf numFmtId="166" fontId="4" fillId="0" borderId="0" xfId="1" applyNumberFormat="1" applyFont="1" applyAlignment="1">
      <alignment vertical="top"/>
    </xf>
    <xf numFmtId="166" fontId="3" fillId="0" borderId="0" xfId="1" applyNumberFormat="1" applyFont="1" applyAlignment="1">
      <alignment vertical="top" wrapText="1"/>
    </xf>
    <xf numFmtId="166" fontId="5" fillId="0" borderId="0" xfId="1" applyNumberFormat="1" applyFont="1" applyAlignment="1">
      <alignment horizontal="left" vertical="top"/>
    </xf>
    <xf numFmtId="14" fontId="3" fillId="0" borderId="0" xfId="4" applyNumberFormat="1" applyFont="1">
      <alignment vertical="top"/>
    </xf>
    <xf numFmtId="167" fontId="3" fillId="0" borderId="0" xfId="1" applyNumberFormat="1" applyFont="1">
      <alignment vertical="top"/>
    </xf>
    <xf numFmtId="167" fontId="4" fillId="0" borderId="0" xfId="1" applyNumberFormat="1" applyFont="1" applyAlignment="1">
      <alignment vertical="top"/>
    </xf>
    <xf numFmtId="167" fontId="3" fillId="0" borderId="0" xfId="1" applyNumberFormat="1" applyFont="1" applyAlignment="1">
      <alignment vertical="top" wrapText="1"/>
    </xf>
    <xf numFmtId="167" fontId="3" fillId="0" borderId="0" xfId="4" applyNumberFormat="1" applyFont="1">
      <alignment vertical="top"/>
    </xf>
    <xf numFmtId="167" fontId="2" fillId="0" borderId="0" xfId="1" applyNumberFormat="1" applyFont="1" applyAlignment="1">
      <alignment vertical="top"/>
    </xf>
    <xf numFmtId="166" fontId="9" fillId="0" borderId="13" xfId="2" applyNumberFormat="1" applyFont="1" applyFill="1" applyBorder="1"/>
    <xf numFmtId="166" fontId="9" fillId="4" borderId="12" xfId="2" applyNumberFormat="1" applyFont="1" applyFill="1" applyBorder="1"/>
    <xf numFmtId="166" fontId="9" fillId="4" borderId="13" xfId="2" applyNumberFormat="1" applyFont="1" applyFill="1" applyBorder="1"/>
    <xf numFmtId="166" fontId="9" fillId="0" borderId="3" xfId="2" applyNumberFormat="1" applyFont="1" applyFill="1" applyBorder="1" applyAlignment="1">
      <alignment horizontal="center" vertical="center"/>
    </xf>
    <xf numFmtId="166" fontId="9" fillId="0" borderId="9" xfId="2" applyNumberFormat="1" applyFont="1" applyFill="1" applyBorder="1" applyAlignment="1">
      <alignment horizontal="center" vertical="center"/>
    </xf>
    <xf numFmtId="166" fontId="9" fillId="0" borderId="10" xfId="2" applyNumberFormat="1" applyFont="1" applyFill="1" applyBorder="1" applyAlignment="1">
      <alignment horizontal="center" vertical="center"/>
    </xf>
    <xf numFmtId="166" fontId="10" fillId="0" borderId="14" xfId="2" applyNumberFormat="1" applyFont="1" applyFill="1" applyBorder="1" applyAlignment="1">
      <alignment horizontal="center"/>
    </xf>
    <xf numFmtId="43" fontId="9" fillId="2" borderId="11" xfId="2" applyFont="1" applyFill="1" applyBorder="1"/>
    <xf numFmtId="43" fontId="9" fillId="2" borderId="0" xfId="2" applyFont="1" applyFill="1"/>
    <xf numFmtId="166" fontId="2" fillId="0" borderId="0" xfId="5" applyNumberFormat="1" applyFont="1" applyAlignment="1">
      <alignment vertical="top"/>
    </xf>
    <xf numFmtId="167" fontId="3" fillId="0" borderId="0" xfId="5" applyNumberFormat="1" applyFont="1">
      <alignment vertical="top"/>
    </xf>
    <xf numFmtId="166" fontId="3" fillId="0" borderId="0" xfId="5" applyNumberFormat="1" applyFont="1">
      <alignment vertical="top"/>
    </xf>
    <xf numFmtId="166" fontId="4" fillId="0" borderId="0" xfId="5" applyNumberFormat="1" applyFont="1" applyAlignment="1">
      <alignment vertical="top"/>
    </xf>
    <xf numFmtId="167" fontId="4" fillId="0" borderId="0" xfId="5" applyNumberFormat="1" applyFont="1" applyAlignment="1">
      <alignment vertical="top"/>
    </xf>
    <xf numFmtId="166" fontId="3" fillId="0" borderId="0" xfId="5" applyNumberFormat="1" applyFont="1" applyAlignment="1">
      <alignment vertical="top" wrapText="1"/>
    </xf>
    <xf numFmtId="167" fontId="3" fillId="0" borderId="0" xfId="5" applyNumberFormat="1" applyFont="1" applyAlignment="1">
      <alignment vertical="top" wrapText="1"/>
    </xf>
    <xf numFmtId="166" fontId="9" fillId="0" borderId="0" xfId="2" applyNumberFormat="1" applyFont="1" applyFill="1" applyBorder="1"/>
    <xf numFmtId="166" fontId="5" fillId="0" borderId="0" xfId="5" applyNumberFormat="1" applyFont="1" applyAlignment="1">
      <alignment horizontal="left" vertical="top"/>
    </xf>
    <xf numFmtId="167" fontId="3" fillId="0" borderId="0" xfId="4" applyNumberFormat="1" applyFont="1" applyAlignment="1">
      <alignment horizontal="right" vertical="top"/>
    </xf>
    <xf numFmtId="166" fontId="3" fillId="0" borderId="0" xfId="5" applyNumberFormat="1" applyFont="1" applyAlignment="1">
      <alignment horizontal="right" vertical="top"/>
    </xf>
    <xf numFmtId="166" fontId="5" fillId="0" borderId="0" xfId="5" applyNumberFormat="1" applyFont="1" applyAlignment="1">
      <alignment horizontal="right" vertical="top"/>
    </xf>
    <xf numFmtId="167" fontId="2" fillId="0" borderId="0" xfId="5" applyNumberFormat="1" applyFont="1" applyAlignment="1">
      <alignment vertical="top"/>
    </xf>
    <xf numFmtId="166" fontId="5" fillId="0" borderId="0" xfId="5" quotePrefix="1" applyNumberFormat="1" applyFont="1" applyAlignment="1">
      <alignment horizontal="right" vertical="top"/>
    </xf>
    <xf numFmtId="167" fontId="3" fillId="0" borderId="0" xfId="5" applyNumberFormat="1" applyFont="1" applyAlignment="1">
      <alignment horizontal="right" vertical="top"/>
    </xf>
    <xf numFmtId="166" fontId="13" fillId="0" borderId="0" xfId="2" applyNumberFormat="1" applyFont="1" applyFill="1" applyBorder="1" applyAlignment="1">
      <alignment horizontal="right"/>
    </xf>
    <xf numFmtId="166" fontId="3" fillId="0" borderId="0" xfId="5" applyNumberFormat="1" applyFont="1" applyBorder="1">
      <alignment vertical="top"/>
    </xf>
    <xf numFmtId="167" fontId="3" fillId="0" borderId="0" xfId="4" quotePrefix="1" applyNumberFormat="1" applyFont="1">
      <alignment vertical="top"/>
    </xf>
    <xf numFmtId="4" fontId="14" fillId="0" borderId="0" xfId="0" applyNumberFormat="1" applyFont="1">
      <alignment vertical="top"/>
    </xf>
    <xf numFmtId="166" fontId="9" fillId="5" borderId="12" xfId="2" applyNumberFormat="1" applyFont="1" applyFill="1" applyBorder="1"/>
    <xf numFmtId="0" fontId="12" fillId="0" borderId="12" xfId="4" applyFont="1" applyBorder="1">
      <alignment vertical="top"/>
    </xf>
    <xf numFmtId="165" fontId="12" fillId="0" borderId="12" xfId="4" applyNumberFormat="1" applyFont="1" applyBorder="1">
      <alignment vertical="top"/>
    </xf>
    <xf numFmtId="0" fontId="1" fillId="0" borderId="0" xfId="0" applyFont="1">
      <alignment vertical="top"/>
    </xf>
    <xf numFmtId="166" fontId="0" fillId="0" borderId="0" xfId="1" applyNumberFormat="1" applyFont="1">
      <alignment vertical="top"/>
    </xf>
    <xf numFmtId="166" fontId="1" fillId="0" borderId="0" xfId="1" applyNumberFormat="1" applyFont="1">
      <alignment vertical="top"/>
    </xf>
    <xf numFmtId="166" fontId="0" fillId="0" borderId="0" xfId="0" applyNumberFormat="1">
      <alignment vertical="top"/>
    </xf>
    <xf numFmtId="166" fontId="12" fillId="0" borderId="12" xfId="1" applyNumberFormat="1" applyFont="1" applyFill="1" applyBorder="1">
      <alignment vertical="top"/>
    </xf>
    <xf numFmtId="166" fontId="0" fillId="0" borderId="12" xfId="0" applyNumberFormat="1" applyBorder="1" applyAlignment="1"/>
    <xf numFmtId="0" fontId="12" fillId="5" borderId="12" xfId="4" applyFont="1" applyFill="1" applyBorder="1">
      <alignment vertical="top"/>
    </xf>
    <xf numFmtId="165" fontId="12" fillId="5" borderId="12" xfId="4" applyNumberFormat="1" applyFont="1" applyFill="1" applyBorder="1">
      <alignment vertical="top"/>
    </xf>
    <xf numFmtId="166" fontId="0" fillId="5" borderId="12" xfId="0" applyNumberFormat="1" applyFill="1" applyBorder="1" applyAlignment="1"/>
    <xf numFmtId="166" fontId="15" fillId="5" borderId="12" xfId="2" applyNumberFormat="1" applyFont="1" applyFill="1" applyBorder="1"/>
    <xf numFmtId="166" fontId="9" fillId="0" borderId="12" xfId="2" applyNumberFormat="1" applyFont="1" applyFill="1" applyBorder="1" applyAlignment="1">
      <alignment horizontal="center" vertical="center"/>
    </xf>
    <xf numFmtId="166" fontId="10" fillId="0" borderId="12" xfId="2" applyNumberFormat="1" applyFont="1" applyFill="1" applyBorder="1" applyAlignment="1">
      <alignment horizontal="center" vertical="center"/>
    </xf>
    <xf numFmtId="166" fontId="10" fillId="0" borderId="12" xfId="2" applyNumberFormat="1" applyFont="1" applyFill="1" applyBorder="1" applyAlignment="1">
      <alignment horizontal="center" vertical="center" wrapText="1"/>
    </xf>
    <xf numFmtId="166" fontId="10" fillId="0" borderId="12" xfId="2" applyNumberFormat="1" applyFont="1" applyFill="1" applyBorder="1" applyAlignment="1">
      <alignment horizontal="center"/>
    </xf>
    <xf numFmtId="166" fontId="9" fillId="0" borderId="10" xfId="2" applyNumberFormat="1" applyFont="1" applyFill="1" applyBorder="1" applyAlignment="1">
      <alignment horizontal="center"/>
    </xf>
    <xf numFmtId="166" fontId="10" fillId="0" borderId="7" xfId="2" applyNumberFormat="1" applyFont="1" applyFill="1" applyBorder="1" applyAlignment="1">
      <alignment horizontal="center"/>
    </xf>
    <xf numFmtId="166" fontId="9" fillId="5" borderId="13" xfId="2" applyNumberFormat="1" applyFont="1" applyFill="1" applyBorder="1"/>
    <xf numFmtId="166" fontId="9" fillId="5" borderId="0" xfId="2" applyNumberFormat="1" applyFont="1" applyFill="1" applyBorder="1"/>
    <xf numFmtId="166" fontId="9" fillId="5" borderId="0" xfId="2" applyNumberFormat="1" applyFont="1" applyFill="1"/>
    <xf numFmtId="166" fontId="9" fillId="6" borderId="12" xfId="2" applyNumberFormat="1" applyFont="1" applyFill="1" applyBorder="1"/>
    <xf numFmtId="0" fontId="9" fillId="6" borderId="12" xfId="4" applyFont="1" applyFill="1" applyBorder="1">
      <alignment vertical="top"/>
    </xf>
    <xf numFmtId="165" fontId="9" fillId="6" borderId="12" xfId="4" applyNumberFormat="1" applyFont="1" applyFill="1" applyBorder="1">
      <alignment vertical="top"/>
    </xf>
    <xf numFmtId="166" fontId="16" fillId="6" borderId="12" xfId="0" applyNumberFormat="1" applyFont="1" applyFill="1" applyBorder="1" applyAlignment="1"/>
    <xf numFmtId="166" fontId="9" fillId="6" borderId="0" xfId="2" applyNumberFormat="1" applyFont="1" applyFill="1"/>
    <xf numFmtId="166" fontId="9" fillId="7" borderId="12" xfId="2" applyNumberFormat="1" applyFont="1" applyFill="1" applyBorder="1"/>
    <xf numFmtId="166" fontId="9" fillId="7" borderId="13" xfId="2" applyNumberFormat="1" applyFont="1" applyFill="1" applyBorder="1"/>
    <xf numFmtId="0" fontId="12" fillId="2" borderId="12" xfId="4" applyFont="1" applyFill="1" applyBorder="1">
      <alignment vertical="top"/>
    </xf>
    <xf numFmtId="165" fontId="12" fillId="2" borderId="12" xfId="4" applyNumberFormat="1" applyFont="1" applyFill="1" applyBorder="1">
      <alignment vertical="top"/>
    </xf>
    <xf numFmtId="166" fontId="9" fillId="2" borderId="12" xfId="2" applyNumberFormat="1" applyFont="1" applyFill="1" applyBorder="1" applyAlignment="1">
      <alignment horizontal="center"/>
    </xf>
    <xf numFmtId="166" fontId="0" fillId="2" borderId="12" xfId="0" applyNumberFormat="1" applyFill="1" applyBorder="1" applyAlignment="1"/>
    <xf numFmtId="166" fontId="15" fillId="2" borderId="12" xfId="2" applyNumberFormat="1" applyFont="1" applyFill="1" applyBorder="1"/>
    <xf numFmtId="166" fontId="10" fillId="3" borderId="0" xfId="2" applyNumberFormat="1" applyFont="1" applyFill="1"/>
    <xf numFmtId="166" fontId="10" fillId="2" borderId="0" xfId="2" applyNumberFormat="1" applyFont="1" applyFill="1"/>
    <xf numFmtId="166" fontId="10" fillId="0" borderId="10" xfId="2" applyNumberFormat="1" applyFont="1" applyFill="1" applyBorder="1" applyAlignment="1">
      <alignment horizontal="center"/>
    </xf>
    <xf numFmtId="166" fontId="9" fillId="0" borderId="1" xfId="2" applyNumberFormat="1" applyFont="1" applyFill="1" applyBorder="1" applyAlignment="1">
      <alignment horizontal="center"/>
    </xf>
    <xf numFmtId="166" fontId="10" fillId="0" borderId="10" xfId="2" applyNumberFormat="1" applyFont="1" applyFill="1" applyBorder="1" applyAlignment="1">
      <alignment horizontal="center" vertical="center"/>
    </xf>
    <xf numFmtId="166" fontId="9" fillId="0" borderId="10" xfId="2" applyNumberFormat="1" applyFont="1" applyFill="1" applyBorder="1" applyAlignment="1">
      <alignment horizontal="center" vertical="center"/>
    </xf>
    <xf numFmtId="166" fontId="10" fillId="0" borderId="10" xfId="2" applyNumberFormat="1" applyFont="1" applyFill="1" applyBorder="1" applyAlignment="1">
      <alignment horizontal="center" vertical="center" wrapText="1"/>
    </xf>
    <xf numFmtId="166" fontId="10" fillId="0" borderId="5" xfId="2" applyNumberFormat="1" applyFont="1" applyFill="1" applyBorder="1" applyAlignment="1">
      <alignment horizontal="center"/>
    </xf>
    <xf numFmtId="166" fontId="10" fillId="0" borderId="6" xfId="2" applyNumberFormat="1" applyFont="1" applyFill="1" applyBorder="1" applyAlignment="1">
      <alignment horizontal="center"/>
    </xf>
    <xf numFmtId="166" fontId="10" fillId="0" borderId="8" xfId="2" applyNumberFormat="1" applyFont="1" applyFill="1" applyBorder="1" applyAlignment="1">
      <alignment horizontal="center"/>
    </xf>
    <xf numFmtId="166" fontId="10" fillId="0" borderId="14" xfId="2" applyNumberFormat="1" applyFont="1" applyFill="1" applyBorder="1" applyAlignment="1">
      <alignment horizontal="center"/>
    </xf>
    <xf numFmtId="166" fontId="10" fillId="0" borderId="2" xfId="2" applyNumberFormat="1" applyFont="1" applyFill="1" applyBorder="1" applyAlignment="1">
      <alignment horizontal="center" vertical="center"/>
    </xf>
    <xf numFmtId="166" fontId="10" fillId="0" borderId="8" xfId="2" applyNumberFormat="1" applyFont="1" applyFill="1" applyBorder="1" applyAlignment="1">
      <alignment horizontal="center" vertical="center"/>
    </xf>
    <xf numFmtId="166" fontId="9" fillId="0" borderId="3" xfId="2" applyNumberFormat="1" applyFont="1" applyFill="1" applyBorder="1" applyAlignment="1">
      <alignment horizontal="center" vertical="center"/>
    </xf>
    <xf numFmtId="166" fontId="9" fillId="0" borderId="9" xfId="2" applyNumberFormat="1" applyFont="1" applyFill="1" applyBorder="1" applyAlignment="1">
      <alignment horizontal="center" vertical="center"/>
    </xf>
    <xf numFmtId="166" fontId="10" fillId="0" borderId="3" xfId="2" applyNumberFormat="1" applyFont="1" applyFill="1" applyBorder="1" applyAlignment="1">
      <alignment horizontal="center" vertical="center" wrapText="1"/>
    </xf>
    <xf numFmtId="166" fontId="10" fillId="0" borderId="9" xfId="2" applyNumberFormat="1" applyFont="1" applyFill="1" applyBorder="1" applyAlignment="1">
      <alignment horizontal="center" vertical="center" wrapText="1"/>
    </xf>
    <xf numFmtId="166" fontId="10" fillId="0" borderId="4" xfId="2" applyNumberFormat="1" applyFont="1" applyFill="1" applyBorder="1" applyAlignment="1">
      <alignment horizontal="center" vertical="center"/>
    </xf>
    <xf numFmtId="0" fontId="2" fillId="0" borderId="0" xfId="4" applyFont="1" applyAlignment="1">
      <alignment horizontal="center" vertical="top"/>
    </xf>
    <xf numFmtId="166" fontId="10" fillId="6" borderId="12" xfId="2" applyNumberFormat="1" applyFont="1" applyFill="1" applyBorder="1"/>
    <xf numFmtId="0" fontId="17" fillId="0" borderId="0" xfId="0" applyFont="1">
      <alignment vertical="top"/>
    </xf>
    <xf numFmtId="166" fontId="17" fillId="0" borderId="0" xfId="1" applyNumberFormat="1" applyFont="1">
      <alignment vertical="top"/>
    </xf>
    <xf numFmtId="0" fontId="17" fillId="0" borderId="0" xfId="0" applyFont="1" applyAlignment="1">
      <alignment vertical="top" wrapText="1"/>
    </xf>
    <xf numFmtId="0" fontId="20" fillId="0" borderId="0" xfId="0" applyFont="1">
      <alignment vertical="top"/>
    </xf>
    <xf numFmtId="0" fontId="17" fillId="0" borderId="15" xfId="0" applyFont="1" applyBorder="1">
      <alignment vertical="top"/>
    </xf>
    <xf numFmtId="166" fontId="17" fillId="0" borderId="15" xfId="1" applyNumberFormat="1" applyFont="1" applyBorder="1">
      <alignment vertical="top"/>
    </xf>
    <xf numFmtId="166" fontId="18" fillId="0" borderId="15" xfId="1" applyNumberFormat="1" applyFont="1" applyBorder="1">
      <alignment vertical="top"/>
    </xf>
    <xf numFmtId="166" fontId="19" fillId="0" borderId="15" xfId="1" applyNumberFormat="1" applyFont="1" applyBorder="1">
      <alignment vertical="top"/>
    </xf>
    <xf numFmtId="0" fontId="20" fillId="5" borderId="15" xfId="0" applyFont="1" applyFill="1" applyBorder="1">
      <alignment vertical="top"/>
    </xf>
    <xf numFmtId="166" fontId="20" fillId="5" borderId="15" xfId="1" applyNumberFormat="1" applyFont="1" applyFill="1" applyBorder="1">
      <alignment vertical="top"/>
    </xf>
    <xf numFmtId="0" fontId="17" fillId="0" borderId="0" xfId="0" applyFont="1" applyAlignment="1">
      <alignment horizontal="right"/>
    </xf>
    <xf numFmtId="166" fontId="17" fillId="0" borderId="0" xfId="1" applyNumberFormat="1" applyFont="1" applyAlignment="1">
      <alignment horizontal="right"/>
    </xf>
    <xf numFmtId="0" fontId="17" fillId="0" borderId="0" xfId="0" applyFont="1" applyAlignment="1"/>
    <xf numFmtId="0" fontId="20" fillId="0" borderId="0" xfId="0" applyFont="1" applyAlignment="1">
      <alignment horizontal="left" vertical="top" wrapText="1"/>
    </xf>
  </cellXfs>
  <cellStyles count="6">
    <cellStyle name="Comma" xfId="1" builtinId="3"/>
    <cellStyle name="Comma 2" xfId="2" xr:uid="{B046C05A-0BCB-4FAA-AEEC-A0578E1F890D}"/>
    <cellStyle name="Comma 3" xfId="3" xr:uid="{DA6AED99-A490-4CBE-955F-E101CFCF2957}"/>
    <cellStyle name="Comma 4" xfId="5" xr:uid="{9526E784-BB7B-4877-A179-4C74D708485D}"/>
    <cellStyle name="Normal" xfId="0" builtinId="0"/>
    <cellStyle name="Normal 2" xfId="4" xr:uid="{345F2A0F-871B-4B72-AAC6-65D4B1A18E6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C771-F42C-4BA5-AE5F-9805B353A66B}">
  <dimension ref="A1:AH85"/>
  <sheetViews>
    <sheetView tabSelected="1" view="pageBreakPreview" topLeftCell="S34" zoomScale="85" zoomScaleNormal="85" zoomScaleSheetLayoutView="85" workbookViewId="0">
      <selection activeCell="AE47" sqref="AE47"/>
    </sheetView>
  </sheetViews>
  <sheetFormatPr defaultColWidth="9.1796875" defaultRowHeight="13" x14ac:dyDescent="0.3"/>
  <cols>
    <col min="1" max="1" width="4.54296875" style="20" customWidth="1"/>
    <col min="2" max="2" width="22.26953125" style="20" customWidth="1"/>
    <col min="3" max="3" width="12.08984375" style="20" customWidth="1"/>
    <col min="4" max="12" width="14" style="20" hidden="1" customWidth="1"/>
    <col min="13" max="17" width="13.7265625" style="20" hidden="1" customWidth="1"/>
    <col min="18" max="18" width="15.1796875" style="20" customWidth="1"/>
    <col min="19" max="30" width="13.7265625" style="21" customWidth="1"/>
    <col min="31" max="31" width="13.81640625" style="22" customWidth="1"/>
    <col min="32" max="32" width="16" style="20" bestFit="1" customWidth="1"/>
    <col min="33" max="33" width="0" style="20" hidden="1" customWidth="1"/>
    <col min="34" max="34" width="14.54296875" style="20" bestFit="1" customWidth="1"/>
    <col min="35" max="16384" width="9.1796875" style="20"/>
  </cols>
  <sheetData>
    <row r="1" spans="1:34" s="21" customFormat="1" ht="13.5" thickBot="1" x14ac:dyDescent="0.35">
      <c r="B1" s="126" t="s">
        <v>63</v>
      </c>
      <c r="C1" s="30"/>
      <c r="H1" s="128"/>
      <c r="I1" s="128"/>
      <c r="AE1" s="31"/>
    </row>
    <row r="2" spans="1:34" s="21" customFormat="1" ht="15" customHeight="1" thickBot="1" x14ac:dyDescent="0.35">
      <c r="A2" s="136" t="s">
        <v>64</v>
      </c>
      <c r="B2" s="138" t="s">
        <v>65</v>
      </c>
      <c r="C2" s="66"/>
      <c r="D2" s="140" t="s">
        <v>118</v>
      </c>
      <c r="E2" s="142" t="s">
        <v>66</v>
      </c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32"/>
      <c r="R2" s="132" t="s">
        <v>67</v>
      </c>
      <c r="S2" s="133"/>
      <c r="T2" s="133"/>
      <c r="U2" s="133"/>
      <c r="V2" s="133"/>
      <c r="W2" s="133"/>
      <c r="X2" s="133"/>
      <c r="Y2" s="133"/>
      <c r="Z2" s="133"/>
      <c r="AA2" s="109"/>
      <c r="AB2" s="109"/>
      <c r="AC2" s="109"/>
      <c r="AD2" s="109"/>
      <c r="AE2" s="33"/>
    </row>
    <row r="3" spans="1:34" s="21" customFormat="1" ht="39.5" thickBot="1" x14ac:dyDescent="0.35">
      <c r="A3" s="137"/>
      <c r="B3" s="139"/>
      <c r="C3" s="67"/>
      <c r="D3" s="141"/>
      <c r="E3" s="23" t="s">
        <v>68</v>
      </c>
      <c r="F3" s="23" t="s">
        <v>69</v>
      </c>
      <c r="G3" s="34" t="s">
        <v>70</v>
      </c>
      <c r="H3" s="23" t="s">
        <v>71</v>
      </c>
      <c r="I3" s="23" t="s">
        <v>72</v>
      </c>
      <c r="J3" s="23" t="s">
        <v>73</v>
      </c>
      <c r="K3" s="23" t="s">
        <v>74</v>
      </c>
      <c r="L3" s="34" t="s">
        <v>75</v>
      </c>
      <c r="M3" s="23" t="s">
        <v>76</v>
      </c>
      <c r="N3" s="23" t="s">
        <v>77</v>
      </c>
      <c r="O3" s="23" t="s">
        <v>78</v>
      </c>
      <c r="P3" s="23" t="s">
        <v>79</v>
      </c>
      <c r="Q3" s="40" t="s">
        <v>119</v>
      </c>
      <c r="R3" s="23" t="s">
        <v>80</v>
      </c>
      <c r="S3" s="23" t="s">
        <v>81</v>
      </c>
      <c r="T3" s="23" t="s">
        <v>82</v>
      </c>
      <c r="U3" s="23" t="s">
        <v>83</v>
      </c>
      <c r="V3" s="23" t="s">
        <v>84</v>
      </c>
      <c r="W3" s="23" t="s">
        <v>85</v>
      </c>
      <c r="X3" s="23" t="s">
        <v>86</v>
      </c>
      <c r="Y3" s="23" t="s">
        <v>87</v>
      </c>
      <c r="Z3" s="23" t="s">
        <v>88</v>
      </c>
      <c r="AA3" s="23" t="s">
        <v>89</v>
      </c>
      <c r="AB3" s="23" t="s">
        <v>90</v>
      </c>
      <c r="AC3" s="23" t="s">
        <v>91</v>
      </c>
      <c r="AD3" s="23" t="s">
        <v>92</v>
      </c>
      <c r="AE3" s="23" t="s">
        <v>93</v>
      </c>
    </row>
    <row r="4" spans="1:34" s="21" customFormat="1" x14ac:dyDescent="0.3">
      <c r="A4" s="36">
        <v>1</v>
      </c>
      <c r="B4" s="24" t="s">
        <v>48</v>
      </c>
      <c r="C4" s="42"/>
      <c r="D4" s="24">
        <f>'Piutang Bank Mandiri -24'!F213</f>
        <v>270594142</v>
      </c>
      <c r="E4" s="42">
        <f>'Piutang Bank Mandiri -24'!E214</f>
        <v>4404185</v>
      </c>
      <c r="F4" s="24">
        <f>'Piutang Bank Mandiri -24'!E215</f>
        <v>4444373</v>
      </c>
      <c r="G4" s="24">
        <f>'Piutang Bank Mandiri -24'!E216</f>
        <v>4484928</v>
      </c>
      <c r="H4" s="24">
        <f>'Piutang Bank Mandiri -24'!E217</f>
        <v>4525853</v>
      </c>
      <c r="I4" s="24">
        <f>'Piutang Bank Mandiri -24'!E218</f>
        <v>4567152</v>
      </c>
      <c r="J4" s="24">
        <f>'Piutang Bank Mandiri -24'!E219</f>
        <v>4608827</v>
      </c>
      <c r="K4" s="24">
        <f>'Piutang Bank Mandiri -24'!E220</f>
        <v>4650883</v>
      </c>
      <c r="L4" s="24">
        <f>'Piutang Bank Mandiri -24'!E221</f>
        <v>4693322</v>
      </c>
      <c r="M4" s="24">
        <f>'Piutang Bank Mandiri -24'!E222</f>
        <v>4736148</v>
      </c>
      <c r="N4" s="24">
        <f>'Piutang Bank Mandiri -24'!E223</f>
        <v>4779366</v>
      </c>
      <c r="O4" s="24">
        <f>'Piutang Bank Mandiri -24'!E224</f>
        <v>4822977</v>
      </c>
      <c r="P4" s="24">
        <f>'Piutang Bank Mandiri -24'!E225</f>
        <v>4866987</v>
      </c>
      <c r="Q4" s="24">
        <f t="shared" ref="Q4:Q23" si="0">SUM(E4:P4)</f>
        <v>55585001</v>
      </c>
      <c r="R4" s="24">
        <f>D4-E4-F4-G4-H4-I4-J4-K4-L4-M4-N4-O4-P4</f>
        <v>215009141</v>
      </c>
      <c r="S4" s="24">
        <v>4911398</v>
      </c>
      <c r="T4" s="24">
        <v>4956215</v>
      </c>
      <c r="U4" s="24">
        <v>5001440</v>
      </c>
      <c r="V4" s="24">
        <v>5047078</v>
      </c>
      <c r="W4" s="24">
        <v>5093133</v>
      </c>
      <c r="X4" s="24">
        <v>5139608</v>
      </c>
      <c r="Y4" s="24">
        <v>5186507</v>
      </c>
      <c r="Z4" s="24">
        <v>5233834</v>
      </c>
      <c r="AA4" s="24">
        <v>5281592</v>
      </c>
      <c r="AB4" s="24">
        <v>5329787</v>
      </c>
      <c r="AC4" s="24">
        <v>5378421</v>
      </c>
      <c r="AD4" s="24">
        <v>5427499</v>
      </c>
      <c r="AE4" s="37">
        <f>R4-S4-T4-U4-V4-W4-X4-Y4-Z4-AA4-AB4-AC4-AD4</f>
        <v>153022629</v>
      </c>
      <c r="AF4" s="36"/>
    </row>
    <row r="5" spans="1:34" s="21" customFormat="1" x14ac:dyDescent="0.3">
      <c r="A5" s="36">
        <v>2</v>
      </c>
      <c r="B5" s="24" t="s">
        <v>35</v>
      </c>
      <c r="C5" s="42"/>
      <c r="D5" s="24">
        <f>'Piutang Bank Mandiri -24'!F143</f>
        <v>226855344</v>
      </c>
      <c r="E5" s="42" cm="1">
        <f t="array" ref="E5:P5">TRANSPOSE('Piutang Bank Mandiri -24'!E144:E155)</f>
        <v>3428630</v>
      </c>
      <c r="F5" s="24">
        <v>3459917</v>
      </c>
      <c r="G5" s="24">
        <v>3491488</v>
      </c>
      <c r="H5" s="24">
        <v>3523348</v>
      </c>
      <c r="I5" s="24">
        <v>3555499</v>
      </c>
      <c r="J5" s="24">
        <v>3587943</v>
      </c>
      <c r="K5" s="24">
        <v>3620683</v>
      </c>
      <c r="L5" s="24">
        <v>3653721</v>
      </c>
      <c r="M5" s="24">
        <v>3687062</v>
      </c>
      <c r="N5" s="24">
        <v>3720706</v>
      </c>
      <c r="O5" s="24">
        <v>3754657</v>
      </c>
      <c r="P5" s="24">
        <v>3788919</v>
      </c>
      <c r="Q5" s="24">
        <f t="shared" si="0"/>
        <v>43272573</v>
      </c>
      <c r="R5" s="24">
        <f>D5-E5-F5-G5-H5-I5-J5-K5-L5-M5-N5-O5-P5</f>
        <v>183582771</v>
      </c>
      <c r="S5" s="24">
        <v>3823493</v>
      </c>
      <c r="T5" s="24">
        <v>3858382</v>
      </c>
      <c r="U5" s="24">
        <v>3893590</v>
      </c>
      <c r="V5" s="24">
        <v>3929119</v>
      </c>
      <c r="W5" s="24">
        <v>3964972</v>
      </c>
      <c r="X5" s="24">
        <v>4001152</v>
      </c>
      <c r="Y5" s="24">
        <v>4037663</v>
      </c>
      <c r="Z5" s="24">
        <v>4074506</v>
      </c>
      <c r="AA5" s="24">
        <v>4111686</v>
      </c>
      <c r="AB5" s="24">
        <v>4149205</v>
      </c>
      <c r="AC5" s="24">
        <v>4187067</v>
      </c>
      <c r="AD5" s="24">
        <v>4225274</v>
      </c>
      <c r="AE5" s="37">
        <f t="shared" ref="AE5:AE6" si="1">R5-S5-T5-U5-V5-W5-X5-Y5-Z5-AA5-AB5-AC5-AD5</f>
        <v>135326662</v>
      </c>
      <c r="AF5" s="36"/>
    </row>
    <row r="6" spans="1:34" s="21" customFormat="1" x14ac:dyDescent="0.3">
      <c r="A6" s="36">
        <v>3</v>
      </c>
      <c r="B6" s="24" t="s">
        <v>221</v>
      </c>
      <c r="C6" s="42"/>
      <c r="D6" s="24">
        <f>'Piutang Bank Mandiri -24'!F45</f>
        <v>141784587</v>
      </c>
      <c r="E6" s="42" cm="1">
        <f t="array" ref="E6:P6">TRANSPOSE('Piutang Bank Mandiri -24'!E46:E57)</f>
        <v>2142894</v>
      </c>
      <c r="F6" s="24">
        <v>2162448</v>
      </c>
      <c r="G6" s="36">
        <v>2182180</v>
      </c>
      <c r="H6" s="24">
        <v>2202093</v>
      </c>
      <c r="I6" s="24">
        <v>2222187</v>
      </c>
      <c r="J6" s="24">
        <v>2242464</v>
      </c>
      <c r="K6" s="24">
        <v>2262927</v>
      </c>
      <c r="L6" s="36">
        <v>2283576</v>
      </c>
      <c r="M6" s="24">
        <v>2304413</v>
      </c>
      <c r="N6" s="24">
        <v>2325441</v>
      </c>
      <c r="O6" s="24">
        <v>2346661</v>
      </c>
      <c r="P6" s="24">
        <v>2368074</v>
      </c>
      <c r="Q6" s="24">
        <f t="shared" si="0"/>
        <v>27045358</v>
      </c>
      <c r="R6" s="24">
        <f>D6-E6-F6-G6-H6-I6-J6-K6-L6-M6-N6-O6-P6</f>
        <v>114739229</v>
      </c>
      <c r="S6" s="24">
        <v>2389683</v>
      </c>
      <c r="T6" s="24">
        <v>2411489</v>
      </c>
      <c r="U6" s="24">
        <v>2433494</v>
      </c>
      <c r="V6" s="24">
        <v>2455699</v>
      </c>
      <c r="W6" s="24">
        <v>2478107</v>
      </c>
      <c r="X6" s="24">
        <v>2500720</v>
      </c>
      <c r="Y6" s="24">
        <v>2523539</v>
      </c>
      <c r="Z6" s="24">
        <v>2546567</v>
      </c>
      <c r="AA6" s="24">
        <v>2569804</v>
      </c>
      <c r="AB6" s="24">
        <v>2593253</v>
      </c>
      <c r="AC6" s="24">
        <v>2616917</v>
      </c>
      <c r="AD6" s="24">
        <v>2640796</v>
      </c>
      <c r="AE6" s="37">
        <f t="shared" si="1"/>
        <v>84579161</v>
      </c>
      <c r="AF6" s="36"/>
    </row>
    <row r="7" spans="1:34" s="21" customFormat="1" x14ac:dyDescent="0.3">
      <c r="A7" s="25">
        <v>4</v>
      </c>
      <c r="B7" s="26" t="s">
        <v>28</v>
      </c>
      <c r="C7" s="26"/>
      <c r="D7" s="26">
        <f>'Piutang Bank Mandiri -24'!F107</f>
        <v>69702128</v>
      </c>
      <c r="E7" s="26" cm="1">
        <f t="array" ref="E7:P7">TRANSPOSE('Piutang Bank Mandiri -24'!E108:E119)</f>
        <v>3808969</v>
      </c>
      <c r="F7" s="26">
        <v>3843726</v>
      </c>
      <c r="G7" s="25">
        <v>3878800</v>
      </c>
      <c r="H7" s="26">
        <v>3914194</v>
      </c>
      <c r="I7" s="26">
        <v>3949911</v>
      </c>
      <c r="J7" s="26">
        <v>3985954</v>
      </c>
      <c r="K7" s="26">
        <v>4022326</v>
      </c>
      <c r="L7" s="25">
        <v>4059030</v>
      </c>
      <c r="M7" s="26">
        <v>4096068</v>
      </c>
      <c r="N7" s="26">
        <v>4133445</v>
      </c>
      <c r="O7" s="26">
        <v>4171163</v>
      </c>
      <c r="P7" s="26">
        <v>4209224</v>
      </c>
      <c r="Q7" s="26">
        <f t="shared" si="0"/>
        <v>48072810</v>
      </c>
      <c r="R7" s="26">
        <f>D7-E7-F7-G7-H7-I7-J7-K7-L7-M7-N7-O7-P7</f>
        <v>21629318</v>
      </c>
      <c r="S7" s="26">
        <v>4247634</v>
      </c>
      <c r="T7" s="26">
        <v>4286393</v>
      </c>
      <c r="U7" s="26">
        <v>4325507</v>
      </c>
      <c r="V7" s="26">
        <v>4364977</v>
      </c>
      <c r="W7" s="26">
        <v>4404808</v>
      </c>
      <c r="X7" s="26">
        <v>0</v>
      </c>
      <c r="Y7" s="26">
        <v>0</v>
      </c>
      <c r="Z7" s="26">
        <v>0</v>
      </c>
      <c r="AA7" s="26">
        <v>0</v>
      </c>
      <c r="AB7" s="26"/>
      <c r="AC7" s="26"/>
      <c r="AD7" s="26"/>
      <c r="AE7" s="122">
        <f t="shared" ref="AE7:AE17" si="2">R7-S7-T7-U7-V7-W7-X7-Y7-Z7-AA7-AB7</f>
        <v>-1</v>
      </c>
      <c r="AF7" s="36"/>
    </row>
    <row r="8" spans="1:34" s="30" customFormat="1" x14ac:dyDescent="0.3">
      <c r="A8" s="25">
        <v>5</v>
      </c>
      <c r="B8" s="26" t="s">
        <v>94</v>
      </c>
      <c r="C8" s="26"/>
      <c r="D8" s="26">
        <f>'Piutang Bank Mandiri -24'!F245</f>
        <v>16574269</v>
      </c>
      <c r="E8" s="26" cm="1">
        <f t="array" ref="E8:J8">TRANSPOSE('Piutang Bank Mandiri -24'!E246:E251)</f>
        <v>2700032</v>
      </c>
      <c r="F8" s="26">
        <v>2724669</v>
      </c>
      <c r="G8" s="25">
        <v>2749532</v>
      </c>
      <c r="H8" s="26">
        <v>2774621</v>
      </c>
      <c r="I8" s="26">
        <v>2799940</v>
      </c>
      <c r="J8" s="26">
        <v>2825475</v>
      </c>
      <c r="K8" s="26"/>
      <c r="L8" s="25"/>
      <c r="M8" s="26"/>
      <c r="N8" s="26"/>
      <c r="O8" s="26"/>
      <c r="P8" s="26"/>
      <c r="Q8" s="26">
        <f t="shared" si="0"/>
        <v>16574269</v>
      </c>
      <c r="R8" s="26" t="s">
        <v>95</v>
      </c>
      <c r="S8" s="26"/>
      <c r="T8" s="26"/>
      <c r="U8" s="26"/>
      <c r="V8" s="26"/>
      <c r="W8" s="26"/>
      <c r="X8" s="26"/>
      <c r="Y8" s="26">
        <v>0</v>
      </c>
      <c r="Z8" s="26">
        <v>0</v>
      </c>
      <c r="AA8" s="26">
        <v>0</v>
      </c>
      <c r="AB8" s="26"/>
      <c r="AC8" s="26"/>
      <c r="AD8" s="26"/>
      <c r="AE8" s="122" t="s">
        <v>95</v>
      </c>
      <c r="AF8" s="25"/>
    </row>
    <row r="9" spans="1:34" s="21" customFormat="1" x14ac:dyDescent="0.3">
      <c r="A9" s="36">
        <v>6</v>
      </c>
      <c r="B9" s="24" t="s">
        <v>203</v>
      </c>
      <c r="C9" s="42"/>
      <c r="D9" s="24">
        <f>'Piutang Bank Mandiri -24'!F14</f>
        <v>287816220</v>
      </c>
      <c r="E9" s="42" cm="1">
        <f t="array" ref="E9:P9">TRANSPOSE('Piutang Bank Mandiri -24'!E15:E26)</f>
        <v>4247034</v>
      </c>
      <c r="F9" s="24">
        <v>4285788</v>
      </c>
      <c r="G9" s="36">
        <v>4324896</v>
      </c>
      <c r="H9" s="24">
        <v>4364360</v>
      </c>
      <c r="I9" s="24">
        <v>4404185</v>
      </c>
      <c r="J9" s="24">
        <v>4444373</v>
      </c>
      <c r="K9" s="24">
        <v>4484928</v>
      </c>
      <c r="L9" s="36">
        <v>4525853</v>
      </c>
      <c r="M9" s="24">
        <v>4567152</v>
      </c>
      <c r="N9" s="24">
        <v>4608827</v>
      </c>
      <c r="O9" s="24">
        <v>4650883</v>
      </c>
      <c r="P9" s="24">
        <v>4693322</v>
      </c>
      <c r="Q9" s="24">
        <f t="shared" si="0"/>
        <v>53601601</v>
      </c>
      <c r="R9" s="24">
        <f t="shared" ref="R9:R20" si="3">D9-E9-F9-G9-H9-I9-J9-K9-L9-M9-N9-O9-P9</f>
        <v>234214619</v>
      </c>
      <c r="S9" s="24">
        <v>4736148</v>
      </c>
      <c r="T9" s="24">
        <v>4779366</v>
      </c>
      <c r="U9" s="24">
        <v>4822977</v>
      </c>
      <c r="V9" s="24">
        <v>4866987</v>
      </c>
      <c r="W9" s="24">
        <v>4911398</v>
      </c>
      <c r="X9" s="24">
        <v>4956215</v>
      </c>
      <c r="Y9" s="24">
        <v>5001440</v>
      </c>
      <c r="Z9" s="24">
        <v>5047078</v>
      </c>
      <c r="AA9" s="24">
        <v>5093133</v>
      </c>
      <c r="AB9" s="24">
        <v>5139608</v>
      </c>
      <c r="AC9" s="24">
        <v>5186507</v>
      </c>
      <c r="AD9" s="24">
        <v>5233834</v>
      </c>
      <c r="AE9" s="37">
        <f t="shared" ref="AE9:AE15" si="4">R9-S9-T9-U9-V9-W9-X9-Y9-Z9-AA9-AB9-AC9-AD9</f>
        <v>174439928</v>
      </c>
      <c r="AF9" s="36"/>
    </row>
    <row r="10" spans="1:34" s="21" customFormat="1" x14ac:dyDescent="0.3">
      <c r="A10" s="36">
        <v>7</v>
      </c>
      <c r="B10" s="24" t="s">
        <v>33</v>
      </c>
      <c r="C10" s="42"/>
      <c r="D10" s="24">
        <f>'Piutang Bank Mandiri -24'!F127</f>
        <v>134118469</v>
      </c>
      <c r="E10" s="42" cm="1">
        <f t="array" ref="E10:P10">TRANSPOSE('Piutang Bank Mandiri -24'!E128:E139)</f>
        <v>3762876</v>
      </c>
      <c r="F10" s="24">
        <v>3797213</v>
      </c>
      <c r="G10" s="36">
        <v>3831862</v>
      </c>
      <c r="H10" s="24">
        <v>3866828</v>
      </c>
      <c r="I10" s="24">
        <v>3902113</v>
      </c>
      <c r="J10" s="24">
        <v>3937720</v>
      </c>
      <c r="K10" s="24">
        <v>3973651</v>
      </c>
      <c r="L10" s="36">
        <v>4009911</v>
      </c>
      <c r="M10" s="24">
        <v>4046501</v>
      </c>
      <c r="N10" s="24">
        <v>4083426</v>
      </c>
      <c r="O10" s="24">
        <v>4120687</v>
      </c>
      <c r="P10" s="24">
        <v>4158288</v>
      </c>
      <c r="Q10" s="24">
        <f t="shared" si="0"/>
        <v>47491076</v>
      </c>
      <c r="R10" s="24">
        <f t="shared" si="3"/>
        <v>86627393</v>
      </c>
      <c r="S10" s="24">
        <v>4196233</v>
      </c>
      <c r="T10" s="24">
        <v>4234523</v>
      </c>
      <c r="U10" s="24">
        <v>4273163</v>
      </c>
      <c r="V10" s="24">
        <v>4312156</v>
      </c>
      <c r="W10" s="24">
        <v>4351504</v>
      </c>
      <c r="X10" s="24">
        <v>4391212</v>
      </c>
      <c r="Y10" s="24">
        <v>4431282</v>
      </c>
      <c r="Z10" s="24">
        <v>4471717</v>
      </c>
      <c r="AA10" s="24">
        <v>4512521</v>
      </c>
      <c r="AB10" s="24">
        <v>4553698</v>
      </c>
      <c r="AC10" s="24">
        <v>4595251</v>
      </c>
      <c r="AD10" s="24">
        <v>4637182</v>
      </c>
      <c r="AE10" s="37">
        <f t="shared" si="4"/>
        <v>33666951</v>
      </c>
      <c r="AF10" s="36"/>
    </row>
    <row r="11" spans="1:34" s="21" customFormat="1" x14ac:dyDescent="0.3">
      <c r="A11" s="36">
        <v>8</v>
      </c>
      <c r="B11" s="24" t="s">
        <v>204</v>
      </c>
      <c r="C11" s="24"/>
      <c r="D11" s="24">
        <f>'Piutang Bank Mandiri -24'!F197</f>
        <v>373621854</v>
      </c>
      <c r="E11" s="24" cm="1">
        <f t="array" ref="E11:P11">TRANSPOSE('Piutang Bank Mandiri -24'!E198:E209)</f>
        <v>4151393</v>
      </c>
      <c r="F11" s="24">
        <v>4189274</v>
      </c>
      <c r="G11" s="36">
        <v>4227502</v>
      </c>
      <c r="H11" s="24">
        <v>4266078</v>
      </c>
      <c r="I11" s="24">
        <v>4305006</v>
      </c>
      <c r="J11" s="24">
        <v>4344289</v>
      </c>
      <c r="K11" s="24">
        <v>4383930</v>
      </c>
      <c r="L11" s="36">
        <v>4423934</v>
      </c>
      <c r="M11" s="24">
        <v>4464302</v>
      </c>
      <c r="N11" s="24">
        <v>4505039</v>
      </c>
      <c r="O11" s="24">
        <v>4546147</v>
      </c>
      <c r="P11" s="24">
        <v>4587631</v>
      </c>
      <c r="Q11" s="24">
        <f t="shared" si="0"/>
        <v>52394525</v>
      </c>
      <c r="R11" s="24">
        <f t="shared" si="3"/>
        <v>321227329</v>
      </c>
      <c r="S11" s="24">
        <v>4629493</v>
      </c>
      <c r="T11" s="24">
        <v>4671737</v>
      </c>
      <c r="U11" s="24">
        <v>4714367</v>
      </c>
      <c r="V11" s="24">
        <v>4757385</v>
      </c>
      <c r="W11" s="24">
        <v>4800796</v>
      </c>
      <c r="X11" s="24">
        <v>4844604</v>
      </c>
      <c r="Y11" s="24">
        <v>4888811</v>
      </c>
      <c r="Z11" s="24">
        <v>4933421</v>
      </c>
      <c r="AA11" s="24">
        <v>4978439</v>
      </c>
      <c r="AB11" s="24">
        <v>5023867</v>
      </c>
      <c r="AC11" s="24">
        <v>5069710</v>
      </c>
      <c r="AD11" s="24">
        <v>5115971</v>
      </c>
      <c r="AE11" s="37">
        <f t="shared" si="4"/>
        <v>262798728</v>
      </c>
      <c r="AF11" s="36"/>
    </row>
    <row r="12" spans="1:34" s="21" customFormat="1" x14ac:dyDescent="0.3">
      <c r="A12" s="36">
        <v>9</v>
      </c>
      <c r="B12" s="24" t="s">
        <v>205</v>
      </c>
      <c r="C12" s="42"/>
      <c r="D12" s="24">
        <f>'Piutang Bank Mandiri -24'!F66</f>
        <v>136985065</v>
      </c>
      <c r="E12" s="42" cm="1">
        <f t="array" ref="E12:P12">TRANSPOSE('Piutang Bank Mandiri -24'!E67:E78)</f>
        <v>3454452</v>
      </c>
      <c r="F12" s="24">
        <v>3485974</v>
      </c>
      <c r="G12" s="36">
        <v>3517784</v>
      </c>
      <c r="H12" s="24">
        <v>3549883</v>
      </c>
      <c r="I12" s="24">
        <v>3582276</v>
      </c>
      <c r="J12" s="24">
        <v>3614964</v>
      </c>
      <c r="K12" s="24">
        <v>3647951</v>
      </c>
      <c r="L12" s="36">
        <v>3681239</v>
      </c>
      <c r="M12" s="24">
        <v>3714830</v>
      </c>
      <c r="N12" s="24">
        <v>3748728</v>
      </c>
      <c r="O12" s="24">
        <v>3782935</v>
      </c>
      <c r="P12" s="24">
        <v>3817454</v>
      </c>
      <c r="Q12" s="24">
        <f t="shared" si="0"/>
        <v>43598470</v>
      </c>
      <c r="R12" s="24">
        <f t="shared" si="3"/>
        <v>93386595</v>
      </c>
      <c r="S12" s="24">
        <v>3852288</v>
      </c>
      <c r="T12" s="24">
        <v>3887440</v>
      </c>
      <c r="U12" s="24">
        <v>3922913</v>
      </c>
      <c r="V12" s="24">
        <v>3958710</v>
      </c>
      <c r="W12" s="24">
        <v>3994833</v>
      </c>
      <c r="X12" s="24">
        <v>4031286</v>
      </c>
      <c r="Y12" s="24">
        <v>4068072</v>
      </c>
      <c r="Z12" s="24">
        <v>4105193</v>
      </c>
      <c r="AA12" s="24">
        <v>4142653</v>
      </c>
      <c r="AB12" s="24">
        <v>4180454</v>
      </c>
      <c r="AC12" s="24">
        <v>4218601</v>
      </c>
      <c r="AD12" s="24">
        <v>4257096</v>
      </c>
      <c r="AE12" s="37">
        <f t="shared" si="4"/>
        <v>44767056</v>
      </c>
      <c r="AF12" s="36"/>
    </row>
    <row r="13" spans="1:34" s="30" customFormat="1" x14ac:dyDescent="0.3">
      <c r="A13" s="25">
        <v>10</v>
      </c>
      <c r="B13" s="26" t="s">
        <v>23</v>
      </c>
      <c r="C13" s="26"/>
      <c r="D13" s="26">
        <f>'Piutang Bank Mandiri -24'!F80</f>
        <v>10756473</v>
      </c>
      <c r="E13" s="26" cm="1">
        <f t="array" ref="E13:P13">TRANSPOSE('Piutang Bank Mandiri -24'!E81:E92)</f>
        <v>852271</v>
      </c>
      <c r="F13" s="26">
        <v>860048</v>
      </c>
      <c r="G13" s="25">
        <v>867896</v>
      </c>
      <c r="H13" s="26">
        <v>875816</v>
      </c>
      <c r="I13" s="26">
        <v>883807</v>
      </c>
      <c r="J13" s="26">
        <v>891872</v>
      </c>
      <c r="K13" s="26">
        <v>900011</v>
      </c>
      <c r="L13" s="25">
        <v>908223</v>
      </c>
      <c r="M13" s="26">
        <v>916511</v>
      </c>
      <c r="N13" s="26">
        <v>924874</v>
      </c>
      <c r="O13" s="26">
        <v>933313</v>
      </c>
      <c r="P13" s="26">
        <v>941831</v>
      </c>
      <c r="Q13" s="26">
        <f t="shared" si="0"/>
        <v>10756473</v>
      </c>
      <c r="R13" s="26" t="s">
        <v>95</v>
      </c>
      <c r="S13" s="26"/>
      <c r="T13" s="26"/>
      <c r="U13" s="26"/>
      <c r="V13" s="26"/>
      <c r="W13" s="26"/>
      <c r="X13" s="26"/>
      <c r="Y13" s="26">
        <v>0</v>
      </c>
      <c r="Z13" s="26">
        <v>0</v>
      </c>
      <c r="AA13" s="26">
        <v>0</v>
      </c>
      <c r="AB13" s="26"/>
      <c r="AC13" s="26"/>
      <c r="AD13" s="26"/>
      <c r="AE13" s="122" t="s">
        <v>95</v>
      </c>
      <c r="AF13" s="70"/>
      <c r="AH13" s="71"/>
    </row>
    <row r="14" spans="1:34" s="21" customFormat="1" x14ac:dyDescent="0.3">
      <c r="A14" s="36">
        <v>11</v>
      </c>
      <c r="B14" s="24" t="s">
        <v>96</v>
      </c>
      <c r="C14" s="42"/>
      <c r="D14" s="24">
        <f>'Piutang Bank Mandiri -24'!F166</f>
        <v>320438733</v>
      </c>
      <c r="E14" s="42" cm="1">
        <f t="array" ref="E14:P14">TRANSPOSE('Piutang Bank Mandiri -24'!E167:E178)</f>
        <v>3949353</v>
      </c>
      <c r="F14" s="24">
        <v>3985391</v>
      </c>
      <c r="G14" s="36">
        <v>4021758</v>
      </c>
      <c r="H14" s="24">
        <v>4058456</v>
      </c>
      <c r="I14" s="24">
        <v>4095490</v>
      </c>
      <c r="J14" s="24">
        <v>4132861</v>
      </c>
      <c r="K14" s="24">
        <v>4170574</v>
      </c>
      <c r="L14" s="36">
        <v>4208630</v>
      </c>
      <c r="M14" s="24">
        <v>4247034</v>
      </c>
      <c r="N14" s="24">
        <v>4285788</v>
      </c>
      <c r="O14" s="24">
        <v>4324896</v>
      </c>
      <c r="P14" s="24">
        <v>4364360</v>
      </c>
      <c r="Q14" s="24">
        <f t="shared" si="0"/>
        <v>49844591</v>
      </c>
      <c r="R14" s="24">
        <f t="shared" si="3"/>
        <v>270594142</v>
      </c>
      <c r="S14" s="24">
        <v>4404185</v>
      </c>
      <c r="T14" s="24">
        <v>4444373</v>
      </c>
      <c r="U14" s="24">
        <v>4484928</v>
      </c>
      <c r="V14" s="24">
        <v>4525853</v>
      </c>
      <c r="W14" s="24">
        <v>4567152</v>
      </c>
      <c r="X14" s="24">
        <v>4608827</v>
      </c>
      <c r="Y14" s="24">
        <v>4650883</v>
      </c>
      <c r="Z14" s="24">
        <v>4693322</v>
      </c>
      <c r="AA14" s="24">
        <v>4736148</v>
      </c>
      <c r="AB14" s="24">
        <v>4779366</v>
      </c>
      <c r="AC14" s="24">
        <v>4822977</v>
      </c>
      <c r="AD14" s="24">
        <v>4866987</v>
      </c>
      <c r="AE14" s="37">
        <f t="shared" si="4"/>
        <v>215009141</v>
      </c>
      <c r="AF14" s="38"/>
      <c r="AH14" s="39"/>
    </row>
    <row r="15" spans="1:34" s="21" customFormat="1" x14ac:dyDescent="0.3">
      <c r="A15" s="36">
        <v>12</v>
      </c>
      <c r="B15" s="24" t="s">
        <v>206</v>
      </c>
      <c r="C15" s="42"/>
      <c r="D15" s="24">
        <f>'Piutang Bank Mandiri -24'!F181</f>
        <v>141881154</v>
      </c>
      <c r="E15" s="42" cm="1">
        <f t="array" ref="E15:P15">TRANSPOSE('Piutang Bank Mandiri -24'!E182:E193)</f>
        <v>4859951</v>
      </c>
      <c r="F15" s="24">
        <v>4904298</v>
      </c>
      <c r="G15" s="36">
        <v>4949050</v>
      </c>
      <c r="H15" s="24">
        <v>4994210</v>
      </c>
      <c r="I15" s="24">
        <v>5039782</v>
      </c>
      <c r="J15" s="24">
        <v>5085770</v>
      </c>
      <c r="K15" s="24">
        <v>5132178</v>
      </c>
      <c r="L15" s="36">
        <v>5179009</v>
      </c>
      <c r="M15" s="24">
        <v>5226268</v>
      </c>
      <c r="N15" s="24">
        <v>5273957</v>
      </c>
      <c r="O15" s="24">
        <v>5322082</v>
      </c>
      <c r="P15" s="24">
        <v>5370646</v>
      </c>
      <c r="Q15" s="24">
        <f t="shared" si="0"/>
        <v>61337201</v>
      </c>
      <c r="R15" s="24">
        <f t="shared" si="3"/>
        <v>80543953</v>
      </c>
      <c r="S15" s="24">
        <v>5419653</v>
      </c>
      <c r="T15" s="24">
        <v>5469108</v>
      </c>
      <c r="U15" s="24">
        <v>5519013</v>
      </c>
      <c r="V15" s="24">
        <v>5569374</v>
      </c>
      <c r="W15" s="24">
        <v>5620195</v>
      </c>
      <c r="X15" s="24">
        <v>5671479</v>
      </c>
      <c r="Y15" s="24">
        <v>5723231</v>
      </c>
      <c r="Z15" s="24">
        <v>5775456</v>
      </c>
      <c r="AA15" s="24">
        <v>5828157</v>
      </c>
      <c r="AB15" s="24">
        <v>5881339</v>
      </c>
      <c r="AC15" s="24">
        <v>5935006</v>
      </c>
      <c r="AD15" s="24">
        <v>5989163</v>
      </c>
      <c r="AE15" s="37">
        <f t="shared" si="4"/>
        <v>12142779</v>
      </c>
      <c r="AF15" s="38"/>
      <c r="AH15" s="39"/>
    </row>
    <row r="16" spans="1:34" s="30" customFormat="1" x14ac:dyDescent="0.3">
      <c r="A16" s="25">
        <v>13</v>
      </c>
      <c r="B16" s="26" t="s">
        <v>97</v>
      </c>
      <c r="C16" s="26"/>
      <c r="D16" s="26">
        <f>'Piutang Bank Mandiri -24'!F6</f>
        <v>10567703</v>
      </c>
      <c r="E16" s="26" cm="1">
        <f t="array" ref="E16:I16">TRANSPOSE('Piutang Bank Mandiri -24'!E7:E11)</f>
        <v>2075319</v>
      </c>
      <c r="F16" s="26">
        <v>2094257</v>
      </c>
      <c r="G16" s="25">
        <v>2113367</v>
      </c>
      <c r="H16" s="26">
        <v>2132651</v>
      </c>
      <c r="I16" s="26">
        <v>2152112</v>
      </c>
      <c r="J16" s="26"/>
      <c r="K16" s="26"/>
      <c r="L16" s="25"/>
      <c r="M16" s="26"/>
      <c r="N16" s="26"/>
      <c r="O16" s="26"/>
      <c r="P16" s="26"/>
      <c r="Q16" s="26">
        <f t="shared" si="0"/>
        <v>10567706</v>
      </c>
      <c r="R16" s="26">
        <f t="shared" si="3"/>
        <v>-3</v>
      </c>
      <c r="S16" s="26"/>
      <c r="T16" s="26"/>
      <c r="U16" s="26"/>
      <c r="V16" s="26"/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/>
      <c r="AC16" s="26"/>
      <c r="AD16" s="26"/>
      <c r="AE16" s="122">
        <f t="shared" si="2"/>
        <v>-3</v>
      </c>
      <c r="AF16" s="25"/>
    </row>
    <row r="17" spans="1:32" s="30" customFormat="1" x14ac:dyDescent="0.3">
      <c r="A17" s="25">
        <v>14</v>
      </c>
      <c r="B17" s="26" t="s">
        <v>98</v>
      </c>
      <c r="C17" s="26"/>
      <c r="D17" s="26">
        <f>'Piutang Bank Mandiri -24'!F94</f>
        <v>155726794</v>
      </c>
      <c r="E17" s="26" cm="1">
        <f t="array" ref="E17:M17">TRANSPOSE('Piutang Bank Mandiri -24'!E95:E103)</f>
        <v>7132809</v>
      </c>
      <c r="F17" s="26">
        <v>7197896</v>
      </c>
      <c r="G17" s="25">
        <v>7263576</v>
      </c>
      <c r="H17" s="26">
        <v>7329857</v>
      </c>
      <c r="I17" s="26">
        <v>7396741</v>
      </c>
      <c r="J17" s="26">
        <v>7464237</v>
      </c>
      <c r="K17" s="26">
        <v>7532348</v>
      </c>
      <c r="L17" s="25">
        <v>7601081</v>
      </c>
      <c r="M17" s="26">
        <v>96808247</v>
      </c>
      <c r="N17" s="26"/>
      <c r="O17" s="26"/>
      <c r="P17" s="26"/>
      <c r="Q17" s="26">
        <f t="shared" si="0"/>
        <v>155726792</v>
      </c>
      <c r="R17" s="26">
        <f t="shared" si="3"/>
        <v>2</v>
      </c>
      <c r="S17" s="26"/>
      <c r="T17" s="26"/>
      <c r="U17" s="26"/>
      <c r="V17" s="26"/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/>
      <c r="AC17" s="26"/>
      <c r="AD17" s="26">
        <v>0</v>
      </c>
      <c r="AE17" s="122">
        <f t="shared" si="2"/>
        <v>2</v>
      </c>
      <c r="AF17" s="25" t="s">
        <v>99</v>
      </c>
    </row>
    <row r="18" spans="1:32" s="21" customFormat="1" x14ac:dyDescent="0.3">
      <c r="A18" s="36">
        <v>15</v>
      </c>
      <c r="B18" s="24" t="s">
        <v>100</v>
      </c>
      <c r="C18" s="24"/>
      <c r="D18" s="24">
        <f>'Piutang Bank Mandiri -24'!F229</f>
        <v>234774674</v>
      </c>
      <c r="E18" s="24" cm="1">
        <f t="array" ref="E18:P18">TRANSPOSE('Piutang Bank Mandiri -24'!E230:E241)</f>
        <v>4130269</v>
      </c>
      <c r="F18" s="24">
        <v>4167958</v>
      </c>
      <c r="G18" s="36">
        <v>4205990</v>
      </c>
      <c r="H18" s="24">
        <v>4244370</v>
      </c>
      <c r="I18" s="24">
        <v>4283100</v>
      </c>
      <c r="J18" s="24">
        <v>4322183</v>
      </c>
      <c r="K18" s="24">
        <v>4361623</v>
      </c>
      <c r="L18" s="36">
        <v>4401423</v>
      </c>
      <c r="M18" s="24">
        <v>4441586</v>
      </c>
      <c r="N18" s="24">
        <v>4482115</v>
      </c>
      <c r="O18" s="24">
        <v>4523015</v>
      </c>
      <c r="P18" s="24">
        <v>4564287</v>
      </c>
      <c r="Q18" s="24">
        <f t="shared" si="0"/>
        <v>52127919</v>
      </c>
      <c r="R18" s="24">
        <f t="shared" si="3"/>
        <v>182646755</v>
      </c>
      <c r="S18" s="24">
        <v>4605936</v>
      </c>
      <c r="T18" s="24">
        <v>4647966</v>
      </c>
      <c r="U18" s="24">
        <v>4690378</v>
      </c>
      <c r="V18" s="24">
        <v>4733178</v>
      </c>
      <c r="W18" s="24">
        <v>4776368</v>
      </c>
      <c r="X18" s="24">
        <v>4776368</v>
      </c>
      <c r="Y18" s="24">
        <v>4863935</v>
      </c>
      <c r="Z18" s="24">
        <v>4908318</v>
      </c>
      <c r="AA18" s="24">
        <v>4953106</v>
      </c>
      <c r="AB18" s="24">
        <v>4998304</v>
      </c>
      <c r="AC18" s="24">
        <v>5043913</v>
      </c>
      <c r="AD18" s="24">
        <v>5089939</v>
      </c>
      <c r="AE18" s="37">
        <f t="shared" ref="AE18:AE22" si="5">R18-S18-T18-U18-V18-W18-X18-Y18-Z18-AA18-AB18-AC18-AD18</f>
        <v>124559046</v>
      </c>
      <c r="AF18" s="36"/>
    </row>
    <row r="19" spans="1:32" s="21" customFormat="1" x14ac:dyDescent="0.3">
      <c r="A19" s="36">
        <v>16</v>
      </c>
      <c r="B19" s="24" t="s">
        <v>101</v>
      </c>
      <c r="C19" s="24"/>
      <c r="D19" s="24">
        <f>'Piutang Bank Mandiri -24'!F159</f>
        <v>-540450</v>
      </c>
      <c r="E19" s="24"/>
      <c r="F19" s="24"/>
      <c r="G19" s="36"/>
      <c r="H19" s="24"/>
      <c r="I19" s="24"/>
      <c r="J19" s="24"/>
      <c r="K19" s="24"/>
      <c r="L19" s="36"/>
      <c r="M19" s="24"/>
      <c r="N19" s="24"/>
      <c r="O19" s="24"/>
      <c r="P19" s="24"/>
      <c r="Q19" s="24">
        <f t="shared" si="0"/>
        <v>0</v>
      </c>
      <c r="R19" s="24">
        <f t="shared" si="3"/>
        <v>-540450</v>
      </c>
      <c r="S19" s="24"/>
      <c r="T19" s="24"/>
      <c r="U19" s="24"/>
      <c r="V19" s="24"/>
      <c r="W19" s="24">
        <v>0</v>
      </c>
      <c r="X19" s="24"/>
      <c r="Y19" s="24">
        <v>0</v>
      </c>
      <c r="Z19" s="24">
        <v>0</v>
      </c>
      <c r="AA19" s="24">
        <v>0</v>
      </c>
      <c r="AB19" s="24"/>
      <c r="AC19" s="24"/>
      <c r="AD19" s="24">
        <v>0</v>
      </c>
      <c r="AE19" s="37">
        <f t="shared" si="5"/>
        <v>-540450</v>
      </c>
    </row>
    <row r="20" spans="1:32" s="21" customFormat="1" x14ac:dyDescent="0.3">
      <c r="A20" s="36">
        <v>17</v>
      </c>
      <c r="B20" s="24" t="s">
        <v>102</v>
      </c>
      <c r="C20" s="24"/>
      <c r="D20" s="24">
        <f>'Piutang Bank Mandiri -24'!F255</f>
        <v>33334677</v>
      </c>
      <c r="E20" s="24"/>
      <c r="F20" s="24"/>
      <c r="G20" s="36"/>
      <c r="H20" s="24"/>
      <c r="I20" s="24"/>
      <c r="J20" s="24"/>
      <c r="K20" s="24"/>
      <c r="L20" s="36"/>
      <c r="M20" s="24"/>
      <c r="N20" s="24"/>
      <c r="O20" s="24"/>
      <c r="P20" s="24"/>
      <c r="Q20" s="24">
        <f t="shared" si="0"/>
        <v>0</v>
      </c>
      <c r="R20" s="24">
        <f t="shared" si="3"/>
        <v>33334677</v>
      </c>
      <c r="S20" s="24"/>
      <c r="T20" s="24"/>
      <c r="U20" s="24"/>
      <c r="V20" s="24"/>
      <c r="W20" s="24">
        <v>0</v>
      </c>
      <c r="X20" s="24"/>
      <c r="Y20" s="24">
        <v>0</v>
      </c>
      <c r="Z20" s="24">
        <v>0</v>
      </c>
      <c r="AA20" s="24">
        <v>0</v>
      </c>
      <c r="AB20" s="24"/>
      <c r="AC20" s="24"/>
      <c r="AD20" s="24">
        <v>0</v>
      </c>
      <c r="AE20" s="37">
        <f t="shared" si="5"/>
        <v>33334677</v>
      </c>
    </row>
    <row r="21" spans="1:32" s="21" customFormat="1" x14ac:dyDescent="0.3">
      <c r="A21" s="36">
        <v>18</v>
      </c>
      <c r="B21" s="24" t="s">
        <v>103</v>
      </c>
      <c r="C21" s="24"/>
      <c r="D21" s="24">
        <f>'Piutang Bank Mandiri -24'!F123</f>
        <v>25968558</v>
      </c>
      <c r="E21" s="24"/>
      <c r="F21" s="24"/>
      <c r="G21" s="36" t="s">
        <v>104</v>
      </c>
      <c r="H21" s="24"/>
      <c r="I21" s="24"/>
      <c r="J21" s="24"/>
      <c r="K21" s="24"/>
      <c r="L21" s="36"/>
      <c r="M21" s="24"/>
      <c r="N21" s="24"/>
      <c r="O21" s="24"/>
      <c r="P21" s="24"/>
      <c r="Q21" s="24">
        <f t="shared" si="0"/>
        <v>0</v>
      </c>
      <c r="R21" s="24">
        <f>D21-Q21</f>
        <v>25968558</v>
      </c>
      <c r="S21" s="24"/>
      <c r="T21" s="24"/>
      <c r="U21" s="24"/>
      <c r="V21" s="24"/>
      <c r="W21" s="24">
        <v>0</v>
      </c>
      <c r="X21" s="24"/>
      <c r="Y21" s="24">
        <v>0</v>
      </c>
      <c r="Z21" s="24">
        <v>0</v>
      </c>
      <c r="AA21" s="24">
        <v>0</v>
      </c>
      <c r="AB21" s="24"/>
      <c r="AC21" s="24">
        <f>10000000+10000000</f>
        <v>20000000</v>
      </c>
      <c r="AD21" s="24">
        <v>0</v>
      </c>
      <c r="AE21" s="37">
        <f t="shared" si="5"/>
        <v>5968558</v>
      </c>
    </row>
    <row r="22" spans="1:32" s="21" customFormat="1" x14ac:dyDescent="0.3">
      <c r="A22" s="36">
        <v>19</v>
      </c>
      <c r="B22" s="24" t="s">
        <v>12</v>
      </c>
      <c r="C22" s="24"/>
      <c r="D22" s="24">
        <f>'Piutang Bank Mandiri -24'!F29</f>
        <v>225192026</v>
      </c>
      <c r="E22" s="24">
        <f>'Piutang Bank Mandiri -24'!E30</f>
        <v>2962673</v>
      </c>
      <c r="F22" s="24">
        <f>'Piutang Bank Mandiri -24'!E31</f>
        <v>2989708</v>
      </c>
      <c r="G22" s="36">
        <f>'Piutang Bank Mandiri -24'!E32</f>
        <v>3016989</v>
      </c>
      <c r="H22" s="24">
        <f>'Piutang Bank Mandiri -24'!E33</f>
        <v>3044519</v>
      </c>
      <c r="I22" s="24">
        <f>'Piutang Bank Mandiri -24'!E34</f>
        <v>3072300</v>
      </c>
      <c r="J22" s="24">
        <f>'Piutang Bank Mandiri -24'!E35</f>
        <v>3100335</v>
      </c>
      <c r="K22" s="24">
        <f>'Piutang Bank Mandiri -24'!E36</f>
        <v>3128625</v>
      </c>
      <c r="L22" s="36">
        <f>'Piutang Bank Mandiri -24'!E37</f>
        <v>3157174</v>
      </c>
      <c r="M22" s="24">
        <f>'Piutang Bank Mandiri -24'!E38</f>
        <v>3185983</v>
      </c>
      <c r="N22" s="24">
        <f>'Piutang Bank Mandiri -24'!E39</f>
        <v>3215055</v>
      </c>
      <c r="O22" s="24">
        <f>'Piutang Bank Mandiri -24'!E40</f>
        <v>3244393</v>
      </c>
      <c r="P22" s="24">
        <f>'Piutang Bank Mandiri -24'!E41</f>
        <v>3273998</v>
      </c>
      <c r="Q22" s="24">
        <f t="shared" si="0"/>
        <v>37391752</v>
      </c>
      <c r="R22" s="24">
        <f>D22-E22-F22-G22-H22-I22-J22-K22-L22-M22-N22-O22-P22</f>
        <v>187800274</v>
      </c>
      <c r="S22" s="24">
        <v>3303873</v>
      </c>
      <c r="T22" s="24">
        <v>3334021</v>
      </c>
      <c r="U22" s="24">
        <v>3364444</v>
      </c>
      <c r="V22" s="24">
        <v>3395144</v>
      </c>
      <c r="W22" s="24">
        <v>3426125</v>
      </c>
      <c r="X22" s="24">
        <v>3457388</v>
      </c>
      <c r="Y22" s="24">
        <v>3488937</v>
      </c>
      <c r="Z22" s="24">
        <v>3520774</v>
      </c>
      <c r="AA22" s="24">
        <v>3552901</v>
      </c>
      <c r="AB22" s="24">
        <v>3585321</v>
      </c>
      <c r="AC22" s="24">
        <v>3618037</v>
      </c>
      <c r="AD22" s="24">
        <v>3651051</v>
      </c>
      <c r="AE22" s="37">
        <f t="shared" si="5"/>
        <v>146102258</v>
      </c>
    </row>
    <row r="23" spans="1:32" s="30" customFormat="1" ht="13.5" thickBot="1" x14ac:dyDescent="0.35">
      <c r="A23" s="27">
        <v>20</v>
      </c>
      <c r="B23" s="28" t="s">
        <v>105</v>
      </c>
      <c r="C23" s="28"/>
      <c r="D23" s="28">
        <f>'Piutang Bank Mandiri -24'!F60</f>
        <v>21230965</v>
      </c>
      <c r="E23" s="28" cm="1">
        <f t="array" ref="E23:H23">TRANSPOSE('Piutang Bank Mandiri -24'!E61:E64)</f>
        <v>5235641</v>
      </c>
      <c r="F23" s="28">
        <v>5283417</v>
      </c>
      <c r="G23" s="27">
        <v>5331628</v>
      </c>
      <c r="H23" s="28">
        <v>5380279</v>
      </c>
      <c r="I23" s="28"/>
      <c r="J23" s="28"/>
      <c r="K23" s="28"/>
      <c r="L23" s="27"/>
      <c r="M23" s="28"/>
      <c r="N23" s="28"/>
      <c r="O23" s="28"/>
      <c r="P23" s="28"/>
      <c r="Q23" s="28">
        <f t="shared" si="0"/>
        <v>21230965</v>
      </c>
      <c r="R23" s="28" t="s">
        <v>95</v>
      </c>
      <c r="S23" s="28"/>
      <c r="T23" s="28"/>
      <c r="U23" s="28"/>
      <c r="V23" s="28"/>
      <c r="W23" s="28">
        <v>0</v>
      </c>
      <c r="X23" s="28"/>
      <c r="Y23" s="28">
        <v>0</v>
      </c>
      <c r="Z23" s="28">
        <v>0</v>
      </c>
      <c r="AA23" s="28">
        <v>0</v>
      </c>
      <c r="AB23" s="28"/>
      <c r="AC23" s="28"/>
      <c r="AD23" s="28"/>
      <c r="AE23" s="122" t="s">
        <v>95</v>
      </c>
    </row>
    <row r="24" spans="1:32" s="21" customFormat="1" ht="15.75" customHeight="1" thickBot="1" x14ac:dyDescent="0.35">
      <c r="A24" s="134" t="s">
        <v>106</v>
      </c>
      <c r="B24" s="135"/>
      <c r="C24" s="69"/>
      <c r="D24" s="29">
        <f t="shared" ref="D24:Q24" si="6">SUM(D4:D23)</f>
        <v>2837383385</v>
      </c>
      <c r="E24" s="29">
        <f t="shared" si="6"/>
        <v>63298751</v>
      </c>
      <c r="F24" s="29">
        <f t="shared" si="6"/>
        <v>63876355</v>
      </c>
      <c r="G24" s="29">
        <f t="shared" si="6"/>
        <v>64459226</v>
      </c>
      <c r="H24" s="29">
        <f t="shared" si="6"/>
        <v>65047416</v>
      </c>
      <c r="I24" s="29">
        <f t="shared" si="6"/>
        <v>60211601</v>
      </c>
      <c r="J24" s="29">
        <f t="shared" si="6"/>
        <v>58589267</v>
      </c>
      <c r="K24" s="29">
        <f t="shared" si="6"/>
        <v>56272638</v>
      </c>
      <c r="L24" s="29">
        <f t="shared" si="6"/>
        <v>56786126</v>
      </c>
      <c r="M24" s="29">
        <f t="shared" si="6"/>
        <v>146442105</v>
      </c>
      <c r="N24" s="29">
        <f t="shared" si="6"/>
        <v>50086767</v>
      </c>
      <c r="O24" s="29">
        <f t="shared" si="6"/>
        <v>50543809</v>
      </c>
      <c r="P24" s="29">
        <f t="shared" si="6"/>
        <v>51005021</v>
      </c>
      <c r="Q24" s="29">
        <f t="shared" si="6"/>
        <v>786619082</v>
      </c>
      <c r="R24" s="29">
        <f>SUM(R4:R23)</f>
        <v>2050764303</v>
      </c>
      <c r="S24" s="29">
        <f t="shared" ref="S24:Z24" si="7">SUM(S4:S23)</f>
        <v>50520017</v>
      </c>
      <c r="T24" s="29">
        <f t="shared" si="7"/>
        <v>50981013</v>
      </c>
      <c r="U24" s="29">
        <f t="shared" si="7"/>
        <v>51446214</v>
      </c>
      <c r="V24" s="29">
        <f t="shared" si="7"/>
        <v>51915660</v>
      </c>
      <c r="W24" s="29">
        <f t="shared" si="7"/>
        <v>52389391</v>
      </c>
      <c r="X24" s="29">
        <f t="shared" si="7"/>
        <v>48378859</v>
      </c>
      <c r="Y24" s="29">
        <f>SUM(Y4:Y23)</f>
        <v>48864300</v>
      </c>
      <c r="Z24" s="29">
        <f t="shared" si="7"/>
        <v>49310186</v>
      </c>
      <c r="AA24" s="29">
        <f>SUM(AA4:AA23)</f>
        <v>49760140</v>
      </c>
      <c r="AB24" s="29">
        <f>SUM(AB4:AB23)</f>
        <v>50214202</v>
      </c>
      <c r="AC24" s="29">
        <f t="shared" ref="AC24:AD24" si="8">SUM(AC4:AC23)</f>
        <v>70672407</v>
      </c>
      <c r="AD24" s="29">
        <f t="shared" si="8"/>
        <v>51134792</v>
      </c>
      <c r="AE24" s="41">
        <f>SUM(AE4:AE23)</f>
        <v>1425177122</v>
      </c>
    </row>
    <row r="25" spans="1:32" ht="13.5" thickBot="1" x14ac:dyDescent="0.35">
      <c r="D25" s="20">
        <f>'Piutang Bank Mandiri -24'!F257</f>
        <v>2837383385</v>
      </c>
      <c r="E25" s="20">
        <v>63298751</v>
      </c>
      <c r="F25" s="20">
        <v>63876355</v>
      </c>
      <c r="G25" s="20">
        <v>64459226</v>
      </c>
      <c r="H25" s="20">
        <v>65047416</v>
      </c>
      <c r="I25" s="20">
        <v>60211601</v>
      </c>
      <c r="J25" s="20">
        <v>58589267</v>
      </c>
      <c r="K25" s="20">
        <v>56272635</v>
      </c>
      <c r="L25" s="20">
        <v>56786126</v>
      </c>
      <c r="M25" s="20">
        <v>49633858</v>
      </c>
      <c r="N25" s="20">
        <v>146895014</v>
      </c>
      <c r="O25" s="20">
        <v>50543809</v>
      </c>
      <c r="P25" s="20">
        <v>51005021</v>
      </c>
      <c r="S25" s="21">
        <v>50520017</v>
      </c>
      <c r="T25" s="21">
        <v>50981013</v>
      </c>
      <c r="U25" s="21">
        <v>51446214</v>
      </c>
      <c r="V25" s="21">
        <v>51915660</v>
      </c>
      <c r="W25" s="21">
        <v>52389391</v>
      </c>
      <c r="X25" s="29">
        <v>48378859</v>
      </c>
      <c r="Y25" s="21">
        <v>48864300</v>
      </c>
      <c r="Z25" s="21">
        <v>49310186</v>
      </c>
      <c r="AA25" s="21">
        <v>49760140</v>
      </c>
      <c r="AB25" s="21">
        <v>50214202</v>
      </c>
      <c r="AC25" s="21">
        <v>70672407</v>
      </c>
      <c r="AD25" s="21">
        <v>51134792</v>
      </c>
      <c r="AE25" s="22">
        <v>1425177123</v>
      </c>
    </row>
    <row r="26" spans="1:32" x14ac:dyDescent="0.3">
      <c r="D26" s="20">
        <f>D24-D25</f>
        <v>0</v>
      </c>
      <c r="E26" s="20">
        <f t="shared" ref="E26:AE26" si="9">E24-E25</f>
        <v>0</v>
      </c>
      <c r="F26" s="20">
        <f t="shared" si="9"/>
        <v>0</v>
      </c>
      <c r="G26" s="20">
        <f t="shared" si="9"/>
        <v>0</v>
      </c>
      <c r="H26" s="20">
        <f t="shared" si="9"/>
        <v>0</v>
      </c>
      <c r="I26" s="20">
        <f t="shared" si="9"/>
        <v>0</v>
      </c>
      <c r="J26" s="20">
        <f t="shared" si="9"/>
        <v>0</v>
      </c>
      <c r="K26" s="20">
        <f t="shared" si="9"/>
        <v>3</v>
      </c>
      <c r="L26" s="20">
        <f t="shared" si="9"/>
        <v>0</v>
      </c>
      <c r="M26" s="20">
        <f t="shared" si="9"/>
        <v>96808247</v>
      </c>
      <c r="N26" s="20">
        <f t="shared" si="9"/>
        <v>-96808247</v>
      </c>
      <c r="O26" s="20">
        <f t="shared" si="9"/>
        <v>0</v>
      </c>
      <c r="P26" s="20">
        <f t="shared" si="9"/>
        <v>0</v>
      </c>
      <c r="Q26" s="20">
        <f t="shared" si="9"/>
        <v>786619082</v>
      </c>
      <c r="R26" s="20">
        <f t="shared" si="9"/>
        <v>2050764303</v>
      </c>
      <c r="S26" s="20">
        <f t="shared" si="9"/>
        <v>0</v>
      </c>
      <c r="T26" s="20">
        <f t="shared" si="9"/>
        <v>0</v>
      </c>
      <c r="U26" s="20">
        <f t="shared" si="9"/>
        <v>0</v>
      </c>
      <c r="V26" s="20">
        <f t="shared" si="9"/>
        <v>0</v>
      </c>
      <c r="W26" s="20">
        <f t="shared" si="9"/>
        <v>0</v>
      </c>
      <c r="X26" s="20">
        <f t="shared" si="9"/>
        <v>0</v>
      </c>
      <c r="Y26" s="20">
        <f>Y24-Y25</f>
        <v>0</v>
      </c>
      <c r="Z26" s="20">
        <f t="shared" si="9"/>
        <v>0</v>
      </c>
      <c r="AA26" s="20">
        <f>AA24-AA25</f>
        <v>0</v>
      </c>
      <c r="AB26" s="20">
        <f>AB24-AB25</f>
        <v>0</v>
      </c>
      <c r="AC26" s="20">
        <f>AC24-AC25</f>
        <v>0</v>
      </c>
      <c r="AD26" s="20">
        <f>AD24-AD25</f>
        <v>0</v>
      </c>
      <c r="AE26" s="20">
        <f t="shared" si="9"/>
        <v>-1</v>
      </c>
    </row>
    <row r="29" spans="1:32" s="21" customFormat="1" ht="13.5" thickBot="1" x14ac:dyDescent="0.35">
      <c r="B29" s="125" t="s">
        <v>107</v>
      </c>
      <c r="H29" s="128"/>
      <c r="I29" s="128"/>
      <c r="AE29" s="31"/>
    </row>
    <row r="30" spans="1:32" s="21" customFormat="1" ht="13.5" thickBot="1" x14ac:dyDescent="0.35">
      <c r="A30" s="129" t="s">
        <v>64</v>
      </c>
      <c r="B30" s="130" t="s">
        <v>65</v>
      </c>
      <c r="C30" s="68"/>
      <c r="D30" s="131" t="s">
        <v>118</v>
      </c>
      <c r="E30" s="129" t="s">
        <v>66</v>
      </c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23"/>
      <c r="R30" s="127" t="s">
        <v>67</v>
      </c>
      <c r="S30" s="127"/>
      <c r="T30" s="127"/>
      <c r="U30" s="127"/>
      <c r="V30" s="127"/>
      <c r="W30" s="127"/>
      <c r="X30" s="127"/>
      <c r="Y30" s="127"/>
      <c r="Z30" s="127"/>
      <c r="AA30" s="35"/>
      <c r="AB30" s="35"/>
      <c r="AC30" s="35"/>
      <c r="AD30" s="35"/>
      <c r="AE30" s="108"/>
    </row>
    <row r="31" spans="1:32" s="21" customFormat="1" ht="39.5" thickBot="1" x14ac:dyDescent="0.35">
      <c r="A31" s="129"/>
      <c r="B31" s="130"/>
      <c r="C31" s="68"/>
      <c r="D31" s="131"/>
      <c r="E31" s="23" t="s">
        <v>68</v>
      </c>
      <c r="F31" s="23" t="s">
        <v>69</v>
      </c>
      <c r="G31" s="23" t="s">
        <v>70</v>
      </c>
      <c r="H31" s="23" t="s">
        <v>71</v>
      </c>
      <c r="I31" s="23" t="s">
        <v>72</v>
      </c>
      <c r="J31" s="23" t="s">
        <v>73</v>
      </c>
      <c r="K31" s="23" t="s">
        <v>74</v>
      </c>
      <c r="L31" s="23" t="s">
        <v>75</v>
      </c>
      <c r="M31" s="23" t="s">
        <v>76</v>
      </c>
      <c r="N31" s="23" t="s">
        <v>77</v>
      </c>
      <c r="O31" s="23" t="s">
        <v>78</v>
      </c>
      <c r="P31" s="23" t="s">
        <v>79</v>
      </c>
      <c r="Q31" s="40" t="s">
        <v>119</v>
      </c>
      <c r="R31" s="23" t="s">
        <v>80</v>
      </c>
      <c r="S31" s="23" t="s">
        <v>81</v>
      </c>
      <c r="T31" s="23" t="s">
        <v>82</v>
      </c>
      <c r="U31" s="23" t="s">
        <v>83</v>
      </c>
      <c r="V31" s="23" t="s">
        <v>84</v>
      </c>
      <c r="W31" s="23" t="s">
        <v>85</v>
      </c>
      <c r="X31" s="23" t="s">
        <v>86</v>
      </c>
      <c r="Y31" s="23" t="s">
        <v>87</v>
      </c>
      <c r="Z31" s="23" t="s">
        <v>88</v>
      </c>
      <c r="AA31" s="23" t="s">
        <v>89</v>
      </c>
      <c r="AB31" s="23" t="s">
        <v>90</v>
      </c>
      <c r="AC31" s="23" t="s">
        <v>91</v>
      </c>
      <c r="AD31" s="23" t="s">
        <v>92</v>
      </c>
      <c r="AE31" s="23" t="s">
        <v>93</v>
      </c>
    </row>
    <row r="32" spans="1:32" s="21" customFormat="1" x14ac:dyDescent="0.3">
      <c r="A32" s="105"/>
      <c r="B32" s="104"/>
      <c r="C32" s="104"/>
      <c r="D32" s="106"/>
      <c r="E32" s="105"/>
      <c r="F32" s="105"/>
      <c r="G32" s="105" t="s">
        <v>66</v>
      </c>
      <c r="H32" s="105"/>
      <c r="I32" s="105" t="s">
        <v>66</v>
      </c>
      <c r="J32" s="105"/>
      <c r="K32" s="105"/>
      <c r="L32" s="105"/>
      <c r="M32" s="105"/>
      <c r="N32" s="105"/>
      <c r="O32" s="105"/>
      <c r="P32" s="105"/>
      <c r="Q32" s="106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7"/>
    </row>
    <row r="33" spans="1:34" s="21" customFormat="1" x14ac:dyDescent="0.3">
      <c r="A33" s="24">
        <v>1</v>
      </c>
      <c r="B33" s="92" t="s">
        <v>207</v>
      </c>
      <c r="C33" s="92" t="s">
        <v>190</v>
      </c>
      <c r="D33" s="98">
        <v>441301238</v>
      </c>
      <c r="E33" s="24" cm="1">
        <f t="array" ref="E33:P33">TRANSPOSE('Piutang Bank BSI-24'!E9:E20)</f>
        <v>2842239</v>
      </c>
      <c r="F33" s="24">
        <v>2868293</v>
      </c>
      <c r="G33" s="24">
        <v>2894586</v>
      </c>
      <c r="H33" s="24">
        <v>2921119</v>
      </c>
      <c r="I33" s="24">
        <v>2947896</v>
      </c>
      <c r="J33" s="24">
        <v>2974919</v>
      </c>
      <c r="K33" s="24">
        <v>3002189</v>
      </c>
      <c r="L33" s="24">
        <v>3029709</v>
      </c>
      <c r="M33" s="24">
        <v>3057481</v>
      </c>
      <c r="N33" s="24">
        <v>3085508</v>
      </c>
      <c r="O33" s="24">
        <v>3113792</v>
      </c>
      <c r="P33" s="24">
        <v>3142335</v>
      </c>
      <c r="Q33" s="24">
        <f>SUM(_xlfn.ANCHORARRAY(E33))</f>
        <v>35880066</v>
      </c>
      <c r="R33" s="24">
        <f>D33-E33-F33-G33-H33-I33-J33-K33-L33-M33-N33-O33-P33</f>
        <v>405421172</v>
      </c>
      <c r="S33" s="99">
        <v>3171140</v>
      </c>
      <c r="T33" s="99">
        <v>3200209</v>
      </c>
      <c r="U33" s="99">
        <v>3229544</v>
      </c>
      <c r="V33" s="99">
        <v>3259148</v>
      </c>
      <c r="W33" s="24">
        <v>3289024</v>
      </c>
      <c r="X33" s="24">
        <v>3319173</v>
      </c>
      <c r="Y33" s="24">
        <v>3349599</v>
      </c>
      <c r="Z33" s="24">
        <v>3380303</v>
      </c>
      <c r="AA33" s="24">
        <v>3411289</v>
      </c>
      <c r="AB33" s="24">
        <v>3442560</v>
      </c>
      <c r="AC33" s="24">
        <v>3474116</v>
      </c>
      <c r="AD33" s="24">
        <v>3505962</v>
      </c>
      <c r="AE33" s="37">
        <f>R33-S33-T33-U33-V33-W33-X33-Y33-Z33-AA33-AB33-AC33-AD33</f>
        <v>365389105</v>
      </c>
    </row>
    <row r="34" spans="1:34" s="21" customFormat="1" x14ac:dyDescent="0.3">
      <c r="A34" s="26">
        <v>2</v>
      </c>
      <c r="B34" s="120" t="s">
        <v>122</v>
      </c>
      <c r="C34" s="120"/>
      <c r="D34" s="121">
        <v>80174732</v>
      </c>
      <c r="E34" s="26" cm="1">
        <f t="array" ref="E34:M34">TRANSPOSE('Piutang Bank BSI-24'!E23:E31)</f>
        <v>8586633</v>
      </c>
      <c r="F34" s="26">
        <v>8665343</v>
      </c>
      <c r="G34" s="26">
        <v>8744776</v>
      </c>
      <c r="H34" s="26">
        <v>8824936</v>
      </c>
      <c r="I34" s="26">
        <v>8905831</v>
      </c>
      <c r="J34" s="26">
        <v>8987468</v>
      </c>
      <c r="K34" s="26">
        <v>9069853</v>
      </c>
      <c r="L34" s="26">
        <v>9152994</v>
      </c>
      <c r="M34" s="26">
        <v>9236898</v>
      </c>
      <c r="N34" s="26"/>
      <c r="O34" s="26"/>
      <c r="P34" s="26"/>
      <c r="Q34" s="26">
        <f t="shared" ref="Q34:Q71" si="10">SUM(_xlfn.ANCHORARRAY(E34))</f>
        <v>80174732</v>
      </c>
      <c r="R34" s="26" t="s">
        <v>95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122" t="s">
        <v>95</v>
      </c>
    </row>
    <row r="35" spans="1:34" s="21" customFormat="1" x14ac:dyDescent="0.3">
      <c r="A35" s="24">
        <v>3</v>
      </c>
      <c r="B35" s="92" t="s">
        <v>208</v>
      </c>
      <c r="C35" s="92" t="s">
        <v>190</v>
      </c>
      <c r="D35" s="93">
        <v>259099951</v>
      </c>
      <c r="E35" s="24" cm="1">
        <f t="array" ref="E35:P35">TRANSPOSE('Piutang Bank BSI-24'!E37:E48)</f>
        <v>5234765</v>
      </c>
      <c r="F35" s="24">
        <v>5282751</v>
      </c>
      <c r="G35" s="24">
        <v>5331176</v>
      </c>
      <c r="H35" s="24">
        <v>5380045</v>
      </c>
      <c r="I35" s="24">
        <v>5429362</v>
      </c>
      <c r="J35" s="24">
        <v>5479131</v>
      </c>
      <c r="K35" s="24">
        <v>5529356</v>
      </c>
      <c r="L35" s="24">
        <v>5580042</v>
      </c>
      <c r="M35" s="24">
        <v>5631193</v>
      </c>
      <c r="N35" s="24">
        <v>5682812</v>
      </c>
      <c r="O35" s="24">
        <v>5734904</v>
      </c>
      <c r="P35" s="24">
        <v>5787474</v>
      </c>
      <c r="Q35" s="24">
        <f t="shared" si="10"/>
        <v>66083011</v>
      </c>
      <c r="R35" s="24">
        <f t="shared" ref="R35:R71" si="11">D35-E35-F35-G35-H35-I35-J35-K35-L35-M35-N35-O35-P35</f>
        <v>193016940</v>
      </c>
      <c r="S35" s="99">
        <v>5840526</v>
      </c>
      <c r="T35" s="99">
        <v>5894064</v>
      </c>
      <c r="U35" s="99">
        <v>5948093</v>
      </c>
      <c r="V35" s="99">
        <v>6002617</v>
      </c>
      <c r="W35" s="24">
        <v>6057641</v>
      </c>
      <c r="X35" s="24">
        <v>6113170</v>
      </c>
      <c r="Y35" s="24">
        <v>6169207</v>
      </c>
      <c r="Z35" s="24">
        <v>6225758</v>
      </c>
      <c r="AA35" s="24">
        <v>6282828</v>
      </c>
      <c r="AB35" s="24">
        <v>6340420</v>
      </c>
      <c r="AC35" s="24">
        <v>6398541</v>
      </c>
      <c r="AD35" s="24">
        <v>6457194</v>
      </c>
      <c r="AE35" s="37">
        <f>R35-S35-T35-U35-V35-W35-X35-Y35-Z35-AA35-AB35-AC35-AD35</f>
        <v>119286881</v>
      </c>
    </row>
    <row r="36" spans="1:34" s="21" customFormat="1" x14ac:dyDescent="0.3">
      <c r="A36" s="24">
        <v>4</v>
      </c>
      <c r="B36" s="92" t="s">
        <v>125</v>
      </c>
      <c r="C36" s="92"/>
      <c r="D36" s="93">
        <v>168135207</v>
      </c>
      <c r="E36" s="24" cm="1">
        <f t="array" ref="E36:M36">TRANSPOSE('Piutang Bank BSI-24'!E51:E59)</f>
        <v>16146806</v>
      </c>
      <c r="F36" s="24">
        <v>16291455</v>
      </c>
      <c r="G36" s="24">
        <v>16437399</v>
      </c>
      <c r="H36" s="24">
        <v>16584651</v>
      </c>
      <c r="I36" s="24">
        <v>16733222</v>
      </c>
      <c r="J36" s="24">
        <v>16883124</v>
      </c>
      <c r="K36" s="24">
        <v>17034368</v>
      </c>
      <c r="L36" s="24">
        <v>17186967</v>
      </c>
      <c r="M36" s="24">
        <v>17340934</v>
      </c>
      <c r="N36" s="24"/>
      <c r="O36" s="24"/>
      <c r="P36" s="24"/>
      <c r="Q36" s="24">
        <f t="shared" si="10"/>
        <v>150638926</v>
      </c>
      <c r="R36" s="24">
        <f t="shared" si="11"/>
        <v>17496281</v>
      </c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>
        <v>0</v>
      </c>
      <c r="AD36" s="24"/>
      <c r="AE36" s="37">
        <f>R36-S36-T36-U36-V36-W36-X36-Y36-Z36-AA36-AB36-AC36-AD36</f>
        <v>17496281</v>
      </c>
    </row>
    <row r="37" spans="1:34" s="112" customFormat="1" x14ac:dyDescent="0.3">
      <c r="A37" s="26">
        <v>5</v>
      </c>
      <c r="B37" s="120" t="s">
        <v>115</v>
      </c>
      <c r="C37" s="120" t="s">
        <v>191</v>
      </c>
      <c r="D37" s="121">
        <v>322608414</v>
      </c>
      <c r="E37" s="26" cm="1">
        <f t="array" ref="E37:P37">TRANSPOSE('Piutang Bank BSI-24'!E66:E77)</f>
        <v>2512754</v>
      </c>
      <c r="F37" s="26">
        <v>2537881</v>
      </c>
      <c r="G37" s="26">
        <v>2563260</v>
      </c>
      <c r="H37" s="26">
        <v>2588893</v>
      </c>
      <c r="I37" s="26">
        <v>2614782</v>
      </c>
      <c r="J37" s="26">
        <v>2640929</v>
      </c>
      <c r="K37" s="26">
        <v>2667339</v>
      </c>
      <c r="L37" s="26">
        <v>2694012</v>
      </c>
      <c r="M37" s="26">
        <v>2720952</v>
      </c>
      <c r="N37" s="26">
        <v>2748162</v>
      </c>
      <c r="O37" s="26">
        <v>2775643</v>
      </c>
      <c r="P37" s="26">
        <v>2803400</v>
      </c>
      <c r="Q37" s="26">
        <f t="shared" si="10"/>
        <v>31868007</v>
      </c>
      <c r="R37" s="26">
        <f t="shared" si="11"/>
        <v>290740407</v>
      </c>
      <c r="S37" s="123">
        <v>2831434</v>
      </c>
      <c r="T37" s="123">
        <v>2859748</v>
      </c>
      <c r="U37" s="123">
        <v>2888346</v>
      </c>
      <c r="V37" s="123">
        <v>2917229</v>
      </c>
      <c r="W37" s="26">
        <v>2946401</v>
      </c>
      <c r="X37" s="26">
        <f>276297249-425000000+2015987</f>
        <v>-146686764</v>
      </c>
      <c r="Y37" s="26">
        <v>2033627</v>
      </c>
      <c r="Z37" s="26">
        <f>250000000+168898964+2051421</f>
        <v>420950385</v>
      </c>
      <c r="AA37" s="26" t="s">
        <v>194</v>
      </c>
      <c r="AB37" s="26"/>
      <c r="AC37" s="26"/>
      <c r="AD37" s="26"/>
      <c r="AE37" s="122" t="s">
        <v>95</v>
      </c>
    </row>
    <row r="38" spans="1:34" s="21" customFormat="1" x14ac:dyDescent="0.3">
      <c r="A38" s="24">
        <v>6</v>
      </c>
      <c r="B38" s="92" t="s">
        <v>209</v>
      </c>
      <c r="C38" s="92" t="s">
        <v>190</v>
      </c>
      <c r="D38" s="93">
        <v>167114617</v>
      </c>
      <c r="E38" s="24">
        <f>'Piutang Bank BSI-24'!E80</f>
        <v>4700818</v>
      </c>
      <c r="F38" s="24">
        <f>'Piutang Bank BSI-24'!E81</f>
        <v>4742929</v>
      </c>
      <c r="G38" s="24">
        <f>'Piutang Bank BSI-24'!E82</f>
        <v>4785418</v>
      </c>
      <c r="H38" s="24">
        <f>'Piutang Bank BSI-24'!E83</f>
        <v>4828287</v>
      </c>
      <c r="I38" s="24">
        <f>'Piutang Bank BSI-24'!E84-'Piutang Bank BSI-24'!D85</f>
        <v>-91942839</v>
      </c>
      <c r="J38" s="24">
        <f>'Piutang Bank BSI-24'!E86</f>
        <v>7008660</v>
      </c>
      <c r="K38" s="24">
        <f>'Piutang Bank BSI-24'!E87</f>
        <v>7071445</v>
      </c>
      <c r="L38" s="24">
        <f>'Piutang Bank BSI-24'!E88</f>
        <v>7134794</v>
      </c>
      <c r="M38" s="24">
        <f>'Piutang Bank BSI-24'!E89</f>
        <v>7198710</v>
      </c>
      <c r="N38" s="24">
        <f>'Piutang Bank BSI-24'!E90</f>
        <v>7263198</v>
      </c>
      <c r="O38" s="24">
        <f>'Piutang Bank BSI-24'!E91</f>
        <v>7328264</v>
      </c>
      <c r="P38" s="24">
        <f>'Piutang Bank BSI-24'!E92</f>
        <v>7393913</v>
      </c>
      <c r="Q38" s="24">
        <f t="shared" si="10"/>
        <v>4700818</v>
      </c>
      <c r="R38" s="24">
        <f t="shared" si="11"/>
        <v>189601020</v>
      </c>
      <c r="S38" s="99">
        <v>7460150</v>
      </c>
      <c r="T38" s="99">
        <v>7526981</v>
      </c>
      <c r="U38" s="99">
        <v>7594410</v>
      </c>
      <c r="V38" s="99">
        <v>7662443</v>
      </c>
      <c r="W38" s="24">
        <v>7731086</v>
      </c>
      <c r="X38" s="24">
        <v>7800344</v>
      </c>
      <c r="Y38" s="24">
        <v>7870222</v>
      </c>
      <c r="Z38" s="24">
        <v>7940726</v>
      </c>
      <c r="AA38" s="24">
        <v>8011862</v>
      </c>
      <c r="AB38" s="24">
        <v>8083635</v>
      </c>
      <c r="AC38" s="24">
        <v>8156050</v>
      </c>
      <c r="AD38" s="24">
        <v>8229115</v>
      </c>
      <c r="AE38" s="37">
        <f>R38-S38-T38-U38-V38-W38-X38-Y38-Z38-AA38-AB38-AC38-AD38</f>
        <v>95533996</v>
      </c>
    </row>
    <row r="39" spans="1:34" s="21" customFormat="1" x14ac:dyDescent="0.3">
      <c r="A39" s="26">
        <v>7</v>
      </c>
      <c r="B39" s="120" t="s">
        <v>3</v>
      </c>
      <c r="C39" s="120" t="s">
        <v>190</v>
      </c>
      <c r="D39" s="121">
        <v>101419449</v>
      </c>
      <c r="E39" s="26" cm="1">
        <f t="array" ref="E39:P39">TRANSPOSE('Piutang Bank BSI-24'!E96:E107)</f>
        <v>3981129</v>
      </c>
      <c r="F39" s="26">
        <v>4017623</v>
      </c>
      <c r="G39" s="26">
        <v>4054451</v>
      </c>
      <c r="H39" s="26">
        <v>4091617</v>
      </c>
      <c r="I39" s="26">
        <v>4129123</v>
      </c>
      <c r="J39" s="26">
        <v>4166974</v>
      </c>
      <c r="K39" s="26">
        <v>4205171</v>
      </c>
      <c r="L39" s="26">
        <v>4243718</v>
      </c>
      <c r="M39" s="26">
        <v>4282619</v>
      </c>
      <c r="N39" s="26">
        <v>4321877</v>
      </c>
      <c r="O39" s="26">
        <v>4361494</v>
      </c>
      <c r="P39" s="26">
        <v>4401474</v>
      </c>
      <c r="Q39" s="26">
        <f t="shared" si="10"/>
        <v>50257270</v>
      </c>
      <c r="R39" s="26">
        <f t="shared" si="11"/>
        <v>51162179</v>
      </c>
      <c r="S39" s="123">
        <v>4441821</v>
      </c>
      <c r="T39" s="123">
        <v>4482538</v>
      </c>
      <c r="U39" s="123">
        <v>4523628</v>
      </c>
      <c r="V39" s="123">
        <v>4565094</v>
      </c>
      <c r="W39" s="26">
        <v>4606941</v>
      </c>
      <c r="X39" s="26">
        <v>4649171</v>
      </c>
      <c r="Y39" s="26">
        <v>4691789</v>
      </c>
      <c r="Z39" s="26">
        <v>4734797</v>
      </c>
      <c r="AA39" s="26">
        <v>14466400</v>
      </c>
      <c r="AB39" s="26">
        <v>0</v>
      </c>
      <c r="AC39" s="26"/>
      <c r="AD39" s="26"/>
      <c r="AE39" s="122">
        <f t="shared" ref="AE39:AE66" si="12">R39-S39-T39-U39-V39-W39-X39-Y39-Z39-AA39-AB39</f>
        <v>0</v>
      </c>
    </row>
    <row r="40" spans="1:34" s="21" customFormat="1" x14ac:dyDescent="0.3">
      <c r="A40" s="24">
        <v>8</v>
      </c>
      <c r="B40" s="92" t="s">
        <v>210</v>
      </c>
      <c r="C40" s="92" t="s">
        <v>190</v>
      </c>
      <c r="D40" s="93">
        <v>145619024</v>
      </c>
      <c r="E40" s="24" cm="1">
        <f t="array" ref="E40:P40">TRANSPOSE('Piutang Bank BSI-24'!E110:E121)</f>
        <v>1178507</v>
      </c>
      <c r="F40" s="24">
        <v>1189310</v>
      </c>
      <c r="G40" s="24">
        <v>1200212</v>
      </c>
      <c r="H40" s="24">
        <v>1211214</v>
      </c>
      <c r="I40" s="24">
        <v>1222317</v>
      </c>
      <c r="J40" s="24">
        <v>1233521</v>
      </c>
      <c r="K40" s="24">
        <v>1244829</v>
      </c>
      <c r="L40" s="24">
        <v>1256240</v>
      </c>
      <c r="M40" s="24">
        <v>1267755</v>
      </c>
      <c r="N40" s="24">
        <v>1279376</v>
      </c>
      <c r="O40" s="24">
        <v>1291104</v>
      </c>
      <c r="P40" s="24">
        <v>1302939</v>
      </c>
      <c r="Q40" s="24">
        <f t="shared" si="10"/>
        <v>14877324</v>
      </c>
      <c r="R40" s="24">
        <f t="shared" si="11"/>
        <v>130741700</v>
      </c>
      <c r="S40" s="99">
        <v>1314883</v>
      </c>
      <c r="T40" s="99">
        <v>1326936</v>
      </c>
      <c r="U40" s="99">
        <v>1339099</v>
      </c>
      <c r="V40" s="99">
        <v>1351374</v>
      </c>
      <c r="W40" s="24">
        <v>1363762</v>
      </c>
      <c r="X40" s="24">
        <v>1376263</v>
      </c>
      <c r="Y40" s="24">
        <v>1388879</v>
      </c>
      <c r="Z40" s="24">
        <v>1401610</v>
      </c>
      <c r="AA40" s="24">
        <f>-175000000+119878894+2230183</f>
        <v>-52890923</v>
      </c>
      <c r="AB40" s="24">
        <v>2249697</v>
      </c>
      <c r="AC40" s="24">
        <v>2269381</v>
      </c>
      <c r="AD40" s="24">
        <v>2289239</v>
      </c>
      <c r="AE40" s="37">
        <f>R40-S40-T40-U40-V40-W40-X40-Y40-Z40-AA40-AB40-AC40-AD40</f>
        <v>165961500</v>
      </c>
    </row>
    <row r="41" spans="1:34" s="21" customFormat="1" x14ac:dyDescent="0.3">
      <c r="A41" s="24">
        <v>9</v>
      </c>
      <c r="B41" s="92" t="s">
        <v>203</v>
      </c>
      <c r="C41" s="92" t="s">
        <v>190</v>
      </c>
      <c r="D41" s="93">
        <v>465541913</v>
      </c>
      <c r="E41" s="24" cm="1">
        <f t="array" ref="E41:P41">TRANSPOSE('Piutang Bank BSI-24'!E124:E135)</f>
        <v>3045463</v>
      </c>
      <c r="F41" s="24">
        <v>3073380</v>
      </c>
      <c r="G41" s="24">
        <v>3101552</v>
      </c>
      <c r="H41" s="24">
        <v>3129983</v>
      </c>
      <c r="I41" s="24">
        <v>3158675</v>
      </c>
      <c r="J41" s="24">
        <v>3187629</v>
      </c>
      <c r="K41" s="24">
        <v>3216849</v>
      </c>
      <c r="L41" s="24">
        <v>3246337</v>
      </c>
      <c r="M41" s="24">
        <v>3276095</v>
      </c>
      <c r="N41" s="24">
        <v>3306126</v>
      </c>
      <c r="O41" s="24">
        <v>3336432</v>
      </c>
      <c r="P41" s="24">
        <v>3367016</v>
      </c>
      <c r="Q41" s="24">
        <f t="shared" si="10"/>
        <v>38445537</v>
      </c>
      <c r="R41" s="24">
        <f t="shared" si="11"/>
        <v>427096376</v>
      </c>
      <c r="S41" s="99">
        <v>3397880</v>
      </c>
      <c r="T41" s="99">
        <v>3429028</v>
      </c>
      <c r="U41" s="99">
        <v>3460460</v>
      </c>
      <c r="V41" s="99">
        <v>3492181</v>
      </c>
      <c r="W41" s="24">
        <v>3524193</v>
      </c>
      <c r="X41" s="24">
        <v>3556498</v>
      </c>
      <c r="Y41" s="24">
        <v>3589099</v>
      </c>
      <c r="Z41" s="24">
        <v>3621999</v>
      </c>
      <c r="AA41" s="24">
        <v>3655201</v>
      </c>
      <c r="AB41" s="24">
        <v>3688707</v>
      </c>
      <c r="AC41" s="24">
        <v>3722520</v>
      </c>
      <c r="AD41" s="24">
        <v>3756643</v>
      </c>
      <c r="AE41" s="37">
        <f>R41-S41-T41-U41-V41-W41-X41-Y41-Z41-AA41-AB41-AC41-AD41</f>
        <v>384201967</v>
      </c>
    </row>
    <row r="42" spans="1:34" s="21" customFormat="1" x14ac:dyDescent="0.3">
      <c r="A42" s="24">
        <v>10</v>
      </c>
      <c r="B42" s="92" t="s">
        <v>211</v>
      </c>
      <c r="C42" s="92" t="s">
        <v>190</v>
      </c>
      <c r="D42" s="24">
        <v>0</v>
      </c>
      <c r="E42" s="24">
        <v>0</v>
      </c>
      <c r="F42" s="24">
        <v>0</v>
      </c>
      <c r="G42" s="24">
        <f>-'Piutang Bank BSI-24'!D137</f>
        <v>-110000000</v>
      </c>
      <c r="H42" s="24">
        <f>'Piutang Bank BSI-24'!E138</f>
        <v>2781918</v>
      </c>
      <c r="I42" s="24">
        <f>'Piutang Bank BSI-24'!E139</f>
        <v>2806839</v>
      </c>
      <c r="J42" s="24">
        <f>'Piutang Bank BSI-24'!E140</f>
        <v>2831984</v>
      </c>
      <c r="K42" s="24">
        <f>'Piutang Bank BSI-24'!E141</f>
        <v>2857354</v>
      </c>
      <c r="L42" s="24">
        <f>'Piutang Bank BSI-24'!E142</f>
        <v>2882951</v>
      </c>
      <c r="M42" s="24">
        <f>'Piutang Bank BSI-24'!E143</f>
        <v>2908777</v>
      </c>
      <c r="N42" s="24">
        <f>'Piutang Bank BSI-24'!E144</f>
        <v>2934835</v>
      </c>
      <c r="O42" s="24">
        <f>'Piutang Bank BSI-24'!E145</f>
        <v>2961126</v>
      </c>
      <c r="P42" s="24">
        <f>'Piutang Bank BSI-24'!E146</f>
        <v>2987653</v>
      </c>
      <c r="Q42" s="24">
        <f>SUM(H42:P42)</f>
        <v>25953437</v>
      </c>
      <c r="R42" s="24">
        <f>D42-E42-F42-G42-H42-I42-J42-K42-L42-M42-N42-O42-P42</f>
        <v>84046563</v>
      </c>
      <c r="S42" s="99">
        <v>3014418</v>
      </c>
      <c r="T42" s="99">
        <v>3041422</v>
      </c>
      <c r="U42" s="99">
        <v>3068668</v>
      </c>
      <c r="V42" s="99">
        <v>3096158</v>
      </c>
      <c r="W42" s="24">
        <v>3123894</v>
      </c>
      <c r="X42" s="24">
        <v>3151879</v>
      </c>
      <c r="Y42" s="24">
        <v>3180115</v>
      </c>
      <c r="Z42" s="24">
        <v>3208603</v>
      </c>
      <c r="AA42" s="24">
        <v>3237347</v>
      </c>
      <c r="AB42" s="24">
        <v>3266348</v>
      </c>
      <c r="AC42" s="24">
        <v>3295609</v>
      </c>
      <c r="AD42" s="24">
        <v>3325133</v>
      </c>
      <c r="AE42" s="37">
        <f>R42-S42-T42-U42-V42-W42-X42-Y42-Z42-AA42-AB42-AC42-AD42</f>
        <v>46036969</v>
      </c>
    </row>
    <row r="43" spans="1:34" s="21" customFormat="1" x14ac:dyDescent="0.3">
      <c r="A43" s="24">
        <v>11</v>
      </c>
      <c r="B43" s="92" t="s">
        <v>212</v>
      </c>
      <c r="C43" s="92" t="s">
        <v>225</v>
      </c>
      <c r="D43" s="93">
        <v>94936109</v>
      </c>
      <c r="E43" s="24" cm="1">
        <f t="array" ref="E43:P43">TRANSPOSE('Piutang Bank BSI-24'!E149:E160)</f>
        <v>1040158</v>
      </c>
      <c r="F43" s="24">
        <v>1049477</v>
      </c>
      <c r="G43" s="24">
        <v>1058878</v>
      </c>
      <c r="H43" s="24">
        <v>1068364</v>
      </c>
      <c r="I43" s="24">
        <v>1077935</v>
      </c>
      <c r="J43" s="24">
        <v>1087591</v>
      </c>
      <c r="K43" s="24">
        <v>1097334</v>
      </c>
      <c r="L43" s="24">
        <v>1107164</v>
      </c>
      <c r="M43" s="24">
        <v>1117083</v>
      </c>
      <c r="N43" s="24">
        <v>1127090</v>
      </c>
      <c r="O43" s="24">
        <v>1137187</v>
      </c>
      <c r="P43" s="24">
        <v>1147374</v>
      </c>
      <c r="Q43" s="24">
        <f t="shared" si="10"/>
        <v>13115635</v>
      </c>
      <c r="R43" s="24">
        <f t="shared" si="11"/>
        <v>81820474</v>
      </c>
      <c r="S43" s="99">
        <v>1157653</v>
      </c>
      <c r="T43" s="99">
        <v>1168023</v>
      </c>
      <c r="U43" s="99">
        <v>1178487</v>
      </c>
      <c r="V43" s="99">
        <v>1189044</v>
      </c>
      <c r="W43" s="24">
        <v>1199696</v>
      </c>
      <c r="X43" s="24">
        <v>1210443</v>
      </c>
      <c r="Y43" s="24">
        <v>1221287</v>
      </c>
      <c r="Z43" s="24">
        <v>1232228</v>
      </c>
      <c r="AA43" s="24">
        <v>1243266</v>
      </c>
      <c r="AB43" s="24">
        <v>1254404</v>
      </c>
      <c r="AC43" s="24">
        <v>1265641</v>
      </c>
      <c r="AD43" s="24">
        <v>1276979</v>
      </c>
      <c r="AE43" s="37">
        <f>R43-S43-T43-U43-V43-W43-X43-Y43-Z43-AA43-AB43-AC43-AD43</f>
        <v>67223323</v>
      </c>
    </row>
    <row r="44" spans="1:34" s="21" customFormat="1" x14ac:dyDescent="0.3">
      <c r="A44" s="26">
        <v>12</v>
      </c>
      <c r="B44" s="120" t="s">
        <v>117</v>
      </c>
      <c r="C44" s="120"/>
      <c r="D44" s="121">
        <v>7289444</v>
      </c>
      <c r="E44" s="26" cm="1">
        <f t="array" ref="E44:I44">TRANSPOSE('Piutang Bank BSI-24'!E163:E167)</f>
        <v>1797494</v>
      </c>
      <c r="F44" s="26">
        <v>1813971</v>
      </c>
      <c r="G44" s="26">
        <v>1830599</v>
      </c>
      <c r="H44" s="26">
        <v>1847379</v>
      </c>
      <c r="I44" s="26">
        <v>1</v>
      </c>
      <c r="J44" s="26"/>
      <c r="K44" s="26"/>
      <c r="L44" s="26"/>
      <c r="M44" s="26"/>
      <c r="N44" s="26"/>
      <c r="O44" s="26"/>
      <c r="P44" s="26"/>
      <c r="Q44" s="26">
        <f t="shared" si="10"/>
        <v>7289444</v>
      </c>
      <c r="R44" s="26" t="s">
        <v>95</v>
      </c>
      <c r="S44" s="26"/>
      <c r="T44" s="26"/>
      <c r="U44" s="26"/>
      <c r="V44" s="26"/>
      <c r="W44" s="26">
        <v>0</v>
      </c>
      <c r="X44" s="26">
        <v>0</v>
      </c>
      <c r="Y44" s="26">
        <v>0</v>
      </c>
      <c r="Z44" s="26">
        <v>0</v>
      </c>
      <c r="AA44" s="26"/>
      <c r="AB44" s="26"/>
      <c r="AC44" s="26"/>
      <c r="AD44" s="26"/>
      <c r="AE44" s="122" t="s">
        <v>95</v>
      </c>
    </row>
    <row r="45" spans="1:34" s="112" customFormat="1" x14ac:dyDescent="0.3">
      <c r="A45" s="91">
        <v>13</v>
      </c>
      <c r="B45" s="100" t="s">
        <v>108</v>
      </c>
      <c r="C45" s="100" t="s">
        <v>192</v>
      </c>
      <c r="D45" s="101">
        <v>52857431</v>
      </c>
      <c r="E45" s="91" cm="1">
        <f t="array" ref="E45:P45">TRANSPOSE('Piutang Bank BSI-24'!E172:E183)</f>
        <v>1037443</v>
      </c>
      <c r="F45" s="91">
        <v>1046953</v>
      </c>
      <c r="G45" s="91">
        <v>1056550</v>
      </c>
      <c r="H45" s="91">
        <v>1066235</v>
      </c>
      <c r="I45" s="91">
        <v>1076009</v>
      </c>
      <c r="J45" s="91">
        <v>1085872</v>
      </c>
      <c r="K45" s="91">
        <v>1095826</v>
      </c>
      <c r="L45" s="91">
        <v>1105871</v>
      </c>
      <c r="M45" s="91">
        <v>1116008</v>
      </c>
      <c r="N45" s="91">
        <v>1126239</v>
      </c>
      <c r="O45" s="91">
        <v>1136562</v>
      </c>
      <c r="P45" s="91">
        <v>1146981</v>
      </c>
      <c r="Q45" s="91">
        <f t="shared" si="10"/>
        <v>13096549</v>
      </c>
      <c r="R45" s="91">
        <f t="shared" si="11"/>
        <v>39760882</v>
      </c>
      <c r="S45" s="102">
        <v>1157495</v>
      </c>
      <c r="T45" s="102">
        <v>1168105</v>
      </c>
      <c r="U45" s="102">
        <v>1178813</v>
      </c>
      <c r="V45" s="102">
        <v>1189619</v>
      </c>
      <c r="W45" s="91">
        <v>1200523</v>
      </c>
      <c r="X45" s="91">
        <v>1211528</v>
      </c>
      <c r="Y45" s="91">
        <v>1222634</v>
      </c>
      <c r="Z45" s="91">
        <v>1233841</v>
      </c>
      <c r="AA45" s="91">
        <v>1245152</v>
      </c>
      <c r="AB45" s="91">
        <v>1256566</v>
      </c>
      <c r="AC45" s="91">
        <v>1268084</v>
      </c>
      <c r="AD45" s="91">
        <v>1279708</v>
      </c>
      <c r="AE45" s="37">
        <f t="shared" ref="AE45:AE50" si="13">R45-S45-T45-U45-V45-W45-X45-Y45-Z45-AA45-AB45-AC45-AD45</f>
        <v>25148814</v>
      </c>
    </row>
    <row r="46" spans="1:34" s="112" customFormat="1" x14ac:dyDescent="0.3">
      <c r="A46" s="91">
        <v>14</v>
      </c>
      <c r="B46" s="100" t="s">
        <v>12</v>
      </c>
      <c r="C46" s="100" t="s">
        <v>193</v>
      </c>
      <c r="D46" s="101">
        <v>81668701</v>
      </c>
      <c r="E46" s="91" cm="1">
        <f t="array" ref="E46:P46">TRANSPOSE('Piutang Bank BSI-24'!E186:E197)</f>
        <v>963614</v>
      </c>
      <c r="F46" s="91">
        <v>972447</v>
      </c>
      <c r="G46" s="91">
        <v>981361</v>
      </c>
      <c r="H46" s="91">
        <v>990357</v>
      </c>
      <c r="I46" s="91">
        <v>999435</v>
      </c>
      <c r="J46" s="91">
        <v>1008597</v>
      </c>
      <c r="K46" s="91">
        <v>1017172</v>
      </c>
      <c r="L46" s="91">
        <v>1027172</v>
      </c>
      <c r="M46" s="91">
        <v>1036588</v>
      </c>
      <c r="N46" s="91">
        <v>1046090</v>
      </c>
      <c r="O46" s="91">
        <v>1055679</v>
      </c>
      <c r="P46" s="91">
        <v>1065356</v>
      </c>
      <c r="Q46" s="91">
        <f t="shared" si="10"/>
        <v>12163868</v>
      </c>
      <c r="R46" s="91">
        <f t="shared" si="11"/>
        <v>69504833</v>
      </c>
      <c r="S46" s="102">
        <v>1075122</v>
      </c>
      <c r="T46" s="102">
        <v>1084977</v>
      </c>
      <c r="U46" s="102">
        <v>1094923</v>
      </c>
      <c r="V46" s="102">
        <v>1104960</v>
      </c>
      <c r="W46" s="103">
        <v>1115089</v>
      </c>
      <c r="X46" s="91">
        <v>1125310</v>
      </c>
      <c r="Y46" s="91">
        <v>1135626</v>
      </c>
      <c r="Z46" s="91">
        <v>1146036</v>
      </c>
      <c r="AA46" s="91">
        <f>-170000000+60622120+2166463</f>
        <v>-107211417</v>
      </c>
      <c r="AB46" s="91">
        <v>2185420</v>
      </c>
      <c r="AC46" s="91">
        <v>2204542</v>
      </c>
      <c r="AD46" s="91">
        <v>2223832</v>
      </c>
      <c r="AE46" s="37">
        <f t="shared" si="13"/>
        <v>161220413</v>
      </c>
    </row>
    <row r="47" spans="1:34" s="117" customFormat="1" x14ac:dyDescent="0.3">
      <c r="A47" s="113">
        <v>15</v>
      </c>
      <c r="B47" s="114" t="s">
        <v>18</v>
      </c>
      <c r="C47" s="114" t="s">
        <v>192</v>
      </c>
      <c r="D47" s="115">
        <v>101419449</v>
      </c>
      <c r="E47" s="113" cm="1">
        <f t="array" ref="E47:P47">TRANSPOSE('Piutang Bank BSI-24'!E200:E211)</f>
        <v>3981129</v>
      </c>
      <c r="F47" s="113">
        <v>4017623</v>
      </c>
      <c r="G47" s="113">
        <v>4054451</v>
      </c>
      <c r="H47" s="113">
        <v>4091617</v>
      </c>
      <c r="I47" s="113">
        <v>4129123</v>
      </c>
      <c r="J47" s="113">
        <v>4166974</v>
      </c>
      <c r="K47" s="113">
        <v>4205171</v>
      </c>
      <c r="L47" s="113">
        <v>4243718</v>
      </c>
      <c r="M47" s="113">
        <v>4282619</v>
      </c>
      <c r="N47" s="113">
        <v>4321877</v>
      </c>
      <c r="O47" s="113">
        <v>4361494</v>
      </c>
      <c r="P47" s="113">
        <v>4401474</v>
      </c>
      <c r="Q47" s="113">
        <f t="shared" si="10"/>
        <v>50257270</v>
      </c>
      <c r="R47" s="113">
        <f t="shared" si="11"/>
        <v>51162179</v>
      </c>
      <c r="S47" s="116">
        <v>4441821</v>
      </c>
      <c r="T47" s="116">
        <v>4482538</v>
      </c>
      <c r="U47" s="116">
        <v>4523628</v>
      </c>
      <c r="V47" s="116">
        <f>4565094-200000000</f>
        <v>-195434906</v>
      </c>
      <c r="W47" s="113">
        <f>4606941+33149097</f>
        <v>37756038</v>
      </c>
      <c r="X47" s="113">
        <v>2548780</v>
      </c>
      <c r="Y47" s="113">
        <v>2571082</v>
      </c>
      <c r="Z47" s="113">
        <v>2593579</v>
      </c>
      <c r="AA47" s="113">
        <v>2616273</v>
      </c>
      <c r="AB47" s="144">
        <v>2639165</v>
      </c>
      <c r="AC47" s="144">
        <v>2662258</v>
      </c>
      <c r="AD47" s="144">
        <v>2685553</v>
      </c>
      <c r="AE47" s="37">
        <f>R47-S47-T47-U47-V47-W47-X47-Y47-Z47-AA47-AB47-AC47-AD47</f>
        <v>177076370</v>
      </c>
      <c r="AF47" s="117">
        <v>181683311</v>
      </c>
      <c r="AH47" s="117">
        <f>AE47-AF47</f>
        <v>-4606941</v>
      </c>
    </row>
    <row r="48" spans="1:34" s="21" customFormat="1" x14ac:dyDescent="0.3">
      <c r="A48" s="24">
        <v>16</v>
      </c>
      <c r="B48" s="92" t="s">
        <v>213</v>
      </c>
      <c r="C48" s="92" t="s">
        <v>190</v>
      </c>
      <c r="D48" s="93">
        <v>353040989</v>
      </c>
      <c r="E48" s="24" cm="1">
        <f t="array" ref="E48:P48">TRANSPOSE('Piutang Bank BSI-24'!E214:E225)</f>
        <v>2273791</v>
      </c>
      <c r="F48" s="24">
        <v>2294634</v>
      </c>
      <c r="G48" s="24">
        <v>2315669</v>
      </c>
      <c r="H48" s="24">
        <v>2336896</v>
      </c>
      <c r="I48" s="24">
        <v>2358317</v>
      </c>
      <c r="J48" s="24">
        <v>2379935</v>
      </c>
      <c r="K48" s="24">
        <v>2401751</v>
      </c>
      <c r="L48" s="24">
        <v>2423767</v>
      </c>
      <c r="M48" s="24">
        <v>2445985</v>
      </c>
      <c r="N48" s="24">
        <v>2468407</v>
      </c>
      <c r="O48" s="24">
        <v>2491034</v>
      </c>
      <c r="P48" s="24">
        <v>2513868</v>
      </c>
      <c r="Q48" s="24">
        <f t="shared" si="10"/>
        <v>28704054</v>
      </c>
      <c r="R48" s="24">
        <f t="shared" si="11"/>
        <v>324336935</v>
      </c>
      <c r="S48" s="99">
        <v>2536912</v>
      </c>
      <c r="T48" s="99">
        <v>2560167</v>
      </c>
      <c r="U48" s="99">
        <v>2583635</v>
      </c>
      <c r="V48" s="99">
        <v>2607318</v>
      </c>
      <c r="W48" s="24">
        <v>2631219</v>
      </c>
      <c r="X48" s="24">
        <v>2655338</v>
      </c>
      <c r="Y48" s="24">
        <v>2679679</v>
      </c>
      <c r="Z48" s="24">
        <v>2704243</v>
      </c>
      <c r="AA48" s="24">
        <v>2729032</v>
      </c>
      <c r="AB48" s="24">
        <v>2754048</v>
      </c>
      <c r="AC48" s="24">
        <v>2779293</v>
      </c>
      <c r="AD48" s="24">
        <v>2804770</v>
      </c>
      <c r="AE48" s="37">
        <f t="shared" si="13"/>
        <v>292311281</v>
      </c>
    </row>
    <row r="49" spans="1:32" s="21" customFormat="1" x14ac:dyDescent="0.3">
      <c r="A49" s="24">
        <v>17</v>
      </c>
      <c r="B49" s="92" t="s">
        <v>214</v>
      </c>
      <c r="C49" s="92" t="s">
        <v>190</v>
      </c>
      <c r="D49" s="93">
        <v>380809287</v>
      </c>
      <c r="E49" s="24" cm="1">
        <f t="array" ref="E49:P49">TRANSPOSE('Piutang Bank BSI-24'!E228:E239)</f>
        <v>7815308</v>
      </c>
      <c r="F49" s="24">
        <v>7886948</v>
      </c>
      <c r="G49" s="24">
        <v>7959246</v>
      </c>
      <c r="H49" s="24">
        <v>8032206</v>
      </c>
      <c r="I49" s="24">
        <v>8105834</v>
      </c>
      <c r="J49" s="24">
        <v>8180138</v>
      </c>
      <c r="K49" s="24">
        <v>8255122</v>
      </c>
      <c r="L49" s="24">
        <v>8330794</v>
      </c>
      <c r="M49" s="24">
        <v>8407159</v>
      </c>
      <c r="N49" s="24">
        <v>8484225</v>
      </c>
      <c r="O49" s="24">
        <v>8561997</v>
      </c>
      <c r="P49" s="24">
        <v>8640482</v>
      </c>
      <c r="Q49" s="24">
        <f t="shared" si="10"/>
        <v>98659459</v>
      </c>
      <c r="R49" s="24">
        <f t="shared" si="11"/>
        <v>282149828</v>
      </c>
      <c r="S49" s="99">
        <v>8719687</v>
      </c>
      <c r="T49" s="99">
        <v>8799617</v>
      </c>
      <c r="U49" s="99">
        <v>8880280</v>
      </c>
      <c r="V49" s="99">
        <v>8961682</v>
      </c>
      <c r="W49" s="24">
        <v>9043831</v>
      </c>
      <c r="X49" s="24">
        <v>9126733</v>
      </c>
      <c r="Y49" s="24">
        <v>9210395</v>
      </c>
      <c r="Z49" s="24">
        <v>9294823</v>
      </c>
      <c r="AA49" s="24">
        <v>9380026</v>
      </c>
      <c r="AB49" s="24">
        <v>9466010</v>
      </c>
      <c r="AC49" s="24">
        <v>9552781</v>
      </c>
      <c r="AD49" s="24">
        <v>0</v>
      </c>
      <c r="AE49" s="37">
        <f t="shared" si="13"/>
        <v>181713963</v>
      </c>
    </row>
    <row r="50" spans="1:32" s="21" customFormat="1" x14ac:dyDescent="0.3">
      <c r="A50" s="24">
        <v>18</v>
      </c>
      <c r="B50" s="92" t="s">
        <v>215</v>
      </c>
      <c r="C50" s="92" t="s">
        <v>190</v>
      </c>
      <c r="D50" s="93">
        <v>115290084</v>
      </c>
      <c r="E50" s="24" cm="1">
        <f t="array" ref="E50:P50">TRANSPOSE('Piutang Bank BSI-24'!E242:E253)</f>
        <v>1669437</v>
      </c>
      <c r="F50" s="24">
        <v>1684393</v>
      </c>
      <c r="G50" s="24">
        <v>1699482</v>
      </c>
      <c r="H50" s="24">
        <v>1714706</v>
      </c>
      <c r="I50" s="24">
        <v>1730067</v>
      </c>
      <c r="J50" s="24">
        <v>1745566</v>
      </c>
      <c r="K50" s="24">
        <v>1761203</v>
      </c>
      <c r="L50" s="24">
        <v>1776981</v>
      </c>
      <c r="M50" s="24">
        <v>1792899</v>
      </c>
      <c r="N50" s="24">
        <v>1808961</v>
      </c>
      <c r="O50" s="24">
        <v>1825166</v>
      </c>
      <c r="P50" s="24">
        <v>1841517</v>
      </c>
      <c r="Q50" s="24">
        <f t="shared" si="10"/>
        <v>21050378</v>
      </c>
      <c r="R50" s="24">
        <f t="shared" si="11"/>
        <v>94239706</v>
      </c>
      <c r="S50" s="99">
        <v>1858013</v>
      </c>
      <c r="T50" s="99">
        <v>1874658</v>
      </c>
      <c r="U50" s="99">
        <v>1891452</v>
      </c>
      <c r="V50" s="99">
        <v>1908396</v>
      </c>
      <c r="W50" s="24">
        <v>1925492</v>
      </c>
      <c r="X50" s="24">
        <v>1942742</v>
      </c>
      <c r="Y50" s="24">
        <v>1960145</v>
      </c>
      <c r="Z50" s="24">
        <v>1977705</v>
      </c>
      <c r="AA50" s="24">
        <v>1995422</v>
      </c>
      <c r="AB50" s="24">
        <v>2013297</v>
      </c>
      <c r="AC50" s="24">
        <v>2031333</v>
      </c>
      <c r="AD50" s="24">
        <v>2049531</v>
      </c>
      <c r="AE50" s="37">
        <f t="shared" si="13"/>
        <v>70811520</v>
      </c>
    </row>
    <row r="51" spans="1:32" s="21" customFormat="1" x14ac:dyDescent="0.3">
      <c r="A51" s="26">
        <v>19</v>
      </c>
      <c r="B51" s="120" t="s">
        <v>216</v>
      </c>
      <c r="C51" s="120" t="s">
        <v>190</v>
      </c>
      <c r="D51" s="121">
        <v>443628382</v>
      </c>
      <c r="E51" s="26" cm="1">
        <f t="array" ref="E51:P51">TRANSPOSE('Piutang Bank BSI-24'!E256:E267)</f>
        <v>3246337</v>
      </c>
      <c r="F51" s="26">
        <v>3276095</v>
      </c>
      <c r="G51" s="26">
        <v>3306126</v>
      </c>
      <c r="H51" s="26">
        <v>3336432</v>
      </c>
      <c r="I51" s="26">
        <v>3367016</v>
      </c>
      <c r="J51" s="26">
        <v>3397880</v>
      </c>
      <c r="K51" s="26">
        <v>3429028</v>
      </c>
      <c r="L51" s="26">
        <v>3460460</v>
      </c>
      <c r="M51" s="26">
        <v>3492181</v>
      </c>
      <c r="N51" s="26">
        <v>3524193</v>
      </c>
      <c r="O51" s="26">
        <v>3556498</v>
      </c>
      <c r="P51" s="26">
        <v>3589099</v>
      </c>
      <c r="Q51" s="26">
        <f t="shared" si="10"/>
        <v>40981345</v>
      </c>
      <c r="R51" s="26">
        <f t="shared" si="11"/>
        <v>402647037</v>
      </c>
      <c r="S51" s="123">
        <v>3621999</v>
      </c>
      <c r="T51" s="123">
        <v>3655201</v>
      </c>
      <c r="U51" s="123">
        <v>3688707</v>
      </c>
      <c r="V51" s="123">
        <v>391681126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/>
      <c r="AC51" s="26"/>
      <c r="AD51" s="26"/>
      <c r="AE51" s="122">
        <f t="shared" si="12"/>
        <v>4</v>
      </c>
    </row>
    <row r="52" spans="1:32" s="21" customFormat="1" x14ac:dyDescent="0.3">
      <c r="A52" s="26">
        <v>20</v>
      </c>
      <c r="B52" s="120" t="s">
        <v>25</v>
      </c>
      <c r="C52" s="120"/>
      <c r="D52" s="121">
        <v>31952791</v>
      </c>
      <c r="E52" s="26" cm="1">
        <f t="array" ref="E52:M52">TRANSPOSE('Piutang Bank BSI-24'!E270:E278)</f>
        <v>2313856</v>
      </c>
      <c r="F52" s="26">
        <v>2336994</v>
      </c>
      <c r="G52" s="26">
        <v>2360364</v>
      </c>
      <c r="H52" s="26">
        <v>2383968</v>
      </c>
      <c r="I52" s="26">
        <v>2407807</v>
      </c>
      <c r="J52" s="26">
        <v>2431885</v>
      </c>
      <c r="K52" s="26">
        <v>2456204</v>
      </c>
      <c r="L52" s="26">
        <v>2480766</v>
      </c>
      <c r="M52" s="26">
        <v>12780947</v>
      </c>
      <c r="N52" s="26"/>
      <c r="O52" s="26"/>
      <c r="P52" s="26"/>
      <c r="Q52" s="26">
        <f t="shared" si="10"/>
        <v>31952791</v>
      </c>
      <c r="R52" s="26">
        <f t="shared" si="11"/>
        <v>0</v>
      </c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122">
        <f t="shared" si="12"/>
        <v>0</v>
      </c>
    </row>
    <row r="53" spans="1:32" s="24" customFormat="1" x14ac:dyDescent="0.3">
      <c r="A53" s="24">
        <v>21</v>
      </c>
      <c r="B53" s="92" t="s">
        <v>31</v>
      </c>
      <c r="C53" s="92" t="s">
        <v>190</v>
      </c>
      <c r="D53" s="93">
        <v>142920230</v>
      </c>
      <c r="E53" s="24" cm="1">
        <f t="array" ref="E53:P53">TRANSPOSE('Piutang Bank BSI-24'!E283:E294)</f>
        <v>1686324</v>
      </c>
      <c r="F53" s="24">
        <v>1701782</v>
      </c>
      <c r="G53" s="24">
        <v>1717382</v>
      </c>
      <c r="H53" s="24">
        <v>1733125</v>
      </c>
      <c r="I53" s="24">
        <v>1749012</v>
      </c>
      <c r="J53" s="24">
        <v>1765044</v>
      </c>
      <c r="K53" s="24">
        <v>1781224</v>
      </c>
      <c r="L53" s="24">
        <v>1797552</v>
      </c>
      <c r="M53" s="24">
        <v>1814029</v>
      </c>
      <c r="N53" s="24">
        <v>1830658</v>
      </c>
      <c r="O53" s="24">
        <v>1847439</v>
      </c>
      <c r="P53" s="24">
        <v>1864374</v>
      </c>
      <c r="Q53" s="24">
        <f t="shared" si="10"/>
        <v>21287945</v>
      </c>
      <c r="R53" s="24">
        <f t="shared" si="11"/>
        <v>121632285</v>
      </c>
      <c r="S53" s="99">
        <v>1881464</v>
      </c>
      <c r="T53" s="99">
        <v>1898711</v>
      </c>
      <c r="U53" s="99">
        <v>1916115</v>
      </c>
      <c r="V53" s="99">
        <v>1933680</v>
      </c>
      <c r="W53" s="24">
        <v>1951405</v>
      </c>
      <c r="X53" s="24">
        <v>1969293</v>
      </c>
      <c r="Y53" s="24">
        <v>1987345</v>
      </c>
      <c r="Z53" s="24">
        <v>2005562</v>
      </c>
      <c r="AA53" s="24">
        <v>2023947</v>
      </c>
      <c r="AB53" s="24">
        <v>2042499</v>
      </c>
      <c r="AC53" s="24">
        <v>2061222</v>
      </c>
      <c r="AD53" s="24">
        <v>2080117</v>
      </c>
      <c r="AE53" s="37">
        <f>R53-S53-T53-U53-V53-W53-X53-Y53-Z53-AA53-AB53-AC53-AD53</f>
        <v>97880925</v>
      </c>
      <c r="AF53" s="63"/>
    </row>
    <row r="54" spans="1:32" s="91" customFormat="1" x14ac:dyDescent="0.3">
      <c r="A54" s="91">
        <v>22</v>
      </c>
      <c r="B54" s="100" t="s">
        <v>114</v>
      </c>
      <c r="C54" s="100" t="s">
        <v>193</v>
      </c>
      <c r="D54" s="101">
        <v>292705397</v>
      </c>
      <c r="E54" s="91" cm="1">
        <f t="array" ref="E54:P54">TRANSPOSE('Piutang Bank BSI-24'!E297:E308)</f>
        <v>2475229</v>
      </c>
      <c r="F54" s="91">
        <v>2497403</v>
      </c>
      <c r="G54" s="91">
        <v>2519775</v>
      </c>
      <c r="H54" s="91">
        <v>2542348</v>
      </c>
      <c r="I54" s="91">
        <v>2565124</v>
      </c>
      <c r="J54" s="91">
        <v>2588103</v>
      </c>
      <c r="K54" s="91">
        <v>2611288</v>
      </c>
      <c r="L54" s="91">
        <v>2634681</v>
      </c>
      <c r="M54" s="91">
        <v>2658283</v>
      </c>
      <c r="N54" s="91">
        <v>2682097</v>
      </c>
      <c r="O54" s="91">
        <v>2706124</v>
      </c>
      <c r="P54" s="91">
        <v>2730366</v>
      </c>
      <c r="Q54" s="91">
        <f t="shared" si="10"/>
        <v>31210821</v>
      </c>
      <c r="R54" s="91">
        <f t="shared" si="11"/>
        <v>261494576</v>
      </c>
      <c r="S54" s="102">
        <v>2754826</v>
      </c>
      <c r="T54" s="102">
        <v>2779504</v>
      </c>
      <c r="U54" s="102">
        <v>2804404</v>
      </c>
      <c r="V54" s="102">
        <v>2829527</v>
      </c>
      <c r="W54" s="103">
        <v>2854875</v>
      </c>
      <c r="X54" s="91">
        <v>2880450</v>
      </c>
      <c r="Y54" s="91">
        <v>2906254</v>
      </c>
      <c r="Z54" s="91">
        <v>2932289</v>
      </c>
      <c r="AA54" s="91">
        <v>2958557</v>
      </c>
      <c r="AB54" s="91">
        <v>2985061</v>
      </c>
      <c r="AC54" s="91">
        <v>3011802</v>
      </c>
      <c r="AD54" s="91">
        <v>3038783</v>
      </c>
      <c r="AE54" s="37">
        <f>R54-S54-T54-U54-V54-W54-X54-Y54-Z54-AA54-AB54-AC54-AD54</f>
        <v>226758244</v>
      </c>
      <c r="AF54" s="110"/>
    </row>
    <row r="55" spans="1:32" s="24" customFormat="1" x14ac:dyDescent="0.3">
      <c r="A55" s="26">
        <v>23</v>
      </c>
      <c r="B55" s="120" t="s">
        <v>112</v>
      </c>
      <c r="C55" s="120" t="s">
        <v>192</v>
      </c>
      <c r="D55" s="121">
        <v>48557359</v>
      </c>
      <c r="E55" s="26" cm="1">
        <f t="array" ref="E55:O55">TRANSPOSE('Piutang Bank BSI-24'!E311:E321)</f>
        <v>4215675</v>
      </c>
      <c r="F55" s="26">
        <v>4254318</v>
      </c>
      <c r="G55" s="26">
        <v>4293316</v>
      </c>
      <c r="H55" s="26">
        <v>4332672</v>
      </c>
      <c r="I55" s="26">
        <v>4372388</v>
      </c>
      <c r="J55" s="26">
        <v>4412468</v>
      </c>
      <c r="K55" s="26">
        <v>4452916</v>
      </c>
      <c r="L55" s="26">
        <v>4493734</v>
      </c>
      <c r="M55" s="26">
        <v>4534927</v>
      </c>
      <c r="N55" s="26">
        <v>4576497</v>
      </c>
      <c r="O55" s="26">
        <v>4618448</v>
      </c>
      <c r="P55" s="26"/>
      <c r="Q55" s="26">
        <f t="shared" si="10"/>
        <v>48557359</v>
      </c>
      <c r="R55" s="26">
        <f t="shared" si="11"/>
        <v>0</v>
      </c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122">
        <f t="shared" si="12"/>
        <v>0</v>
      </c>
      <c r="AF55" s="63"/>
    </row>
    <row r="56" spans="1:32" s="24" customFormat="1" x14ac:dyDescent="0.3">
      <c r="A56" s="24">
        <v>24</v>
      </c>
      <c r="B56" s="92" t="s">
        <v>35</v>
      </c>
      <c r="C56" s="92" t="s">
        <v>190</v>
      </c>
      <c r="D56" s="93">
        <v>343005247</v>
      </c>
      <c r="E56" s="24" cm="1">
        <f t="array" ref="E56:P56">TRANSPOSE('Piutang Bank BSI-24'!E325:E336)</f>
        <v>3544442</v>
      </c>
      <c r="F56" s="24">
        <v>3576194</v>
      </c>
      <c r="G56" s="24">
        <v>3608231</v>
      </c>
      <c r="H56" s="24">
        <v>3640555</v>
      </c>
      <c r="I56" s="24">
        <v>3673168</v>
      </c>
      <c r="J56" s="24">
        <v>3706073</v>
      </c>
      <c r="K56" s="24">
        <v>3739274</v>
      </c>
      <c r="L56" s="24">
        <v>3772771</v>
      </c>
      <c r="M56" s="24">
        <v>3806569</v>
      </c>
      <c r="N56" s="24">
        <v>3840670</v>
      </c>
      <c r="O56" s="24">
        <v>3875076</v>
      </c>
      <c r="P56" s="24">
        <v>3909790</v>
      </c>
      <c r="Q56" s="24">
        <f t="shared" si="10"/>
        <v>44692813</v>
      </c>
      <c r="R56" s="24">
        <f t="shared" si="11"/>
        <v>298312434</v>
      </c>
      <c r="S56" s="99">
        <v>3944815</v>
      </c>
      <c r="T56" s="99">
        <v>3980154</v>
      </c>
      <c r="U56" s="99">
        <v>4015810</v>
      </c>
      <c r="V56" s="99">
        <v>4051785</v>
      </c>
      <c r="W56" s="24">
        <v>4088082</v>
      </c>
      <c r="X56" s="24">
        <v>4124704</v>
      </c>
      <c r="Y56" s="24">
        <v>4161655</v>
      </c>
      <c r="Z56" s="24">
        <v>4198936</v>
      </c>
      <c r="AA56" s="24">
        <v>4236552</v>
      </c>
      <c r="AB56" s="24">
        <v>4274504</v>
      </c>
      <c r="AC56" s="24">
        <v>4312796</v>
      </c>
      <c r="AD56" s="24">
        <v>4351432</v>
      </c>
      <c r="AE56" s="37">
        <f>R56-S56-T56-U56-V56-W56-X56-Y56-Z56-AA56-AB56-AC56-AD56</f>
        <v>248571209</v>
      </c>
      <c r="AF56" s="63"/>
    </row>
    <row r="57" spans="1:32" s="118" customFormat="1" x14ac:dyDescent="0.3">
      <c r="A57" s="26">
        <v>25</v>
      </c>
      <c r="B57" s="120" t="s">
        <v>42</v>
      </c>
      <c r="C57" s="120" t="s">
        <v>193</v>
      </c>
      <c r="D57" s="121">
        <v>59401080</v>
      </c>
      <c r="E57" s="26" cm="1">
        <f t="array" ref="E57:P57">TRANSPOSE('Piutang Bank BSI-24'!E339:E350)</f>
        <v>2697719</v>
      </c>
      <c r="F57" s="26">
        <v>2724696</v>
      </c>
      <c r="G57" s="26">
        <v>2751943</v>
      </c>
      <c r="H57" s="26">
        <v>2779462</v>
      </c>
      <c r="I57" s="26">
        <v>2807257</v>
      </c>
      <c r="J57" s="26">
        <v>2835329</v>
      </c>
      <c r="K57" s="26">
        <v>2863683</v>
      </c>
      <c r="L57" s="26">
        <v>2892320</v>
      </c>
      <c r="M57" s="26">
        <v>2921243</v>
      </c>
      <c r="N57" s="26">
        <v>2950455</v>
      </c>
      <c r="O57" s="26">
        <v>2979960</v>
      </c>
      <c r="P57" s="26">
        <v>3009759</v>
      </c>
      <c r="Q57" s="26">
        <f t="shared" si="10"/>
        <v>34213826</v>
      </c>
      <c r="R57" s="26">
        <f t="shared" si="11"/>
        <v>25187254</v>
      </c>
      <c r="S57" s="123">
        <v>3039857</v>
      </c>
      <c r="T57" s="123">
        <v>3070255</v>
      </c>
      <c r="U57" s="123">
        <v>3100958</v>
      </c>
      <c r="V57" s="123">
        <v>3131968</v>
      </c>
      <c r="W57" s="124">
        <v>3163287</v>
      </c>
      <c r="X57" s="26">
        <v>3194920</v>
      </c>
      <c r="Y57" s="26">
        <v>3226869</v>
      </c>
      <c r="Z57" s="26">
        <v>3259138</v>
      </c>
      <c r="AA57" s="26" t="s">
        <v>194</v>
      </c>
      <c r="AB57" s="26">
        <v>0</v>
      </c>
      <c r="AC57" s="26"/>
      <c r="AD57" s="26"/>
      <c r="AE57" s="122" t="s">
        <v>95</v>
      </c>
      <c r="AF57" s="119"/>
    </row>
    <row r="58" spans="1:32" s="24" customFormat="1" x14ac:dyDescent="0.3">
      <c r="A58" s="24">
        <v>26</v>
      </c>
      <c r="B58" s="92" t="s">
        <v>46</v>
      </c>
      <c r="C58" s="92" t="s">
        <v>190</v>
      </c>
      <c r="D58" s="93">
        <v>277497870</v>
      </c>
      <c r="E58" s="24" cm="1">
        <f t="array" ref="E58:P58">TRANSPOSE('Piutang Bank BSI-24'!E353:E364)</f>
        <v>1844028</v>
      </c>
      <c r="F58" s="24">
        <v>1860931</v>
      </c>
      <c r="G58" s="24">
        <v>1877990</v>
      </c>
      <c r="H58" s="24">
        <v>1895205</v>
      </c>
      <c r="I58" s="24">
        <v>1912578</v>
      </c>
      <c r="J58" s="24">
        <v>1930110</v>
      </c>
      <c r="K58" s="24">
        <v>1947802</v>
      </c>
      <c r="L58" s="24">
        <v>1965657</v>
      </c>
      <c r="M58" s="24">
        <v>1983676</v>
      </c>
      <c r="N58" s="24">
        <v>2001859</v>
      </c>
      <c r="O58" s="24">
        <v>2020210</v>
      </c>
      <c r="P58" s="24">
        <v>2038728</v>
      </c>
      <c r="Q58" s="24">
        <f t="shared" si="10"/>
        <v>23278774</v>
      </c>
      <c r="R58" s="24">
        <f t="shared" si="11"/>
        <v>254219096</v>
      </c>
      <c r="S58" s="99">
        <v>2057417</v>
      </c>
      <c r="T58" s="99">
        <v>2076276</v>
      </c>
      <c r="U58" s="99">
        <v>2095309</v>
      </c>
      <c r="V58" s="99">
        <v>2114516</v>
      </c>
      <c r="W58" s="24">
        <v>2133899</v>
      </c>
      <c r="X58" s="24">
        <v>2153460</v>
      </c>
      <c r="Y58" s="24">
        <v>2173200</v>
      </c>
      <c r="Z58" s="24">
        <v>2193121</v>
      </c>
      <c r="AA58" s="24">
        <v>2213224</v>
      </c>
      <c r="AB58" s="24">
        <v>2233512</v>
      </c>
      <c r="AC58" s="24">
        <v>2253986</v>
      </c>
      <c r="AD58" s="24">
        <v>2274648</v>
      </c>
      <c r="AE58" s="37">
        <f>R58-S58-T58-U58-V58-W58-X58-Y58-Z58-AA58-AB58-AC58-AD58</f>
        <v>228246528</v>
      </c>
      <c r="AF58" s="63"/>
    </row>
    <row r="59" spans="1:32" s="91" customFormat="1" x14ac:dyDescent="0.3">
      <c r="A59" s="24">
        <v>27</v>
      </c>
      <c r="B59" s="92" t="s">
        <v>47</v>
      </c>
      <c r="C59" s="92" t="s">
        <v>226</v>
      </c>
      <c r="D59" s="93">
        <v>417417876</v>
      </c>
      <c r="E59" s="24" cm="1">
        <f t="array" ref="E59:P59">TRANSPOSE('Piutang Bank BSI-24'!E367:E378)</f>
        <v>5772531</v>
      </c>
      <c r="F59" s="24">
        <v>5824243</v>
      </c>
      <c r="G59" s="24">
        <v>5876419</v>
      </c>
      <c r="H59" s="24">
        <v>5929062</v>
      </c>
      <c r="I59" s="24">
        <v>5982176</v>
      </c>
      <c r="J59" s="24">
        <v>6035767</v>
      </c>
      <c r="K59" s="24">
        <v>6089837</v>
      </c>
      <c r="L59" s="24">
        <v>6144392</v>
      </c>
      <c r="M59" s="24">
        <v>6199435</v>
      </c>
      <c r="N59" s="24">
        <v>6254972</v>
      </c>
      <c r="O59" s="24">
        <v>6311006</v>
      </c>
      <c r="P59" s="24">
        <v>6367542</v>
      </c>
      <c r="Q59" s="24">
        <f t="shared" si="10"/>
        <v>72787382</v>
      </c>
      <c r="R59" s="24">
        <f t="shared" si="11"/>
        <v>344630494</v>
      </c>
      <c r="S59" s="99">
        <v>6424585</v>
      </c>
      <c r="T59" s="99">
        <v>6482138</v>
      </c>
      <c r="U59" s="99">
        <v>6540207</v>
      </c>
      <c r="V59" s="99">
        <v>6598797</v>
      </c>
      <c r="W59" s="24">
        <v>6657911</v>
      </c>
      <c r="X59" s="24">
        <v>6717555</v>
      </c>
      <c r="Y59" s="24">
        <v>6777733</v>
      </c>
      <c r="Z59" s="24">
        <v>6838450</v>
      </c>
      <c r="AA59" s="24">
        <v>6899711</v>
      </c>
      <c r="AB59" s="24">
        <v>6961521</v>
      </c>
      <c r="AC59" s="24">
        <v>7023885</v>
      </c>
      <c r="AD59" s="24">
        <v>7086807</v>
      </c>
      <c r="AE59" s="37">
        <f>R59-S59-T59-U59-V59-W59-X59-Y59-Z59-AA59-AB59-AC59-AD59</f>
        <v>263621194</v>
      </c>
      <c r="AF59" s="110"/>
    </row>
    <row r="60" spans="1:32" s="24" customFormat="1" x14ac:dyDescent="0.3">
      <c r="A60" s="26">
        <v>28</v>
      </c>
      <c r="B60" s="120" t="s">
        <v>162</v>
      </c>
      <c r="C60" s="120" t="s">
        <v>95</v>
      </c>
      <c r="D60" s="121">
        <v>295046812</v>
      </c>
      <c r="E60" s="26" cm="1">
        <f t="array" ref="E60:P60">TRANSPOSE('Piutang Bank BSI-24'!E381:E392)</f>
        <v>6629126</v>
      </c>
      <c r="F60" s="26">
        <v>6695417</v>
      </c>
      <c r="G60" s="26">
        <v>6762372</v>
      </c>
      <c r="H60" s="26">
        <v>6829995</v>
      </c>
      <c r="I60" s="26">
        <v>6898295</v>
      </c>
      <c r="J60" s="26">
        <v>6967278</v>
      </c>
      <c r="K60" s="26">
        <v>7036951</v>
      </c>
      <c r="L60" s="26">
        <v>7107321</v>
      </c>
      <c r="M60" s="26">
        <v>7178394</v>
      </c>
      <c r="N60" s="26">
        <v>7250178</v>
      </c>
      <c r="O60" s="26">
        <v>7322679</v>
      </c>
      <c r="P60" s="26">
        <v>0</v>
      </c>
      <c r="Q60" s="26">
        <f t="shared" si="10"/>
        <v>76678006</v>
      </c>
      <c r="R60" s="26">
        <f>D60-E60-F60-G60-H60-I60-J60-K60-L60-M60-N60-O60-P60</f>
        <v>218368806</v>
      </c>
      <c r="S60" s="123">
        <v>218368804</v>
      </c>
      <c r="T60" s="123"/>
      <c r="U60" s="123"/>
      <c r="V60" s="123"/>
      <c r="W60" s="26">
        <v>0</v>
      </c>
      <c r="X60" s="26">
        <v>0</v>
      </c>
      <c r="Y60" s="26"/>
      <c r="Z60" s="26"/>
      <c r="AA60" s="26"/>
      <c r="AB60" s="26"/>
      <c r="AC60" s="26"/>
      <c r="AD60" s="26"/>
      <c r="AE60" s="122">
        <f t="shared" si="12"/>
        <v>2</v>
      </c>
      <c r="AF60" s="63"/>
    </row>
    <row r="61" spans="1:32" s="91" customFormat="1" x14ac:dyDescent="0.3">
      <c r="A61" s="91">
        <v>29</v>
      </c>
      <c r="B61" s="100" t="s">
        <v>164</v>
      </c>
      <c r="C61" s="100" t="s">
        <v>192</v>
      </c>
      <c r="D61" s="101">
        <v>98386216</v>
      </c>
      <c r="E61" s="91" cm="1">
        <f t="array" ref="E61:P61">TRANSPOSE('Piutang Bank BSI-24'!E395:E406)</f>
        <v>817751</v>
      </c>
      <c r="F61" s="91">
        <v>825076</v>
      </c>
      <c r="G61" s="91">
        <v>832468</v>
      </c>
      <c r="H61" s="91">
        <v>839925</v>
      </c>
      <c r="I61" s="91">
        <v>847449</v>
      </c>
      <c r="J61" s="91">
        <v>855041</v>
      </c>
      <c r="K61" s="91">
        <v>862701</v>
      </c>
      <c r="L61" s="91">
        <v>870429</v>
      </c>
      <c r="M61" s="91">
        <v>878227</v>
      </c>
      <c r="N61" s="91">
        <v>886094</v>
      </c>
      <c r="O61" s="91">
        <v>894032</v>
      </c>
      <c r="P61" s="91">
        <v>902041</v>
      </c>
      <c r="Q61" s="91">
        <f t="shared" si="10"/>
        <v>10311234</v>
      </c>
      <c r="R61" s="91">
        <f t="shared" si="11"/>
        <v>88074982</v>
      </c>
      <c r="S61" s="102">
        <v>910122</v>
      </c>
      <c r="T61" s="102">
        <v>918275</v>
      </c>
      <c r="U61" s="102">
        <v>926501</v>
      </c>
      <c r="V61" s="102">
        <v>934801</v>
      </c>
      <c r="W61" s="91">
        <v>943176</v>
      </c>
      <c r="X61" s="91">
        <v>951625</v>
      </c>
      <c r="Y61" s="91">
        <v>960150</v>
      </c>
      <c r="Z61" s="91">
        <v>968751</v>
      </c>
      <c r="AA61" s="91">
        <v>977430</v>
      </c>
      <c r="AB61" s="91">
        <v>986186</v>
      </c>
      <c r="AC61" s="91">
        <v>995020</v>
      </c>
      <c r="AD61" s="91">
        <v>1003934</v>
      </c>
      <c r="AE61" s="37">
        <f>R61-S61-T61-U61-V61-W61-X61-Y61-Z61-AA61-AB61-AC61-AD61</f>
        <v>76599011</v>
      </c>
      <c r="AF61" s="110"/>
    </row>
    <row r="62" spans="1:32" s="24" customFormat="1" x14ac:dyDescent="0.3">
      <c r="A62" s="24">
        <v>30</v>
      </c>
      <c r="B62" s="92" t="s">
        <v>217</v>
      </c>
      <c r="C62" s="92" t="s">
        <v>190</v>
      </c>
      <c r="D62" s="93">
        <v>353040989</v>
      </c>
      <c r="E62" s="24" cm="1">
        <f t="array" ref="E62:P62">TRANSPOSE('Piutang Bank BSI-24'!E409:E420)</f>
        <v>2273791</v>
      </c>
      <c r="F62" s="24">
        <v>2294634</v>
      </c>
      <c r="G62" s="24">
        <v>2315669</v>
      </c>
      <c r="H62" s="24">
        <v>2336896</v>
      </c>
      <c r="I62" s="24">
        <v>2358317</v>
      </c>
      <c r="J62" s="24">
        <v>2379935</v>
      </c>
      <c r="K62" s="24">
        <v>2401751</v>
      </c>
      <c r="L62" s="24">
        <v>2423767</v>
      </c>
      <c r="M62" s="24">
        <v>2445985</v>
      </c>
      <c r="N62" s="24">
        <v>2468407</v>
      </c>
      <c r="O62" s="24">
        <v>2491034</v>
      </c>
      <c r="P62" s="24">
        <v>2513868</v>
      </c>
      <c r="Q62" s="24">
        <f t="shared" si="10"/>
        <v>28704054</v>
      </c>
      <c r="R62" s="24">
        <f t="shared" si="11"/>
        <v>324336935</v>
      </c>
      <c r="S62" s="99">
        <v>2536912</v>
      </c>
      <c r="T62" s="99">
        <v>2560167</v>
      </c>
      <c r="U62" s="99">
        <v>2583635</v>
      </c>
      <c r="V62" s="99">
        <v>2607318</v>
      </c>
      <c r="W62" s="24">
        <v>2631219</v>
      </c>
      <c r="X62" s="24">
        <v>2655338</v>
      </c>
      <c r="Y62" s="24">
        <v>2679679</v>
      </c>
      <c r="Z62" s="24">
        <v>2704243</v>
      </c>
      <c r="AA62" s="24">
        <v>2729032</v>
      </c>
      <c r="AB62" s="24">
        <v>2754048</v>
      </c>
      <c r="AC62" s="24">
        <v>2779293</v>
      </c>
      <c r="AD62" s="24">
        <v>2804770</v>
      </c>
      <c r="AE62" s="37">
        <f>R62-S62-T62-U62-V62-W62-X62-Y62-Z62-AA62-AB62-AC62-AD62</f>
        <v>292311281</v>
      </c>
      <c r="AF62" s="63"/>
    </row>
    <row r="63" spans="1:32" s="24" customFormat="1" x14ac:dyDescent="0.3">
      <c r="A63" s="24">
        <v>31</v>
      </c>
      <c r="B63" s="92" t="s">
        <v>218</v>
      </c>
      <c r="C63" s="92" t="s">
        <v>190</v>
      </c>
      <c r="D63" s="93">
        <v>148101057</v>
      </c>
      <c r="E63" s="24" cm="1">
        <f t="array" ref="E63:P63">TRANSPOSE('Piutang Bank BSI-24'!E423:E434)</f>
        <v>1915954</v>
      </c>
      <c r="F63" s="24">
        <v>1933118</v>
      </c>
      <c r="G63" s="24">
        <v>1950436</v>
      </c>
      <c r="H63" s="24">
        <v>1967908</v>
      </c>
      <c r="I63" s="24">
        <v>1985538</v>
      </c>
      <c r="J63" s="24">
        <v>2003325</v>
      </c>
      <c r="K63" s="24">
        <v>2021271</v>
      </c>
      <c r="L63" s="24">
        <v>2039378</v>
      </c>
      <c r="M63" s="24">
        <v>2057648</v>
      </c>
      <c r="N63" s="24">
        <v>2076081</v>
      </c>
      <c r="O63" s="24">
        <v>2094679</v>
      </c>
      <c r="P63" s="24">
        <v>2113444</v>
      </c>
      <c r="Q63" s="24">
        <f t="shared" si="10"/>
        <v>24158780</v>
      </c>
      <c r="R63" s="24">
        <f t="shared" si="11"/>
        <v>123942277</v>
      </c>
      <c r="S63" s="99">
        <v>2132377</v>
      </c>
      <c r="T63" s="99">
        <v>2151479</v>
      </c>
      <c r="U63" s="99">
        <v>2170753</v>
      </c>
      <c r="V63" s="99">
        <v>2190199</v>
      </c>
      <c r="W63" s="24">
        <v>2209820</v>
      </c>
      <c r="X63" s="24">
        <v>2229616</v>
      </c>
      <c r="Y63" s="24">
        <v>2249590</v>
      </c>
      <c r="Z63" s="24">
        <v>2269742</v>
      </c>
      <c r="AA63" s="24">
        <v>2290076</v>
      </c>
      <c r="AB63" s="24">
        <v>2310591</v>
      </c>
      <c r="AC63" s="24">
        <v>2331290</v>
      </c>
      <c r="AD63" s="24">
        <v>2352174</v>
      </c>
      <c r="AE63" s="37">
        <f>R63-S63-T63-U63-V63-W63-X63-Y63-Z63-AA63-AB63-AC63-AD63</f>
        <v>97054570</v>
      </c>
      <c r="AF63" s="63"/>
    </row>
    <row r="64" spans="1:32" s="91" customFormat="1" x14ac:dyDescent="0.3">
      <c r="A64" s="24">
        <v>32</v>
      </c>
      <c r="B64" s="92" t="s">
        <v>170</v>
      </c>
      <c r="C64" s="92" t="s">
        <v>190</v>
      </c>
      <c r="D64" s="93">
        <v>376729988</v>
      </c>
      <c r="E64" s="24" cm="1">
        <f t="array" ref="E64:P64">TRANSPOSE('Piutang Bank BSI-24'!E437:E448)</f>
        <v>2056642</v>
      </c>
      <c r="F64" s="24">
        <v>2075495</v>
      </c>
      <c r="G64" s="24">
        <v>2094520</v>
      </c>
      <c r="H64" s="24">
        <v>2113720</v>
      </c>
      <c r="I64" s="24">
        <v>2133096</v>
      </c>
      <c r="J64" s="24">
        <v>2152649</v>
      </c>
      <c r="K64" s="24">
        <v>2172382</v>
      </c>
      <c r="L64" s="24">
        <v>2192295</v>
      </c>
      <c r="M64" s="24">
        <v>2212391</v>
      </c>
      <c r="N64" s="24">
        <v>2253138</v>
      </c>
      <c r="O64" s="24">
        <v>2253138</v>
      </c>
      <c r="P64" s="24">
        <v>2273791</v>
      </c>
      <c r="Q64" s="24">
        <f t="shared" si="10"/>
        <v>25983257</v>
      </c>
      <c r="R64" s="24">
        <f t="shared" si="11"/>
        <v>350746731</v>
      </c>
      <c r="S64" s="99">
        <v>2294634</v>
      </c>
      <c r="T64" s="99">
        <v>2315669</v>
      </c>
      <c r="U64" s="99">
        <v>2336896</v>
      </c>
      <c r="V64" s="99">
        <v>2358317</v>
      </c>
      <c r="W64" s="24">
        <v>2379935</v>
      </c>
      <c r="X64" s="24">
        <v>2401751</v>
      </c>
      <c r="Y64" s="24">
        <v>2423767</v>
      </c>
      <c r="Z64" s="24">
        <v>2445985</v>
      </c>
      <c r="AA64" s="24">
        <v>2468407</v>
      </c>
      <c r="AB64" s="24">
        <v>2491034</v>
      </c>
      <c r="AC64" s="24">
        <v>2513868</v>
      </c>
      <c r="AD64" s="24">
        <v>2536912</v>
      </c>
      <c r="AE64" s="37">
        <f>R64-S64-T64-U64-V64-W64-X64-Y64-Z64-AA64-AB64-AC64-AD64</f>
        <v>321779556</v>
      </c>
      <c r="AF64" s="110"/>
    </row>
    <row r="65" spans="1:32" s="64" customFormat="1" x14ac:dyDescent="0.3">
      <c r="A65" s="24">
        <v>33</v>
      </c>
      <c r="B65" s="92" t="s">
        <v>219</v>
      </c>
      <c r="C65" s="92" t="s">
        <v>190</v>
      </c>
      <c r="D65" s="93">
        <v>135926409</v>
      </c>
      <c r="E65" s="24">
        <f>'Piutang Bank BSI-24'!E451</f>
        <v>3102493</v>
      </c>
      <c r="F65" s="24">
        <f>'Piutang Bank BSI-24'!E452</f>
        <v>3130932</v>
      </c>
      <c r="G65" s="24">
        <f>'Piutang Bank BSI-24'!E453</f>
        <v>3159632</v>
      </c>
      <c r="H65" s="24">
        <f>'Piutang Bank BSI-24'!E454</f>
        <v>3188596</v>
      </c>
      <c r="I65" s="24">
        <f>-'Piutang Bank BSI-24'!D455+'Piutang Bank BSI-24'!E456</f>
        <v>-373466648</v>
      </c>
      <c r="J65" s="24">
        <f>'Piutang Bank BSI-24'!E457</f>
        <v>2337767</v>
      </c>
      <c r="K65" s="24">
        <f>'Piutang Bank BSI-24'!E458</f>
        <v>1549954</v>
      </c>
      <c r="L65" s="24">
        <f>'Piutang Bank BSI-24'!E459</f>
        <v>2401159</v>
      </c>
      <c r="M65" s="24">
        <f>'Piutang Bank BSI-24'!E460</f>
        <v>2422670</v>
      </c>
      <c r="N65" s="24">
        <f>'Piutang Bank BSI-24'!E461</f>
        <v>2444373</v>
      </c>
      <c r="O65" s="24">
        <f>'Piutang Bank BSI-24'!E462</f>
        <v>2466270</v>
      </c>
      <c r="P65" s="24">
        <f>'Piutang Bank BSI-24'!E463</f>
        <v>2488364</v>
      </c>
      <c r="Q65" s="24">
        <f t="shared" si="10"/>
        <v>3102493</v>
      </c>
      <c r="R65" s="24">
        <f t="shared" si="11"/>
        <v>480700847</v>
      </c>
      <c r="S65" s="99">
        <v>2510656</v>
      </c>
      <c r="T65" s="99">
        <v>2533147</v>
      </c>
      <c r="U65" s="99">
        <v>2555840</v>
      </c>
      <c r="V65" s="99">
        <v>2578736</v>
      </c>
      <c r="W65" s="24">
        <v>2601837</v>
      </c>
      <c r="X65" s="24">
        <v>2625145</v>
      </c>
      <c r="Y65" s="24">
        <v>2648662</v>
      </c>
      <c r="Z65" s="24">
        <v>2672390</v>
      </c>
      <c r="AA65" s="24">
        <v>2696330</v>
      </c>
      <c r="AB65" s="24">
        <v>2720484</v>
      </c>
      <c r="AC65" s="24">
        <v>2744855</v>
      </c>
      <c r="AD65" s="24">
        <v>2769445</v>
      </c>
      <c r="AE65" s="37">
        <f>R65-S65-T65-U65-V65-W65-X65-Y65-Z65-AA65-AB65-AC65-AD65</f>
        <v>449043320</v>
      </c>
      <c r="AF65" s="65"/>
    </row>
    <row r="66" spans="1:32" s="24" customFormat="1" x14ac:dyDescent="0.3">
      <c r="A66" s="26">
        <v>34</v>
      </c>
      <c r="B66" s="120" t="s">
        <v>176</v>
      </c>
      <c r="C66" s="120" t="s">
        <v>190</v>
      </c>
      <c r="D66" s="121">
        <v>279448389</v>
      </c>
      <c r="E66" s="26" cm="1">
        <f t="array" ref="E66:P66">TRANSPOSE('Piutang Bank BSI-24'!E466:E477)</f>
        <v>1570890</v>
      </c>
      <c r="F66" s="26">
        <v>1585290</v>
      </c>
      <c r="G66" s="26">
        <v>1599822</v>
      </c>
      <c r="H66" s="26">
        <v>1614487</v>
      </c>
      <c r="I66" s="26">
        <v>1629286</v>
      </c>
      <c r="J66" s="26">
        <v>1644221</v>
      </c>
      <c r="K66" s="26">
        <v>1659293</v>
      </c>
      <c r="L66" s="26">
        <v>1674504</v>
      </c>
      <c r="M66" s="26">
        <v>1689853</v>
      </c>
      <c r="N66" s="26">
        <v>1705344</v>
      </c>
      <c r="O66" s="26">
        <v>1720976</v>
      </c>
      <c r="P66" s="26">
        <v>1736751</v>
      </c>
      <c r="Q66" s="26">
        <f t="shared" si="10"/>
        <v>19830717</v>
      </c>
      <c r="R66" s="26">
        <f t="shared" si="11"/>
        <v>259617672</v>
      </c>
      <c r="S66" s="123">
        <v>1752672</v>
      </c>
      <c r="T66" s="123">
        <v>1768736</v>
      </c>
      <c r="U66" s="123">
        <v>1784951</v>
      </c>
      <c r="V66" s="123">
        <v>1801313</v>
      </c>
      <c r="W66" s="26">
        <v>1817825</v>
      </c>
      <c r="X66" s="26">
        <v>1834489</v>
      </c>
      <c r="Y66" s="26">
        <v>1851305</v>
      </c>
      <c r="Z66" s="26">
        <v>1868275</v>
      </c>
      <c r="AA66" s="26">
        <f>243252702+1885401</f>
        <v>245138103</v>
      </c>
      <c r="AB66" s="26"/>
      <c r="AC66" s="26"/>
      <c r="AD66" s="26"/>
      <c r="AE66" s="122">
        <f t="shared" si="12"/>
        <v>3</v>
      </c>
      <c r="AF66" s="63"/>
    </row>
    <row r="67" spans="1:32" s="24" customFormat="1" x14ac:dyDescent="0.3">
      <c r="A67" s="24">
        <v>35</v>
      </c>
      <c r="B67" s="92" t="s">
        <v>178</v>
      </c>
      <c r="C67" s="92" t="s">
        <v>190</v>
      </c>
      <c r="D67" s="93">
        <v>40652733</v>
      </c>
      <c r="E67" s="24" cm="1">
        <f t="array" ref="E67:P67">TRANSPOSE('Piutang Bank BSI-24'!E480:E491)</f>
        <v>714471</v>
      </c>
      <c r="F67" s="24">
        <v>721020</v>
      </c>
      <c r="G67" s="24">
        <v>727630</v>
      </c>
      <c r="H67" s="24">
        <v>734300</v>
      </c>
      <c r="I67" s="24">
        <v>741031</v>
      </c>
      <c r="J67" s="24">
        <v>747824</v>
      </c>
      <c r="K67" s="24">
        <v>754679</v>
      </c>
      <c r="L67" s="24">
        <v>761597</v>
      </c>
      <c r="M67" s="24">
        <v>768578</v>
      </c>
      <c r="N67" s="24">
        <v>775623</v>
      </c>
      <c r="O67" s="24">
        <v>782733</v>
      </c>
      <c r="P67" s="24">
        <v>789908</v>
      </c>
      <c r="Q67" s="24">
        <f t="shared" si="10"/>
        <v>9019394</v>
      </c>
      <c r="R67" s="24">
        <f t="shared" si="11"/>
        <v>31633339</v>
      </c>
      <c r="S67" s="99">
        <v>797149</v>
      </c>
      <c r="T67" s="99">
        <v>804456</v>
      </c>
      <c r="U67" s="99">
        <v>811830</v>
      </c>
      <c r="V67" s="99">
        <v>819272</v>
      </c>
      <c r="W67" s="24">
        <v>826782</v>
      </c>
      <c r="X67" s="24">
        <f>27573839-175000000</f>
        <v>-147426161</v>
      </c>
      <c r="Y67" s="24">
        <v>830112</v>
      </c>
      <c r="Z67" s="24">
        <v>837376</v>
      </c>
      <c r="AA67" s="24">
        <v>844703</v>
      </c>
      <c r="AB67" s="24">
        <v>852094</v>
      </c>
      <c r="AC67" s="24">
        <v>859550</v>
      </c>
      <c r="AD67" s="24">
        <v>170776165</v>
      </c>
      <c r="AE67" s="37">
        <f t="shared" ref="AE67:AE75" si="14">R67-S67-T67-U67-V67-W67-X67-Y67-Z67-AA67-AB67-AC67-AD67</f>
        <v>11</v>
      </c>
      <c r="AF67" s="63"/>
    </row>
    <row r="68" spans="1:32" s="91" customFormat="1" x14ac:dyDescent="0.3">
      <c r="A68" s="24">
        <v>36</v>
      </c>
      <c r="B68" s="92" t="s">
        <v>180</v>
      </c>
      <c r="C68" s="92" t="s">
        <v>225</v>
      </c>
      <c r="D68" s="93">
        <v>31140234</v>
      </c>
      <c r="E68" s="24" cm="1">
        <f t="array" ref="E68:H68">TRANSPOSE('Piutang Bank BSI-24'!E494:E497)</f>
        <v>1351484</v>
      </c>
      <c r="F68" s="24">
        <v>1363872</v>
      </c>
      <c r="G68" s="24">
        <v>1376374</v>
      </c>
      <c r="H68" s="24">
        <v>1388991</v>
      </c>
      <c r="I68" s="24">
        <v>0</v>
      </c>
      <c r="J68" s="24" cm="1">
        <f t="array" ref="J68:P68">TRANSPOSE('Piutang Bank BSI-24'!E498:E504)</f>
        <v>1401724</v>
      </c>
      <c r="K68" s="24">
        <v>1414573</v>
      </c>
      <c r="L68" s="24">
        <v>1427540</v>
      </c>
      <c r="M68" s="24">
        <v>1440625</v>
      </c>
      <c r="N68" s="24">
        <v>1453831</v>
      </c>
      <c r="O68" s="24">
        <v>1467158</v>
      </c>
      <c r="P68" s="24">
        <v>1480607</v>
      </c>
      <c r="Q68" s="24">
        <f t="shared" si="10"/>
        <v>5480721</v>
      </c>
      <c r="R68" s="24">
        <f>D68-E68-F68-G68-H68-I68-J68-K68-L68-M68-N68-O68-P68</f>
        <v>15573455</v>
      </c>
      <c r="S68" s="99">
        <v>1494179</v>
      </c>
      <c r="T68" s="99">
        <v>1507876</v>
      </c>
      <c r="U68" s="99">
        <v>1521698</v>
      </c>
      <c r="V68" s="99">
        <v>1535647</v>
      </c>
      <c r="W68" s="24">
        <v>1549724</v>
      </c>
      <c r="X68" s="24">
        <v>1563929</v>
      </c>
      <c r="Y68" s="24">
        <f>-50000000+6400399</f>
        <v>-43599601</v>
      </c>
      <c r="Z68" s="24">
        <v>1187622</v>
      </c>
      <c r="AA68" s="24">
        <v>1198014</v>
      </c>
      <c r="AB68" s="24">
        <v>1208496</v>
      </c>
      <c r="AC68" s="24">
        <v>1219071</v>
      </c>
      <c r="AD68" s="24">
        <v>1229738</v>
      </c>
      <c r="AE68" s="37">
        <f t="shared" si="14"/>
        <v>43957062</v>
      </c>
      <c r="AF68" s="110"/>
    </row>
    <row r="69" spans="1:32" s="91" customFormat="1" x14ac:dyDescent="0.3">
      <c r="A69" s="24">
        <v>37</v>
      </c>
      <c r="B69" s="92" t="s">
        <v>182</v>
      </c>
      <c r="C69" s="92" t="s">
        <v>225</v>
      </c>
      <c r="D69" s="93">
        <v>118670136</v>
      </c>
      <c r="E69" s="24" cm="1">
        <f t="array" ref="E69:H69">TRANSPOSE('Piutang Bank BSI-24'!E507:E510)</f>
        <v>1300198</v>
      </c>
      <c r="F69" s="24">
        <v>1311846</v>
      </c>
      <c r="G69" s="24">
        <v>1323598</v>
      </c>
      <c r="H69" s="24">
        <v>1335455</v>
      </c>
      <c r="I69" s="24">
        <v>0</v>
      </c>
      <c r="J69" s="24" cm="1">
        <f t="array" ref="J69:P69">TRANSPOSE('Piutang Bank BSI-24'!E511:E517)</f>
        <v>1347418</v>
      </c>
      <c r="K69" s="24">
        <v>1359489</v>
      </c>
      <c r="L69" s="24">
        <v>1371668</v>
      </c>
      <c r="M69" s="24">
        <v>1383956</v>
      </c>
      <c r="N69" s="24">
        <v>1396354</v>
      </c>
      <c r="O69" s="24">
        <v>1408863</v>
      </c>
      <c r="P69" s="24">
        <v>1421484</v>
      </c>
      <c r="Q69" s="24">
        <f t="shared" si="10"/>
        <v>5271097</v>
      </c>
      <c r="R69" s="24">
        <f>D69-E69-F69-G69-H69-I69-J69-K69-L69-M69-N69-O69-P69</f>
        <v>103709807</v>
      </c>
      <c r="S69" s="99">
        <v>1434218</v>
      </c>
      <c r="T69" s="99">
        <v>1447066</v>
      </c>
      <c r="U69" s="99">
        <v>1460029</v>
      </c>
      <c r="V69" s="99">
        <v>1473109</v>
      </c>
      <c r="W69" s="24">
        <v>1486305</v>
      </c>
      <c r="X69" s="24">
        <v>1499620</v>
      </c>
      <c r="Y69" s="24">
        <v>1513054</v>
      </c>
      <c r="Z69" s="24">
        <v>1526609</v>
      </c>
      <c r="AA69" s="24">
        <v>1540284</v>
      </c>
      <c r="AB69" s="24">
        <v>1554083</v>
      </c>
      <c r="AC69" s="24">
        <v>1568005</v>
      </c>
      <c r="AD69" s="24">
        <v>1582052</v>
      </c>
      <c r="AE69" s="37">
        <f t="shared" si="14"/>
        <v>85625373</v>
      </c>
      <c r="AF69" s="110"/>
    </row>
    <row r="70" spans="1:32" s="91" customFormat="1" x14ac:dyDescent="0.3">
      <c r="A70" s="91">
        <v>38</v>
      </c>
      <c r="B70" s="100" t="s">
        <v>111</v>
      </c>
      <c r="C70" s="100" t="s">
        <v>192</v>
      </c>
      <c r="D70" s="101">
        <v>130438853</v>
      </c>
      <c r="E70" s="91" cm="1">
        <f t="array" ref="E70:P70">TRANSPOSE('Piutang Bank BSI-24'!E520:E531)</f>
        <v>1142298</v>
      </c>
      <c r="F70" s="91">
        <v>1152531</v>
      </c>
      <c r="G70" s="91">
        <v>1162856</v>
      </c>
      <c r="H70" s="91">
        <v>1173273</v>
      </c>
      <c r="I70" s="91">
        <v>1183784</v>
      </c>
      <c r="J70" s="91">
        <v>1194389</v>
      </c>
      <c r="K70" s="91">
        <v>1205088</v>
      </c>
      <c r="L70" s="91">
        <v>1215884</v>
      </c>
      <c r="M70" s="91">
        <v>1226776</v>
      </c>
      <c r="N70" s="91">
        <v>1237766</v>
      </c>
      <c r="O70" s="91">
        <v>1248854</v>
      </c>
      <c r="P70" s="91">
        <v>1260042</v>
      </c>
      <c r="Q70" s="91">
        <f t="shared" si="10"/>
        <v>14403541</v>
      </c>
      <c r="R70" s="91">
        <f t="shared" si="11"/>
        <v>116035312</v>
      </c>
      <c r="S70" s="102">
        <v>1271330</v>
      </c>
      <c r="T70" s="102">
        <v>1282719</v>
      </c>
      <c r="U70" s="102">
        <v>1294210</v>
      </c>
      <c r="V70" s="102">
        <v>1305804</v>
      </c>
      <c r="W70" s="91">
        <v>1317502</v>
      </c>
      <c r="X70" s="91">
        <v>1329304</v>
      </c>
      <c r="Y70" s="91">
        <v>1341213</v>
      </c>
      <c r="Z70" s="91">
        <v>1353228</v>
      </c>
      <c r="AA70" s="91">
        <v>1365350</v>
      </c>
      <c r="AB70" s="91">
        <v>1377582</v>
      </c>
      <c r="AC70" s="91">
        <v>1389922</v>
      </c>
      <c r="AD70" s="91">
        <v>1402374</v>
      </c>
      <c r="AE70" s="37">
        <f t="shared" si="14"/>
        <v>100004774</v>
      </c>
      <c r="AF70" s="110"/>
    </row>
    <row r="71" spans="1:32" s="91" customFormat="1" x14ac:dyDescent="0.3">
      <c r="A71" s="24">
        <v>39</v>
      </c>
      <c r="B71" s="92" t="s">
        <v>185</v>
      </c>
      <c r="C71" s="92" t="s">
        <v>225</v>
      </c>
      <c r="D71" s="93">
        <v>250000000</v>
      </c>
      <c r="E71" s="24" cm="1">
        <f t="array" ref="E71:P71">TRANSPOSE('Piutang Bank BSI-24'!E534:E545)</f>
        <v>1168884</v>
      </c>
      <c r="F71" s="24">
        <v>1179355</v>
      </c>
      <c r="G71" s="24">
        <v>1189920</v>
      </c>
      <c r="H71" s="24">
        <v>1200580</v>
      </c>
      <c r="I71" s="24">
        <v>1211335</v>
      </c>
      <c r="J71" s="24">
        <v>1222186</v>
      </c>
      <c r="K71" s="24">
        <v>1233135</v>
      </c>
      <c r="L71" s="24">
        <v>1244182</v>
      </c>
      <c r="M71" s="24">
        <v>1255328</v>
      </c>
      <c r="N71" s="24">
        <v>1266573</v>
      </c>
      <c r="O71" s="24">
        <v>1277920</v>
      </c>
      <c r="P71" s="24">
        <v>1289368</v>
      </c>
      <c r="Q71" s="24">
        <f t="shared" si="10"/>
        <v>14738766</v>
      </c>
      <c r="R71" s="24">
        <f t="shared" si="11"/>
        <v>235261234</v>
      </c>
      <c r="S71" s="99">
        <v>1300918</v>
      </c>
      <c r="T71" s="99">
        <v>1312573</v>
      </c>
      <c r="U71" s="99">
        <v>1324331</v>
      </c>
      <c r="V71" s="99">
        <v>1336195</v>
      </c>
      <c r="W71" s="24">
        <v>1348165</v>
      </c>
      <c r="X71" s="24">
        <v>1360242</v>
      </c>
      <c r="Y71" s="24">
        <v>1372428</v>
      </c>
      <c r="Z71" s="24">
        <v>1384722</v>
      </c>
      <c r="AA71" s="24">
        <v>1397127</v>
      </c>
      <c r="AB71" s="24">
        <v>1409643</v>
      </c>
      <c r="AC71" s="24">
        <v>1422271</v>
      </c>
      <c r="AD71" s="24">
        <v>1435012</v>
      </c>
      <c r="AE71" s="37">
        <f t="shared" si="14"/>
        <v>218857607</v>
      </c>
      <c r="AF71" s="110"/>
    </row>
    <row r="72" spans="1:32" s="111" customFormat="1" x14ac:dyDescent="0.3">
      <c r="A72" s="24">
        <v>40</v>
      </c>
      <c r="B72" s="92" t="s">
        <v>195</v>
      </c>
      <c r="C72" s="92" t="s">
        <v>227</v>
      </c>
      <c r="D72" s="93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99"/>
      <c r="T72" s="99"/>
      <c r="U72" s="99">
        <v>-350000000</v>
      </c>
      <c r="V72" s="99">
        <v>1636437</v>
      </c>
      <c r="W72" s="24">
        <v>1651097</v>
      </c>
      <c r="X72" s="24">
        <v>1689406</v>
      </c>
      <c r="Y72" s="24">
        <v>1704188</v>
      </c>
      <c r="Z72" s="24">
        <v>1719100</v>
      </c>
      <c r="AA72" s="24">
        <v>1734142</v>
      </c>
      <c r="AB72" s="24">
        <v>1749316</v>
      </c>
      <c r="AC72" s="24">
        <v>1764622</v>
      </c>
      <c r="AD72" s="24">
        <v>1780063</v>
      </c>
      <c r="AE72" s="37">
        <f t="shared" si="14"/>
        <v>334571629</v>
      </c>
    </row>
    <row r="73" spans="1:32" s="79" customFormat="1" x14ac:dyDescent="0.3">
      <c r="A73" s="24">
        <v>41</v>
      </c>
      <c r="B73" s="92" t="s">
        <v>220</v>
      </c>
      <c r="C73" s="92" t="s">
        <v>223</v>
      </c>
      <c r="D73" s="93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99"/>
      <c r="T73" s="99"/>
      <c r="U73" s="99"/>
      <c r="V73" s="99">
        <v>-500000000</v>
      </c>
      <c r="W73" s="24"/>
      <c r="X73" s="24">
        <v>2371750</v>
      </c>
      <c r="Y73" s="24">
        <v>2392503</v>
      </c>
      <c r="Z73" s="24">
        <v>2413437</v>
      </c>
      <c r="AA73" s="24">
        <v>2434555</v>
      </c>
      <c r="AB73" s="24">
        <v>2455857</v>
      </c>
      <c r="AC73" s="24">
        <v>2477346</v>
      </c>
      <c r="AD73" s="24">
        <v>2499022</v>
      </c>
      <c r="AE73" s="37">
        <f t="shared" si="14"/>
        <v>482955530</v>
      </c>
    </row>
    <row r="74" spans="1:32" s="79" customFormat="1" x14ac:dyDescent="0.3">
      <c r="A74" s="91">
        <v>42</v>
      </c>
      <c r="B74" s="100" t="s">
        <v>222</v>
      </c>
      <c r="C74" s="100" t="s">
        <v>192</v>
      </c>
      <c r="D74" s="10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102"/>
      <c r="T74" s="102"/>
      <c r="U74" s="102"/>
      <c r="V74" s="102"/>
      <c r="W74" s="91"/>
      <c r="X74" s="91"/>
      <c r="Y74" s="91"/>
      <c r="Z74" s="91"/>
      <c r="AA74" s="91"/>
      <c r="AB74" s="91">
        <v>-250000000</v>
      </c>
      <c r="AC74" s="91">
        <v>3185975</v>
      </c>
      <c r="AD74" s="24">
        <v>3213852</v>
      </c>
      <c r="AE74" s="37">
        <f t="shared" si="14"/>
        <v>243600173</v>
      </c>
    </row>
    <row r="75" spans="1:32" s="79" customFormat="1" ht="13.5" thickBot="1" x14ac:dyDescent="0.35">
      <c r="A75" s="24">
        <v>43</v>
      </c>
      <c r="B75" s="92" t="s">
        <v>224</v>
      </c>
      <c r="C75" s="92" t="s">
        <v>190</v>
      </c>
      <c r="D75" s="93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99"/>
      <c r="T75" s="99"/>
      <c r="U75" s="99"/>
      <c r="V75" s="99"/>
      <c r="W75" s="24"/>
      <c r="X75" s="24"/>
      <c r="Y75" s="24"/>
      <c r="Z75" s="24"/>
      <c r="AA75" s="24"/>
      <c r="AB75" s="24"/>
      <c r="AC75" s="24">
        <v>-350000000</v>
      </c>
      <c r="AD75" s="24">
        <v>4460365</v>
      </c>
      <c r="AE75" s="37">
        <f t="shared" si="14"/>
        <v>345539635</v>
      </c>
    </row>
    <row r="76" spans="1:32" s="21" customFormat="1" ht="13.5" thickBot="1" x14ac:dyDescent="0.35">
      <c r="A76" s="127" t="s">
        <v>106</v>
      </c>
      <c r="B76" s="127"/>
      <c r="C76" s="35"/>
      <c r="D76" s="41">
        <f t="shared" ref="D76:Q76" si="15">SUM(D33:D71)</f>
        <v>7652994087</v>
      </c>
      <c r="E76" s="41">
        <f t="shared" si="15"/>
        <v>120647611</v>
      </c>
      <c r="F76" s="41">
        <f t="shared" si="15"/>
        <v>121756653</v>
      </c>
      <c r="G76" s="41">
        <f t="shared" si="15"/>
        <v>12875909</v>
      </c>
      <c r="H76" s="41">
        <f t="shared" si="15"/>
        <v>126787378</v>
      </c>
      <c r="I76" s="41">
        <f t="shared" si="15"/>
        <v>-350160062</v>
      </c>
      <c r="J76" s="41">
        <f t="shared" si="15"/>
        <v>128405428</v>
      </c>
      <c r="K76" s="41">
        <f t="shared" si="15"/>
        <v>128774855</v>
      </c>
      <c r="L76" s="41">
        <f t="shared" si="15"/>
        <v>130795288</v>
      </c>
      <c r="M76" s="41">
        <f t="shared" si="15"/>
        <v>142271476</v>
      </c>
      <c r="N76" s="41">
        <f t="shared" si="15"/>
        <v>103879946</v>
      </c>
      <c r="O76" s="41">
        <f t="shared" si="15"/>
        <v>104814975</v>
      </c>
      <c r="P76" s="41">
        <f t="shared" si="15"/>
        <v>93722582</v>
      </c>
      <c r="Q76" s="41">
        <f t="shared" si="15"/>
        <v>1329860901</v>
      </c>
      <c r="R76" s="41">
        <f t="shared" ref="R76:AB76" si="16">SUM(R33:R74)</f>
        <v>6788422048</v>
      </c>
      <c r="S76" s="41">
        <f t="shared" si="16"/>
        <v>312947889</v>
      </c>
      <c r="T76" s="41">
        <f t="shared" si="16"/>
        <v>95443413</v>
      </c>
      <c r="U76" s="41">
        <f t="shared" si="16"/>
        <v>-253684350</v>
      </c>
      <c r="V76" s="41">
        <f>SUM(V33:V74)</f>
        <v>-213209096</v>
      </c>
      <c r="W76" s="41">
        <f t="shared" si="16"/>
        <v>129127676</v>
      </c>
      <c r="X76" s="41">
        <f t="shared" si="16"/>
        <v>-200772956</v>
      </c>
      <c r="Y76" s="41">
        <f t="shared" si="16"/>
        <v>51873491</v>
      </c>
      <c r="Z76" s="41">
        <f t="shared" si="16"/>
        <v>516425612</v>
      </c>
      <c r="AA76" s="41">
        <f t="shared" si="16"/>
        <v>183317302</v>
      </c>
      <c r="AB76" s="41">
        <f t="shared" si="16"/>
        <v>-160993212</v>
      </c>
      <c r="AC76" s="41">
        <f>SUM(AC33:AC75)</f>
        <v>-257005072</v>
      </c>
      <c r="AD76" s="41">
        <f t="shared" ref="AD76:AE76" si="17">SUM(AD33:AD75)</f>
        <v>258561324</v>
      </c>
      <c r="AE76" s="41">
        <f t="shared" si="17"/>
        <v>6326390024</v>
      </c>
    </row>
    <row r="77" spans="1:32" s="21" customFormat="1" x14ac:dyDescent="0.3">
      <c r="E77" s="21">
        <v>120647611</v>
      </c>
      <c r="F77" s="21">
        <v>121756653</v>
      </c>
      <c r="G77" s="21">
        <v>122875909</v>
      </c>
      <c r="H77" s="21">
        <v>253320730</v>
      </c>
      <c r="I77" s="21">
        <v>117587191</v>
      </c>
      <c r="J77" s="21">
        <v>126067661</v>
      </c>
      <c r="K77" s="21">
        <v>128774855</v>
      </c>
      <c r="L77" s="21">
        <v>130795289</v>
      </c>
      <c r="M77" s="21">
        <v>129490529</v>
      </c>
      <c r="N77" s="21">
        <v>116660893</v>
      </c>
      <c r="O77" s="21">
        <v>104814975</v>
      </c>
      <c r="P77" s="21">
        <v>93722582</v>
      </c>
      <c r="R77" s="21">
        <v>6788422047.000001</v>
      </c>
      <c r="S77" s="21">
        <v>312947889</v>
      </c>
      <c r="T77" s="21">
        <v>95443415</v>
      </c>
      <c r="U77" s="21">
        <f>96315650-350000000</f>
        <v>-253684350</v>
      </c>
      <c r="V77" s="21">
        <f>486790904-700000000</f>
        <v>-213209096</v>
      </c>
      <c r="W77" s="21">
        <v>129127674.8</v>
      </c>
      <c r="X77" s="21">
        <f>399227044-600000000</f>
        <v>-200772956</v>
      </c>
      <c r="Y77" s="21">
        <f>101873491-50000000</f>
        <v>51873491</v>
      </c>
      <c r="Z77" s="21">
        <v>516425612</v>
      </c>
      <c r="AA77" s="21">
        <f>528317304-345000000</f>
        <v>183317304</v>
      </c>
      <c r="AB77" s="21">
        <f>-(250000000-86367623)</f>
        <v>-163632377</v>
      </c>
      <c r="AC77" s="21">
        <f>90332670-350000000</f>
        <v>-259667330</v>
      </c>
      <c r="AD77" s="21">
        <v>255875771</v>
      </c>
      <c r="AE77" s="31">
        <v>6367526095</v>
      </c>
    </row>
    <row r="78" spans="1:32" s="21" customFormat="1" x14ac:dyDescent="0.3">
      <c r="D78" s="21">
        <f>D76-D77</f>
        <v>7652994087</v>
      </c>
      <c r="E78" s="21">
        <f t="shared" ref="E78" si="18">E76-E77</f>
        <v>0</v>
      </c>
      <c r="F78" s="21">
        <f t="shared" ref="F78" si="19">F76-F77</f>
        <v>0</v>
      </c>
      <c r="G78" s="21">
        <f t="shared" ref="G78" si="20">G76-G77</f>
        <v>-110000000</v>
      </c>
      <c r="H78" s="21">
        <f t="shared" ref="H78" si="21">H76-H77</f>
        <v>-126533352</v>
      </c>
      <c r="I78" s="21">
        <f t="shared" ref="I78" si="22">I76-I77</f>
        <v>-467747253</v>
      </c>
      <c r="J78" s="21">
        <f t="shared" ref="J78" si="23">J76-J77</f>
        <v>2337767</v>
      </c>
      <c r="K78" s="21">
        <f t="shared" ref="K78" si="24">K76-K77</f>
        <v>0</v>
      </c>
      <c r="L78" s="21">
        <f t="shared" ref="L78" si="25">L76-L77</f>
        <v>-1</v>
      </c>
      <c r="M78" s="21">
        <f t="shared" ref="M78" si="26">M76-M77</f>
        <v>12780947</v>
      </c>
      <c r="N78" s="21">
        <f t="shared" ref="N78" si="27">N76-N77</f>
        <v>-12780947</v>
      </c>
      <c r="O78" s="21">
        <f t="shared" ref="O78" si="28">O76-O77</f>
        <v>0</v>
      </c>
      <c r="P78" s="21">
        <f t="shared" ref="P78" si="29">P76-P77</f>
        <v>0</v>
      </c>
      <c r="Q78" s="21">
        <f t="shared" ref="Q78" si="30">Q76-Q77</f>
        <v>1329860901</v>
      </c>
      <c r="R78" s="21">
        <f t="shared" ref="R78" si="31">R76-R77</f>
        <v>0.99999904632568359</v>
      </c>
      <c r="S78" s="21">
        <f>S76-S77</f>
        <v>0</v>
      </c>
      <c r="T78" s="21">
        <f t="shared" ref="T78:V78" si="32">T76-T77</f>
        <v>-2</v>
      </c>
      <c r="U78" s="21">
        <f>U76-U77</f>
        <v>0</v>
      </c>
      <c r="V78" s="21">
        <f t="shared" si="32"/>
        <v>0</v>
      </c>
      <c r="W78" s="21">
        <f t="shared" ref="W78:AD78" si="33">W76-W77</f>
        <v>1.2000000029802322</v>
      </c>
      <c r="X78" s="21">
        <f t="shared" si="33"/>
        <v>0</v>
      </c>
      <c r="Y78" s="21">
        <f t="shared" si="33"/>
        <v>0</v>
      </c>
      <c r="Z78" s="21">
        <f t="shared" si="33"/>
        <v>0</v>
      </c>
      <c r="AA78" s="21">
        <f t="shared" si="33"/>
        <v>-2</v>
      </c>
      <c r="AB78" s="21">
        <f t="shared" si="33"/>
        <v>2639165</v>
      </c>
      <c r="AC78" s="21">
        <f t="shared" si="33"/>
        <v>2662258</v>
      </c>
      <c r="AD78" s="21">
        <f t="shared" si="33"/>
        <v>2685553</v>
      </c>
      <c r="AE78" s="21">
        <f t="shared" ref="AE78" si="34">AE76-AE77</f>
        <v>-41136071</v>
      </c>
    </row>
    <row r="79" spans="1:32" s="21" customFormat="1" x14ac:dyDescent="0.3">
      <c r="V79" s="21">
        <v>1660225</v>
      </c>
      <c r="W79" s="21">
        <v>3062500</v>
      </c>
      <c r="AE79" s="31"/>
    </row>
    <row r="80" spans="1:32" s="21" customFormat="1" x14ac:dyDescent="0.3">
      <c r="V80" s="21">
        <f>V72-V79</f>
        <v>-23788</v>
      </c>
      <c r="AE80" s="31"/>
    </row>
    <row r="82" spans="21:23" x14ac:dyDescent="0.3">
      <c r="V82" s="21" t="s">
        <v>71</v>
      </c>
      <c r="W82" s="21">
        <v>164662028</v>
      </c>
    </row>
    <row r="84" spans="21:23" x14ac:dyDescent="0.3">
      <c r="V84" s="21">
        <f>32917504-23788</f>
        <v>32893716</v>
      </c>
      <c r="W84" s="21">
        <f>20567848+23788</f>
        <v>20591636</v>
      </c>
    </row>
    <row r="85" spans="21:23" x14ac:dyDescent="0.3">
      <c r="U85" s="21" t="s">
        <v>196</v>
      </c>
      <c r="V85" s="21">
        <v>32917504</v>
      </c>
      <c r="W85" s="21">
        <v>20567848</v>
      </c>
    </row>
  </sheetData>
  <mergeCells count="14">
    <mergeCell ref="R2:Z2"/>
    <mergeCell ref="A24:B24"/>
    <mergeCell ref="H1:I1"/>
    <mergeCell ref="A2:A3"/>
    <mergeCell ref="B2:B3"/>
    <mergeCell ref="D2:D3"/>
    <mergeCell ref="E2:P2"/>
    <mergeCell ref="R30:Z30"/>
    <mergeCell ref="A76:B76"/>
    <mergeCell ref="H29:I29"/>
    <mergeCell ref="A30:A31"/>
    <mergeCell ref="B30:B31"/>
    <mergeCell ref="D30:D31"/>
    <mergeCell ref="E30:P30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331E-02B1-40AF-8B0E-11D41E87115E}">
  <dimension ref="A3:C23"/>
  <sheetViews>
    <sheetView topLeftCell="A12" workbookViewId="0">
      <selection activeCell="B19" sqref="B19"/>
    </sheetView>
  </sheetViews>
  <sheetFormatPr defaultColWidth="43.453125" defaultRowHeight="15.5" x14ac:dyDescent="0.25"/>
  <cols>
    <col min="1" max="1" width="53.1796875" style="145" customWidth="1"/>
    <col min="2" max="2" width="21.6328125" style="146" customWidth="1"/>
    <col min="3" max="3" width="43.453125" style="146"/>
    <col min="4" max="16384" width="43.453125" style="145"/>
  </cols>
  <sheetData>
    <row r="3" spans="1:2" ht="39.5" customHeight="1" x14ac:dyDescent="0.25">
      <c r="A3" s="158" t="s">
        <v>241</v>
      </c>
      <c r="B3" s="158"/>
    </row>
    <row r="4" spans="1:2" ht="16.5" customHeight="1" x14ac:dyDescent="0.25">
      <c r="A4" s="148"/>
    </row>
    <row r="5" spans="1:2" x14ac:dyDescent="0.25">
      <c r="A5" s="149" t="s">
        <v>228</v>
      </c>
      <c r="B5" s="150">
        <f>'REKAP PIUTANG BANK'!$R$47</f>
        <v>51162179</v>
      </c>
    </row>
    <row r="6" spans="1:2" x14ac:dyDescent="0.25">
      <c r="A6" s="149" t="s">
        <v>230</v>
      </c>
      <c r="B6" s="151">
        <f>-SUM('REKAP PIUTANG BANK'!S47+'REKAP PIUTANG BANK'!T47+'REKAP PIUTANG BANK'!U47+4565094+4606941)</f>
        <v>-22620022</v>
      </c>
    </row>
    <row r="7" spans="1:2" x14ac:dyDescent="0.25">
      <c r="A7" s="149" t="s">
        <v>231</v>
      </c>
      <c r="B7" s="150">
        <v>200000000</v>
      </c>
    </row>
    <row r="8" spans="1:2" x14ac:dyDescent="0.25">
      <c r="A8" s="149" t="s">
        <v>232</v>
      </c>
      <c r="B8" s="151">
        <v>-33149095.800000001</v>
      </c>
    </row>
    <row r="9" spans="1:2" x14ac:dyDescent="0.25">
      <c r="A9" s="149" t="s">
        <v>233</v>
      </c>
      <c r="B9" s="150">
        <f>SUM(B5:B8)</f>
        <v>195393061.19999999</v>
      </c>
    </row>
    <row r="10" spans="1:2" x14ac:dyDescent="0.25">
      <c r="A10" s="149" t="s">
        <v>234</v>
      </c>
      <c r="B10" s="151">
        <f>-(2548780+2571082+2593579+2616273+2639165+2662258+2685553)</f>
        <v>-18316690</v>
      </c>
    </row>
    <row r="11" spans="1:2" x14ac:dyDescent="0.25">
      <c r="A11" s="149" t="s">
        <v>235</v>
      </c>
      <c r="B11" s="150">
        <v>177076370</v>
      </c>
    </row>
    <row r="12" spans="1:2" x14ac:dyDescent="0.25">
      <c r="A12" s="149" t="s">
        <v>236</v>
      </c>
      <c r="B12" s="152">
        <v>-181683311</v>
      </c>
    </row>
    <row r="13" spans="1:2" x14ac:dyDescent="0.25">
      <c r="A13" s="153" t="s">
        <v>229</v>
      </c>
      <c r="B13" s="154">
        <f>B12+B11</f>
        <v>-4606941</v>
      </c>
    </row>
    <row r="15" spans="1:2" ht="31" x14ac:dyDescent="0.25">
      <c r="A15" s="147" t="s">
        <v>237</v>
      </c>
    </row>
    <row r="16" spans="1:2" x14ac:dyDescent="0.25">
      <c r="A16" s="147"/>
    </row>
    <row r="17" spans="1:2" x14ac:dyDescent="0.25">
      <c r="A17" s="147"/>
    </row>
    <row r="18" spans="1:2" x14ac:dyDescent="0.35">
      <c r="A18" s="157" t="s">
        <v>238</v>
      </c>
      <c r="B18" s="157"/>
    </row>
    <row r="19" spans="1:2" x14ac:dyDescent="0.35">
      <c r="A19" s="157" t="s">
        <v>239</v>
      </c>
      <c r="B19" s="157" t="s">
        <v>242</v>
      </c>
    </row>
    <row r="20" spans="1:2" x14ac:dyDescent="0.35">
      <c r="A20" s="155"/>
      <c r="B20" s="156"/>
    </row>
    <row r="21" spans="1:2" x14ac:dyDescent="0.35">
      <c r="A21" s="155"/>
      <c r="B21" s="156"/>
    </row>
    <row r="22" spans="1:2" x14ac:dyDescent="0.35">
      <c r="A22" s="155"/>
      <c r="B22" s="156"/>
    </row>
    <row r="23" spans="1:2" x14ac:dyDescent="0.35">
      <c r="A23" s="157" t="s">
        <v>240</v>
      </c>
      <c r="B23" s="157" t="s">
        <v>243</v>
      </c>
    </row>
  </sheetData>
  <mergeCells count="1">
    <mergeCell ref="A3:B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C3D9-9BCE-4CAB-98CA-D9EBC190CE6D}">
  <dimension ref="A2:F9"/>
  <sheetViews>
    <sheetView workbookViewId="0">
      <selection activeCell="E13" sqref="E13"/>
    </sheetView>
  </sheetViews>
  <sheetFormatPr defaultRowHeight="12.5" x14ac:dyDescent="0.25"/>
  <cols>
    <col min="2" max="2" width="15.08984375" style="95" customWidth="1"/>
    <col min="3" max="3" width="19.26953125" style="95" customWidth="1"/>
    <col min="4" max="4" width="8.7265625" style="95"/>
  </cols>
  <sheetData>
    <row r="2" spans="1:6" x14ac:dyDescent="0.25">
      <c r="A2" s="94" t="s">
        <v>197</v>
      </c>
    </row>
    <row r="3" spans="1:6" x14ac:dyDescent="0.25">
      <c r="B3" s="96" t="s">
        <v>198</v>
      </c>
      <c r="C3" s="96" t="s">
        <v>199</v>
      </c>
      <c r="D3" s="96" t="s">
        <v>200</v>
      </c>
    </row>
    <row r="4" spans="1:6" x14ac:dyDescent="0.25">
      <c r="A4" s="94" t="s">
        <v>71</v>
      </c>
      <c r="B4" s="95">
        <v>1636437</v>
      </c>
      <c r="C4" s="95">
        <v>1660225</v>
      </c>
      <c r="D4" s="95">
        <f>B4-C4</f>
        <v>-23788</v>
      </c>
      <c r="E4" s="97"/>
    </row>
    <row r="5" spans="1:6" x14ac:dyDescent="0.25">
      <c r="A5" s="94" t="s">
        <v>72</v>
      </c>
      <c r="B5" s="95">
        <v>1651097</v>
      </c>
      <c r="C5" s="95">
        <v>1674752</v>
      </c>
      <c r="D5" s="95">
        <f>B5-C5</f>
        <v>-23655</v>
      </c>
      <c r="E5" s="97"/>
    </row>
    <row r="7" spans="1:6" x14ac:dyDescent="0.25">
      <c r="B7" s="96" t="s">
        <v>201</v>
      </c>
      <c r="C7" s="96" t="s">
        <v>202</v>
      </c>
      <c r="D7" s="96" t="s">
        <v>200</v>
      </c>
    </row>
    <row r="8" spans="1:6" x14ac:dyDescent="0.25">
      <c r="A8" s="94" t="s">
        <v>71</v>
      </c>
      <c r="B8" s="95">
        <v>3135417</v>
      </c>
      <c r="C8" s="95">
        <v>3062500</v>
      </c>
      <c r="D8" s="95">
        <f>B8-C8</f>
        <v>72917</v>
      </c>
      <c r="F8" s="97">
        <f>D8+D4</f>
        <v>49129</v>
      </c>
    </row>
    <row r="9" spans="1:6" x14ac:dyDescent="0.25">
      <c r="A9" s="94" t="s">
        <v>72</v>
      </c>
      <c r="B9" s="95">
        <v>3120757</v>
      </c>
      <c r="C9" s="95">
        <v>3047873</v>
      </c>
      <c r="D9" s="95">
        <f>B9-C9</f>
        <v>72884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766D-4886-4B10-8A22-733BF5317B33}">
  <dimension ref="A1:N260"/>
  <sheetViews>
    <sheetView topLeftCell="A256" zoomScale="85" zoomScaleNormal="85" workbookViewId="0">
      <selection activeCell="D11" sqref="D11"/>
    </sheetView>
  </sheetViews>
  <sheetFormatPr defaultRowHeight="13" x14ac:dyDescent="0.25"/>
  <cols>
    <col min="1" max="1" width="9.90625" style="8" bestFit="1" customWidth="1"/>
    <col min="3" max="3" width="35" customWidth="1"/>
    <col min="4" max="6" width="19.1796875" style="15" customWidth="1"/>
    <col min="7" max="7" width="19.81640625" customWidth="1"/>
    <col min="8" max="10" width="12" bestFit="1" customWidth="1"/>
    <col min="11" max="14" width="17.90625" customWidth="1"/>
  </cols>
  <sheetData>
    <row r="1" spans="1:12" x14ac:dyDescent="0.25">
      <c r="A1" s="6" t="s">
        <v>188</v>
      </c>
    </row>
    <row r="3" spans="1:12" x14ac:dyDescent="0.25">
      <c r="B3" s="2"/>
      <c r="C3" s="2"/>
      <c r="D3" s="12" t="s">
        <v>57</v>
      </c>
      <c r="E3" s="12"/>
      <c r="F3" s="12" t="s">
        <v>58</v>
      </c>
      <c r="G3" s="12" t="s">
        <v>61</v>
      </c>
    </row>
    <row r="4" spans="1:12" x14ac:dyDescent="0.25">
      <c r="B4" s="2"/>
      <c r="C4" s="2"/>
      <c r="D4" s="12" t="s">
        <v>59</v>
      </c>
      <c r="E4" s="12" t="s">
        <v>60</v>
      </c>
      <c r="F4" s="12"/>
    </row>
    <row r="5" spans="1:12" x14ac:dyDescent="0.25">
      <c r="B5" s="2" t="s">
        <v>5</v>
      </c>
      <c r="C5" s="2"/>
      <c r="D5" s="12"/>
      <c r="E5" s="12"/>
      <c r="F5" s="12"/>
    </row>
    <row r="6" spans="1:12" x14ac:dyDescent="0.25">
      <c r="A6" s="10">
        <v>45292</v>
      </c>
      <c r="B6" s="1" t="s">
        <v>0</v>
      </c>
      <c r="C6" s="3" t="s">
        <v>1</v>
      </c>
      <c r="D6" s="13"/>
      <c r="E6" s="13"/>
      <c r="F6" s="13">
        <v>10567703</v>
      </c>
      <c r="H6" s="4"/>
      <c r="I6" s="4"/>
      <c r="J6" s="4"/>
      <c r="K6" s="4"/>
      <c r="L6" s="4"/>
    </row>
    <row r="7" spans="1:12" ht="13" customHeight="1" x14ac:dyDescent="0.25">
      <c r="A7" s="10">
        <v>45316</v>
      </c>
      <c r="B7" s="1" t="s">
        <v>6</v>
      </c>
      <c r="C7" s="3" t="s">
        <v>7</v>
      </c>
      <c r="D7"/>
      <c r="E7" s="4">
        <v>2075319</v>
      </c>
      <c r="G7" s="13">
        <f>F6-E7</f>
        <v>8492384</v>
      </c>
      <c r="H7" s="4"/>
      <c r="I7" s="4"/>
      <c r="J7" s="4"/>
      <c r="K7" s="4"/>
      <c r="L7" s="4"/>
    </row>
    <row r="8" spans="1:12" ht="13" customHeight="1" x14ac:dyDescent="0.25">
      <c r="A8" s="10">
        <v>45345</v>
      </c>
      <c r="B8" s="1" t="s">
        <v>6</v>
      </c>
      <c r="C8" s="3" t="s">
        <v>7</v>
      </c>
      <c r="D8"/>
      <c r="E8" s="4">
        <v>2094257</v>
      </c>
      <c r="G8" s="13">
        <f>G7-E8</f>
        <v>6398127</v>
      </c>
      <c r="H8" s="4"/>
      <c r="I8" s="4"/>
      <c r="J8" s="4"/>
      <c r="K8" s="4"/>
      <c r="L8" s="4"/>
    </row>
    <row r="9" spans="1:12" ht="13" customHeight="1" x14ac:dyDescent="0.25">
      <c r="A9" s="10">
        <v>45376</v>
      </c>
      <c r="B9" s="1" t="s">
        <v>6</v>
      </c>
      <c r="C9" s="3" t="s">
        <v>7</v>
      </c>
      <c r="D9"/>
      <c r="E9" s="4">
        <v>2113367</v>
      </c>
      <c r="G9" s="13">
        <f>G8-E9</f>
        <v>4284760</v>
      </c>
      <c r="H9" s="4"/>
      <c r="I9" s="4"/>
      <c r="J9" s="4"/>
      <c r="K9" s="4"/>
      <c r="L9" s="4"/>
    </row>
    <row r="10" spans="1:12" ht="13" customHeight="1" x14ac:dyDescent="0.25">
      <c r="A10" s="10">
        <v>45407</v>
      </c>
      <c r="B10" s="1" t="s">
        <v>6</v>
      </c>
      <c r="C10" s="3" t="s">
        <v>7</v>
      </c>
      <c r="D10"/>
      <c r="E10" s="4">
        <v>2132651</v>
      </c>
      <c r="G10" s="13">
        <f>G9-E10</f>
        <v>2152109</v>
      </c>
      <c r="H10" s="4"/>
      <c r="I10" s="4"/>
      <c r="J10" s="4"/>
      <c r="K10" s="4"/>
      <c r="L10" s="4"/>
    </row>
    <row r="11" spans="1:12" ht="13" customHeight="1" x14ac:dyDescent="0.25">
      <c r="A11" s="10">
        <v>45434</v>
      </c>
      <c r="B11" s="1" t="s">
        <v>6</v>
      </c>
      <c r="C11" s="3" t="s">
        <v>7</v>
      </c>
      <c r="D11"/>
      <c r="E11" s="4">
        <v>2152112</v>
      </c>
      <c r="G11" s="13">
        <f>G10-E11</f>
        <v>-3</v>
      </c>
      <c r="H11" s="4"/>
      <c r="I11" s="4"/>
      <c r="J11" s="4"/>
      <c r="K11" s="4"/>
      <c r="L11" s="4"/>
    </row>
    <row r="12" spans="1:12" ht="13" customHeight="1" x14ac:dyDescent="0.25">
      <c r="A12" s="10">
        <v>45504</v>
      </c>
      <c r="B12" s="1" t="s">
        <v>0</v>
      </c>
      <c r="C12" s="3" t="s">
        <v>8</v>
      </c>
      <c r="D12" s="4">
        <v>3</v>
      </c>
      <c r="E12"/>
      <c r="G12" s="13">
        <f>G11+D12</f>
        <v>0</v>
      </c>
    </row>
    <row r="13" spans="1:12" x14ac:dyDescent="0.25">
      <c r="B13" s="2" t="s">
        <v>9</v>
      </c>
      <c r="C13" s="2"/>
      <c r="D13" s="12"/>
      <c r="E13" s="12"/>
      <c r="F13" s="12"/>
    </row>
    <row r="14" spans="1:12" x14ac:dyDescent="0.25">
      <c r="A14" s="10">
        <v>45292</v>
      </c>
      <c r="B14" s="1" t="s">
        <v>0</v>
      </c>
      <c r="C14" s="3" t="s">
        <v>1</v>
      </c>
      <c r="D14" s="13"/>
      <c r="E14" s="13"/>
      <c r="F14" s="4">
        <v>287816220</v>
      </c>
      <c r="H14" s="4"/>
      <c r="I14" s="4"/>
      <c r="J14" s="4"/>
      <c r="K14" s="4"/>
      <c r="L14" s="4"/>
    </row>
    <row r="15" spans="1:12" ht="13" customHeight="1" x14ac:dyDescent="0.25">
      <c r="A15" s="10">
        <v>45316</v>
      </c>
      <c r="B15" s="1" t="s">
        <v>6</v>
      </c>
      <c r="C15" s="3" t="s">
        <v>10</v>
      </c>
      <c r="D15" s="13"/>
      <c r="E15" s="4">
        <v>4247034</v>
      </c>
      <c r="G15" s="13">
        <f>F14-E15</f>
        <v>283569186</v>
      </c>
      <c r="H15" s="4"/>
      <c r="I15" s="4"/>
      <c r="J15" s="4"/>
      <c r="K15" s="4"/>
      <c r="L15" s="4"/>
    </row>
    <row r="16" spans="1:12" ht="13" customHeight="1" x14ac:dyDescent="0.25">
      <c r="A16" s="10">
        <v>45345</v>
      </c>
      <c r="B16" s="1" t="s">
        <v>6</v>
      </c>
      <c r="C16" s="3" t="s">
        <v>10</v>
      </c>
      <c r="D16" s="13"/>
      <c r="E16" s="4">
        <v>4285788</v>
      </c>
      <c r="G16" s="13">
        <f t="shared" ref="G16:G24" si="0">G15-E16</f>
        <v>279283398</v>
      </c>
      <c r="H16" s="4"/>
      <c r="I16" s="4"/>
      <c r="J16" s="4"/>
      <c r="K16" s="4"/>
      <c r="L16" s="4"/>
    </row>
    <row r="17" spans="1:12" ht="13" customHeight="1" x14ac:dyDescent="0.25">
      <c r="A17" s="10">
        <v>45376</v>
      </c>
      <c r="B17" s="1" t="s">
        <v>6</v>
      </c>
      <c r="C17" s="3" t="s">
        <v>10</v>
      </c>
      <c r="D17" s="13"/>
      <c r="E17" s="4">
        <v>4324896</v>
      </c>
      <c r="G17" s="13">
        <f t="shared" si="0"/>
        <v>274958502</v>
      </c>
      <c r="H17" s="4"/>
      <c r="I17" s="4"/>
      <c r="J17" s="4"/>
      <c r="K17" s="4"/>
      <c r="L17" s="4"/>
    </row>
    <row r="18" spans="1:12" ht="13" customHeight="1" x14ac:dyDescent="0.25">
      <c r="A18" s="10">
        <v>45407</v>
      </c>
      <c r="B18" s="1" t="s">
        <v>6</v>
      </c>
      <c r="C18" s="3" t="s">
        <v>10</v>
      </c>
      <c r="D18" s="13"/>
      <c r="E18" s="4">
        <v>4364360</v>
      </c>
      <c r="G18" s="13">
        <f t="shared" si="0"/>
        <v>270594142</v>
      </c>
      <c r="H18" s="4"/>
      <c r="I18" s="4"/>
      <c r="J18" s="4"/>
      <c r="K18" s="4"/>
      <c r="L18" s="4"/>
    </row>
    <row r="19" spans="1:12" ht="13" customHeight="1" x14ac:dyDescent="0.25">
      <c r="A19" s="10">
        <v>45434</v>
      </c>
      <c r="B19" s="1" t="s">
        <v>6</v>
      </c>
      <c r="C19" s="3" t="s">
        <v>10</v>
      </c>
      <c r="D19" s="13"/>
      <c r="E19" s="4">
        <v>4404185</v>
      </c>
      <c r="G19" s="13">
        <f t="shared" si="0"/>
        <v>266189957</v>
      </c>
      <c r="H19" s="4"/>
      <c r="I19" s="4"/>
      <c r="J19" s="4"/>
      <c r="K19" s="4"/>
      <c r="L19" s="4"/>
    </row>
    <row r="20" spans="1:12" ht="13" customHeight="1" x14ac:dyDescent="0.25">
      <c r="A20" s="10">
        <v>45468</v>
      </c>
      <c r="B20" s="1" t="s">
        <v>6</v>
      </c>
      <c r="C20" s="3" t="s">
        <v>10</v>
      </c>
      <c r="D20" s="13"/>
      <c r="E20" s="4">
        <v>4444373</v>
      </c>
      <c r="G20" s="13">
        <f t="shared" si="0"/>
        <v>261745584</v>
      </c>
      <c r="H20" s="4"/>
      <c r="I20" s="4"/>
      <c r="J20" s="4"/>
      <c r="K20" s="4"/>
      <c r="L20" s="4"/>
    </row>
    <row r="21" spans="1:12" ht="13" customHeight="1" x14ac:dyDescent="0.25">
      <c r="A21" s="10">
        <v>45498</v>
      </c>
      <c r="B21" s="1" t="s">
        <v>6</v>
      </c>
      <c r="C21" s="3" t="s">
        <v>11</v>
      </c>
      <c r="D21" s="13"/>
      <c r="E21" s="4">
        <v>4484928</v>
      </c>
      <c r="G21" s="13">
        <f t="shared" si="0"/>
        <v>257260656</v>
      </c>
      <c r="H21" s="4"/>
      <c r="I21" s="4"/>
      <c r="J21" s="4"/>
      <c r="K21" s="4"/>
      <c r="L21" s="4"/>
    </row>
    <row r="22" spans="1:12" ht="13" customHeight="1" x14ac:dyDescent="0.25">
      <c r="A22" s="10">
        <v>45527</v>
      </c>
      <c r="B22" s="1" t="s">
        <v>6</v>
      </c>
      <c r="C22" s="3" t="s">
        <v>10</v>
      </c>
      <c r="D22" s="13"/>
      <c r="E22" s="4">
        <v>4525853</v>
      </c>
      <c r="G22" s="13">
        <f t="shared" si="0"/>
        <v>252734803</v>
      </c>
      <c r="H22" s="4"/>
      <c r="I22" s="4"/>
      <c r="J22" s="4"/>
      <c r="K22" s="4"/>
      <c r="L22" s="4"/>
    </row>
    <row r="23" spans="1:12" ht="13" customHeight="1" x14ac:dyDescent="0.25">
      <c r="A23" s="10">
        <v>45560</v>
      </c>
      <c r="B23" s="1" t="s">
        <v>6</v>
      </c>
      <c r="C23" s="3" t="s">
        <v>10</v>
      </c>
      <c r="D23" s="13"/>
      <c r="E23" s="4">
        <v>4567152</v>
      </c>
      <c r="G23" s="13">
        <f t="shared" si="0"/>
        <v>248167651</v>
      </c>
      <c r="H23" s="4"/>
      <c r="I23" s="4"/>
      <c r="J23" s="4"/>
      <c r="K23" s="4"/>
      <c r="L23" s="4"/>
    </row>
    <row r="24" spans="1:12" ht="13" customHeight="1" x14ac:dyDescent="0.25">
      <c r="A24" s="10">
        <v>45590</v>
      </c>
      <c r="B24" s="1" t="s">
        <v>6</v>
      </c>
      <c r="C24" s="3" t="s">
        <v>10</v>
      </c>
      <c r="D24" s="13"/>
      <c r="E24" s="4">
        <v>4608827</v>
      </c>
      <c r="G24" s="13">
        <f t="shared" si="0"/>
        <v>243558824</v>
      </c>
      <c r="H24" s="4"/>
      <c r="I24" s="4"/>
      <c r="J24" s="4"/>
      <c r="K24" s="4"/>
      <c r="L24" s="4"/>
    </row>
    <row r="25" spans="1:12" ht="13" customHeight="1" x14ac:dyDescent="0.25">
      <c r="A25" s="10">
        <v>45621</v>
      </c>
      <c r="B25" s="1" t="s">
        <v>6</v>
      </c>
      <c r="C25" s="3" t="s">
        <v>10</v>
      </c>
      <c r="D25" s="14"/>
      <c r="E25" s="14">
        <v>4650883</v>
      </c>
      <c r="F25" s="14"/>
      <c r="G25" s="7"/>
      <c r="H25" s="7"/>
      <c r="I25" s="7"/>
      <c r="J25" s="7"/>
      <c r="K25" s="7"/>
      <c r="L25" s="7"/>
    </row>
    <row r="26" spans="1:12" ht="13" customHeight="1" x14ac:dyDescent="0.25">
      <c r="A26" s="10">
        <v>45649</v>
      </c>
      <c r="B26" s="1" t="s">
        <v>6</v>
      </c>
      <c r="C26" s="3" t="s">
        <v>10</v>
      </c>
      <c r="D26" s="14"/>
      <c r="E26" s="14">
        <v>4693322</v>
      </c>
      <c r="F26" s="14"/>
      <c r="G26" s="7"/>
      <c r="H26" s="7"/>
      <c r="I26" s="7"/>
      <c r="J26" s="7"/>
      <c r="K26" s="7"/>
      <c r="L26" s="7"/>
    </row>
    <row r="27" spans="1:12" ht="13" customHeight="1" x14ac:dyDescent="0.25">
      <c r="C27" s="5"/>
      <c r="D27" s="14"/>
      <c r="E27" s="14"/>
      <c r="F27" s="14"/>
      <c r="G27" s="7"/>
      <c r="H27" s="7"/>
      <c r="I27" s="7"/>
      <c r="J27" s="7"/>
      <c r="K27" s="7"/>
      <c r="L27" s="7"/>
    </row>
    <row r="28" spans="1:12" x14ac:dyDescent="0.25">
      <c r="B28" s="2" t="s">
        <v>12</v>
      </c>
      <c r="C28" s="2"/>
      <c r="D28" s="12"/>
      <c r="E28" s="12"/>
      <c r="F28" s="12"/>
    </row>
    <row r="29" spans="1:12" x14ac:dyDescent="0.25">
      <c r="A29" s="9">
        <v>45292</v>
      </c>
      <c r="B29" s="1" t="s">
        <v>0</v>
      </c>
      <c r="C29" s="3" t="s">
        <v>1</v>
      </c>
      <c r="D29" s="13"/>
      <c r="E29" s="13"/>
      <c r="F29" s="13">
        <v>225192026</v>
      </c>
      <c r="G29" s="4"/>
      <c r="I29" s="4"/>
      <c r="J29" s="4"/>
      <c r="K29" s="4"/>
      <c r="L29" s="4"/>
    </row>
    <row r="30" spans="1:12" x14ac:dyDescent="0.25">
      <c r="A30" s="10">
        <v>45316</v>
      </c>
      <c r="B30" s="1" t="s">
        <v>0</v>
      </c>
      <c r="C30" s="3" t="s">
        <v>13</v>
      </c>
      <c r="D30" s="13"/>
      <c r="E30" s="4">
        <v>2962673</v>
      </c>
      <c r="F30" s="13"/>
      <c r="G30" s="17">
        <f>F29-E30</f>
        <v>222229353</v>
      </c>
      <c r="H30" s="4"/>
      <c r="I30" s="4"/>
      <c r="J30" s="4"/>
      <c r="K30" s="4"/>
      <c r="L30" s="4"/>
    </row>
    <row r="31" spans="1:12" ht="13" customHeight="1" x14ac:dyDescent="0.25">
      <c r="A31" s="10">
        <v>45345</v>
      </c>
      <c r="B31" s="1" t="s">
        <v>6</v>
      </c>
      <c r="C31" s="3" t="s">
        <v>13</v>
      </c>
      <c r="D31" s="13"/>
      <c r="E31" s="4">
        <v>2989708</v>
      </c>
      <c r="F31" s="13"/>
      <c r="G31" s="13">
        <f t="shared" ref="G31:G39" si="1">G30-E31</f>
        <v>219239645</v>
      </c>
      <c r="H31" s="4"/>
      <c r="I31" s="4"/>
      <c r="J31" s="4"/>
      <c r="K31" s="4"/>
      <c r="L31" s="4"/>
    </row>
    <row r="32" spans="1:12" ht="13" customHeight="1" x14ac:dyDescent="0.25">
      <c r="A32" s="10">
        <v>45376</v>
      </c>
      <c r="B32" s="1" t="s">
        <v>6</v>
      </c>
      <c r="C32" s="3" t="s">
        <v>13</v>
      </c>
      <c r="D32" s="13"/>
      <c r="E32" s="4">
        <v>3016989</v>
      </c>
      <c r="F32" s="13"/>
      <c r="G32" s="13">
        <f t="shared" si="1"/>
        <v>216222656</v>
      </c>
      <c r="H32" s="4"/>
      <c r="I32" s="4"/>
      <c r="J32" s="4"/>
      <c r="K32" s="4"/>
      <c r="L32" s="4"/>
    </row>
    <row r="33" spans="1:12" ht="13" customHeight="1" x14ac:dyDescent="0.25">
      <c r="A33" s="10">
        <v>45407</v>
      </c>
      <c r="B33" s="1" t="s">
        <v>6</v>
      </c>
      <c r="C33" s="3" t="s">
        <v>13</v>
      </c>
      <c r="D33" s="13"/>
      <c r="E33" s="4">
        <v>3044519</v>
      </c>
      <c r="F33" s="13"/>
      <c r="G33" s="13">
        <f t="shared" si="1"/>
        <v>213178137</v>
      </c>
      <c r="H33" s="4"/>
      <c r="I33" s="4"/>
      <c r="J33" s="4"/>
      <c r="K33" s="4"/>
      <c r="L33" s="4"/>
    </row>
    <row r="34" spans="1:12" ht="13" customHeight="1" x14ac:dyDescent="0.25">
      <c r="A34" s="10">
        <v>45434</v>
      </c>
      <c r="B34" s="1" t="s">
        <v>6</v>
      </c>
      <c r="C34" s="3" t="s">
        <v>13</v>
      </c>
      <c r="D34" s="13"/>
      <c r="E34" s="4">
        <v>3072300</v>
      </c>
      <c r="F34" s="13"/>
      <c r="G34" s="13">
        <f t="shared" si="1"/>
        <v>210105837</v>
      </c>
      <c r="H34" s="4"/>
      <c r="I34" s="4"/>
      <c r="J34" s="4"/>
      <c r="K34" s="4"/>
      <c r="L34" s="4"/>
    </row>
    <row r="35" spans="1:12" ht="13" customHeight="1" x14ac:dyDescent="0.25">
      <c r="A35" s="10">
        <v>45468</v>
      </c>
      <c r="B35" s="1" t="s">
        <v>6</v>
      </c>
      <c r="C35" s="3" t="s">
        <v>13</v>
      </c>
      <c r="D35" s="13"/>
      <c r="E35" s="4">
        <v>3100335</v>
      </c>
      <c r="F35" s="13"/>
      <c r="G35" s="13">
        <f t="shared" si="1"/>
        <v>207005502</v>
      </c>
      <c r="H35" s="4"/>
      <c r="I35" s="4"/>
      <c r="J35" s="4"/>
      <c r="K35" s="4"/>
      <c r="L35" s="4"/>
    </row>
    <row r="36" spans="1:12" ht="13" customHeight="1" x14ac:dyDescent="0.25">
      <c r="A36" s="10">
        <v>45498</v>
      </c>
      <c r="B36" s="1" t="s">
        <v>6</v>
      </c>
      <c r="C36" s="3" t="s">
        <v>13</v>
      </c>
      <c r="D36" s="13"/>
      <c r="E36" s="4">
        <v>3128625</v>
      </c>
      <c r="F36" s="13"/>
      <c r="G36" s="13">
        <f t="shared" si="1"/>
        <v>203876877</v>
      </c>
      <c r="H36" s="4"/>
      <c r="I36" s="4"/>
      <c r="J36" s="4"/>
      <c r="K36" s="4"/>
      <c r="L36" s="4"/>
    </row>
    <row r="37" spans="1:12" ht="13" customHeight="1" x14ac:dyDescent="0.25">
      <c r="A37" s="10">
        <v>45527</v>
      </c>
      <c r="B37" s="1" t="s">
        <v>6</v>
      </c>
      <c r="C37" s="3" t="s">
        <v>13</v>
      </c>
      <c r="D37" s="13"/>
      <c r="E37" s="4">
        <v>3157174</v>
      </c>
      <c r="F37" s="13"/>
      <c r="G37" s="13">
        <f t="shared" si="1"/>
        <v>200719703</v>
      </c>
      <c r="H37" s="4"/>
      <c r="I37" s="4"/>
      <c r="J37" s="4"/>
      <c r="K37" s="4"/>
      <c r="L37" s="4"/>
    </row>
    <row r="38" spans="1:12" ht="13" customHeight="1" x14ac:dyDescent="0.25">
      <c r="A38" s="10">
        <v>45560</v>
      </c>
      <c r="B38" s="1" t="s">
        <v>6</v>
      </c>
      <c r="C38" s="3" t="s">
        <v>13</v>
      </c>
      <c r="D38" s="13"/>
      <c r="E38" s="4">
        <v>3185983</v>
      </c>
      <c r="F38" s="13"/>
      <c r="G38" s="13">
        <f t="shared" si="1"/>
        <v>197533720</v>
      </c>
      <c r="H38" s="4"/>
      <c r="I38" s="4"/>
      <c r="J38" s="4"/>
      <c r="K38" s="4"/>
      <c r="L38" s="4"/>
    </row>
    <row r="39" spans="1:12" ht="13" customHeight="1" x14ac:dyDescent="0.25">
      <c r="A39" s="10">
        <v>45590</v>
      </c>
      <c r="B39" s="1" t="s">
        <v>6</v>
      </c>
      <c r="C39" s="3" t="s">
        <v>13</v>
      </c>
      <c r="D39" s="13"/>
      <c r="E39" s="4">
        <v>3215055</v>
      </c>
      <c r="F39" s="13"/>
      <c r="G39" s="13">
        <f t="shared" si="1"/>
        <v>194318665</v>
      </c>
      <c r="H39" s="4"/>
      <c r="I39" s="4"/>
      <c r="J39" s="4"/>
      <c r="K39" s="4"/>
      <c r="L39" s="4"/>
    </row>
    <row r="40" spans="1:12" ht="13" customHeight="1" x14ac:dyDescent="0.25">
      <c r="A40" s="10">
        <v>45621</v>
      </c>
      <c r="B40" s="1" t="s">
        <v>6</v>
      </c>
      <c r="C40" s="3" t="s">
        <v>13</v>
      </c>
      <c r="D40" s="13"/>
      <c r="E40" s="13">
        <v>3244393</v>
      </c>
      <c r="F40" s="13"/>
      <c r="H40" s="4"/>
      <c r="I40" s="4"/>
      <c r="J40" s="4"/>
      <c r="K40" s="4"/>
      <c r="L40" s="4"/>
    </row>
    <row r="41" spans="1:12" ht="13" customHeight="1" x14ac:dyDescent="0.25">
      <c r="A41" s="10">
        <v>45649</v>
      </c>
      <c r="B41" s="1" t="s">
        <v>6</v>
      </c>
      <c r="C41" s="3" t="s">
        <v>13</v>
      </c>
      <c r="D41" s="13"/>
      <c r="E41" s="13">
        <v>3273998</v>
      </c>
      <c r="F41" s="13"/>
      <c r="H41" s="4"/>
      <c r="I41" s="4"/>
      <c r="J41" s="4"/>
      <c r="K41" s="4"/>
      <c r="L41" s="4"/>
    </row>
    <row r="42" spans="1:12" ht="13" customHeight="1" x14ac:dyDescent="0.25">
      <c r="B42" s="1"/>
      <c r="C42" s="3"/>
      <c r="D42" s="13"/>
      <c r="E42" s="13"/>
      <c r="F42" s="13"/>
      <c r="H42" s="4"/>
      <c r="I42" s="4"/>
      <c r="J42" s="4"/>
      <c r="K42" s="4"/>
      <c r="L42" s="4"/>
    </row>
    <row r="43" spans="1:12" ht="13" customHeight="1" x14ac:dyDescent="0.25">
      <c r="B43" s="1"/>
      <c r="C43" s="3"/>
      <c r="D43" s="13"/>
      <c r="E43" s="13"/>
      <c r="F43" s="13"/>
      <c r="H43" s="4"/>
      <c r="I43" s="4"/>
      <c r="J43" s="4"/>
      <c r="K43" s="4"/>
      <c r="L43" s="4"/>
    </row>
    <row r="44" spans="1:12" x14ac:dyDescent="0.25">
      <c r="B44" s="2" t="s">
        <v>14</v>
      </c>
      <c r="C44" s="2"/>
      <c r="D44" s="12"/>
      <c r="E44" s="12"/>
      <c r="F44" s="12"/>
    </row>
    <row r="45" spans="1:12" x14ac:dyDescent="0.25">
      <c r="A45" s="9">
        <v>45292</v>
      </c>
      <c r="B45" s="1" t="s">
        <v>0</v>
      </c>
      <c r="C45" s="3" t="s">
        <v>1</v>
      </c>
      <c r="D45" s="13"/>
      <c r="E45" s="13"/>
      <c r="F45" s="4">
        <v>141784587</v>
      </c>
      <c r="I45" s="4"/>
      <c r="J45" s="4"/>
      <c r="K45" s="4"/>
      <c r="L45" s="4"/>
    </row>
    <row r="46" spans="1:12" x14ac:dyDescent="0.25">
      <c r="A46" s="10">
        <v>45316</v>
      </c>
      <c r="B46" s="1" t="s">
        <v>0</v>
      </c>
      <c r="C46" s="3" t="s">
        <v>15</v>
      </c>
      <c r="D46" s="13"/>
      <c r="E46" s="4">
        <v>2142894</v>
      </c>
      <c r="F46" s="13"/>
      <c r="G46" s="11">
        <f>F45-E46</f>
        <v>139641693</v>
      </c>
      <c r="H46" s="4"/>
      <c r="I46" s="4"/>
      <c r="J46" s="4"/>
      <c r="K46" s="4"/>
      <c r="L46" s="4"/>
    </row>
    <row r="47" spans="1:12" ht="13" customHeight="1" x14ac:dyDescent="0.25">
      <c r="A47" s="10">
        <v>45345</v>
      </c>
      <c r="B47" s="1" t="s">
        <v>6</v>
      </c>
      <c r="C47" s="3" t="s">
        <v>15</v>
      </c>
      <c r="D47" s="13"/>
      <c r="E47" s="4">
        <v>2162448</v>
      </c>
      <c r="F47" s="13"/>
      <c r="G47" s="11">
        <f>G46-E47</f>
        <v>137479245</v>
      </c>
      <c r="H47" s="4"/>
      <c r="I47" s="4"/>
      <c r="J47" s="4"/>
      <c r="K47" s="4"/>
      <c r="L47" s="4"/>
    </row>
    <row r="48" spans="1:12" ht="13" customHeight="1" x14ac:dyDescent="0.25">
      <c r="A48" s="10">
        <v>45376</v>
      </c>
      <c r="B48" s="1" t="s">
        <v>6</v>
      </c>
      <c r="C48" s="3" t="s">
        <v>15</v>
      </c>
      <c r="D48" s="13"/>
      <c r="E48" s="4">
        <v>2182180</v>
      </c>
      <c r="F48" s="13"/>
      <c r="G48" s="11">
        <f t="shared" ref="G48:G55" si="2">G47-E48</f>
        <v>135297065</v>
      </c>
      <c r="H48" s="4"/>
      <c r="I48" s="4"/>
      <c r="J48" s="4"/>
      <c r="K48" s="4"/>
      <c r="L48" s="4"/>
    </row>
    <row r="49" spans="1:12" ht="13" customHeight="1" x14ac:dyDescent="0.25">
      <c r="A49" s="10">
        <v>45407</v>
      </c>
      <c r="B49" s="1" t="s">
        <v>6</v>
      </c>
      <c r="C49" s="3" t="s">
        <v>15</v>
      </c>
      <c r="D49" s="13"/>
      <c r="E49" s="4">
        <v>2202093</v>
      </c>
      <c r="F49" s="13"/>
      <c r="G49" s="11">
        <f t="shared" si="2"/>
        <v>133094972</v>
      </c>
      <c r="H49" s="4"/>
      <c r="I49" s="4"/>
      <c r="J49" s="4"/>
      <c r="K49" s="4"/>
      <c r="L49" s="4"/>
    </row>
    <row r="50" spans="1:12" ht="13" customHeight="1" x14ac:dyDescent="0.25">
      <c r="A50" s="10">
        <v>45434</v>
      </c>
      <c r="B50" s="1" t="s">
        <v>6</v>
      </c>
      <c r="C50" s="3" t="s">
        <v>15</v>
      </c>
      <c r="D50" s="13"/>
      <c r="E50" s="4">
        <v>2222187</v>
      </c>
      <c r="F50" s="13"/>
      <c r="G50" s="11">
        <f t="shared" si="2"/>
        <v>130872785</v>
      </c>
      <c r="H50" s="4"/>
      <c r="I50" s="4"/>
      <c r="J50" s="4"/>
      <c r="K50" s="4"/>
      <c r="L50" s="4"/>
    </row>
    <row r="51" spans="1:12" ht="13" customHeight="1" x14ac:dyDescent="0.25">
      <c r="A51" s="10">
        <v>45468</v>
      </c>
      <c r="B51" s="1" t="s">
        <v>6</v>
      </c>
      <c r="C51" s="3" t="s">
        <v>15</v>
      </c>
      <c r="D51" s="13"/>
      <c r="E51" s="4">
        <v>2242464</v>
      </c>
      <c r="F51" s="13"/>
      <c r="G51" s="11">
        <f t="shared" si="2"/>
        <v>128630321</v>
      </c>
      <c r="H51" s="4"/>
      <c r="I51" s="4"/>
      <c r="J51" s="4"/>
      <c r="K51" s="4"/>
      <c r="L51" s="4"/>
    </row>
    <row r="52" spans="1:12" ht="13" customHeight="1" x14ac:dyDescent="0.25">
      <c r="A52" s="10">
        <v>45498</v>
      </c>
      <c r="B52" s="1" t="s">
        <v>6</v>
      </c>
      <c r="C52" s="3" t="s">
        <v>15</v>
      </c>
      <c r="D52" s="13"/>
      <c r="E52" s="4">
        <v>2262927</v>
      </c>
      <c r="F52" s="13"/>
      <c r="G52" s="11">
        <f t="shared" si="2"/>
        <v>126367394</v>
      </c>
      <c r="H52" s="4"/>
      <c r="I52" s="4"/>
      <c r="J52" s="4"/>
      <c r="K52" s="4"/>
      <c r="L52" s="4"/>
    </row>
    <row r="53" spans="1:12" ht="13" customHeight="1" x14ac:dyDescent="0.25">
      <c r="A53" s="10">
        <v>45527</v>
      </c>
      <c r="B53" s="1" t="s">
        <v>6</v>
      </c>
      <c r="C53" s="3" t="s">
        <v>15</v>
      </c>
      <c r="D53" s="13"/>
      <c r="E53" s="4">
        <v>2283576</v>
      </c>
      <c r="F53" s="13"/>
      <c r="G53" s="11">
        <f t="shared" si="2"/>
        <v>124083818</v>
      </c>
      <c r="H53" s="4"/>
      <c r="I53" s="4"/>
      <c r="J53" s="4"/>
      <c r="K53" s="4"/>
      <c r="L53" s="4"/>
    </row>
    <row r="54" spans="1:12" ht="13" customHeight="1" x14ac:dyDescent="0.25">
      <c r="A54" s="10">
        <v>45560</v>
      </c>
      <c r="B54" s="1" t="s">
        <v>6</v>
      </c>
      <c r="C54" s="3" t="s">
        <v>15</v>
      </c>
      <c r="D54" s="13"/>
      <c r="E54" s="4">
        <v>2304413</v>
      </c>
      <c r="F54" s="13"/>
      <c r="G54" s="11">
        <f t="shared" si="2"/>
        <v>121779405</v>
      </c>
      <c r="H54" s="4"/>
      <c r="I54" s="4"/>
      <c r="J54" s="4"/>
      <c r="K54" s="4"/>
      <c r="L54" s="4"/>
    </row>
    <row r="55" spans="1:12" ht="13" customHeight="1" x14ac:dyDescent="0.25">
      <c r="A55" s="10">
        <v>45590</v>
      </c>
      <c r="B55" s="1" t="s">
        <v>6</v>
      </c>
      <c r="C55" s="3" t="s">
        <v>15</v>
      </c>
      <c r="D55" s="13"/>
      <c r="E55" s="4">
        <v>2325441</v>
      </c>
      <c r="F55" s="13"/>
      <c r="G55" s="11">
        <f t="shared" si="2"/>
        <v>119453964</v>
      </c>
      <c r="H55" s="4"/>
      <c r="I55" s="4"/>
      <c r="J55" s="4"/>
      <c r="K55" s="4"/>
      <c r="L55" s="4"/>
    </row>
    <row r="56" spans="1:12" ht="13" customHeight="1" x14ac:dyDescent="0.25">
      <c r="A56" s="10">
        <v>45621</v>
      </c>
      <c r="B56" s="1" t="s">
        <v>6</v>
      </c>
      <c r="C56" s="3" t="s">
        <v>15</v>
      </c>
      <c r="D56" s="13"/>
      <c r="E56" s="13">
        <v>2346661</v>
      </c>
      <c r="F56" s="13"/>
      <c r="H56" s="4"/>
      <c r="I56" s="4"/>
      <c r="J56" s="4"/>
      <c r="K56" s="4"/>
      <c r="L56" s="4"/>
    </row>
    <row r="57" spans="1:12" ht="13" customHeight="1" x14ac:dyDescent="0.25">
      <c r="A57" s="10">
        <v>45649</v>
      </c>
      <c r="B57" s="1" t="s">
        <v>6</v>
      </c>
      <c r="C57" s="3" t="s">
        <v>15</v>
      </c>
      <c r="D57" s="13"/>
      <c r="E57" s="13">
        <v>2368074</v>
      </c>
      <c r="F57" s="13"/>
      <c r="H57" s="4"/>
      <c r="I57" s="4"/>
      <c r="J57" s="4"/>
      <c r="K57" s="4"/>
      <c r="L57" s="4"/>
    </row>
    <row r="58" spans="1:12" ht="13" customHeight="1" x14ac:dyDescent="0.25">
      <c r="B58" s="1"/>
      <c r="C58" s="3"/>
      <c r="D58" s="13"/>
      <c r="E58" s="13"/>
      <c r="F58" s="13"/>
      <c r="H58" s="4"/>
      <c r="I58" s="4"/>
      <c r="J58" s="4"/>
      <c r="K58" s="4"/>
      <c r="L58" s="4"/>
    </row>
    <row r="59" spans="1:12" x14ac:dyDescent="0.25">
      <c r="B59" s="2" t="s">
        <v>16</v>
      </c>
      <c r="C59" s="2"/>
      <c r="D59" s="12"/>
      <c r="E59" s="12"/>
      <c r="F59" s="12"/>
    </row>
    <row r="60" spans="1:12" x14ac:dyDescent="0.25">
      <c r="A60" s="9">
        <v>45292</v>
      </c>
      <c r="B60" s="1" t="s">
        <v>0</v>
      </c>
      <c r="C60" s="3" t="s">
        <v>1</v>
      </c>
      <c r="D60" s="13"/>
      <c r="E60" s="13"/>
      <c r="F60" s="13">
        <v>21230965</v>
      </c>
      <c r="H60" s="4"/>
      <c r="I60" s="4"/>
      <c r="J60" s="4"/>
      <c r="K60" s="4"/>
      <c r="L60" s="4"/>
    </row>
    <row r="61" spans="1:12" ht="26" x14ac:dyDescent="0.25">
      <c r="A61" s="10">
        <v>45316</v>
      </c>
      <c r="B61" s="1" t="s">
        <v>0</v>
      </c>
      <c r="C61" s="3" t="s">
        <v>17</v>
      </c>
      <c r="D61" s="13"/>
      <c r="E61" s="4">
        <v>5235641</v>
      </c>
      <c r="F61" s="13"/>
      <c r="G61" s="16">
        <f>F60-E61</f>
        <v>15995324</v>
      </c>
      <c r="H61" s="4"/>
      <c r="I61" s="4"/>
      <c r="J61" s="4"/>
      <c r="K61" s="4"/>
      <c r="L61" s="4"/>
    </row>
    <row r="62" spans="1:12" ht="13" customHeight="1" x14ac:dyDescent="0.25">
      <c r="A62" s="10">
        <v>45345</v>
      </c>
      <c r="B62" s="1" t="s">
        <v>6</v>
      </c>
      <c r="C62" s="3" t="s">
        <v>17</v>
      </c>
      <c r="D62" s="13"/>
      <c r="E62" s="4">
        <v>5283417</v>
      </c>
      <c r="F62" s="13"/>
      <c r="G62" s="16">
        <f>G61-E62</f>
        <v>10711907</v>
      </c>
      <c r="H62" s="4"/>
      <c r="I62" s="4"/>
      <c r="J62" s="4"/>
      <c r="K62" s="4"/>
      <c r="L62" s="4"/>
    </row>
    <row r="63" spans="1:12" ht="13" customHeight="1" x14ac:dyDescent="0.25">
      <c r="A63" s="10">
        <v>45376</v>
      </c>
      <c r="B63" s="1" t="s">
        <v>6</v>
      </c>
      <c r="C63" s="3" t="s">
        <v>17</v>
      </c>
      <c r="D63" s="13"/>
      <c r="E63" s="4">
        <v>5331628</v>
      </c>
      <c r="F63" s="13"/>
      <c r="G63" s="16">
        <f t="shared" ref="G63:G64" si="3">G62-E63</f>
        <v>5380279</v>
      </c>
      <c r="H63" s="4"/>
      <c r="I63" s="4"/>
      <c r="J63" s="4"/>
      <c r="K63" s="4"/>
      <c r="L63" s="4"/>
    </row>
    <row r="64" spans="1:12" ht="13" customHeight="1" x14ac:dyDescent="0.25">
      <c r="A64" s="10">
        <v>45407</v>
      </c>
      <c r="B64" s="1" t="s">
        <v>6</v>
      </c>
      <c r="C64" s="3" t="s">
        <v>17</v>
      </c>
      <c r="D64" s="13"/>
      <c r="E64" s="4">
        <v>5380279</v>
      </c>
      <c r="F64" s="13"/>
      <c r="G64" s="16">
        <f t="shared" si="3"/>
        <v>0</v>
      </c>
      <c r="H64" s="4"/>
      <c r="I64" s="4"/>
      <c r="J64" s="4"/>
      <c r="K64" s="4"/>
      <c r="L64" s="4"/>
    </row>
    <row r="65" spans="1:12" x14ac:dyDescent="0.25">
      <c r="B65" s="2" t="s">
        <v>21</v>
      </c>
      <c r="C65" s="2"/>
      <c r="D65" s="12"/>
      <c r="E65" s="12"/>
      <c r="F65" s="12"/>
    </row>
    <row r="66" spans="1:12" x14ac:dyDescent="0.25">
      <c r="A66" s="9">
        <v>45292</v>
      </c>
      <c r="B66" s="1" t="s">
        <v>0</v>
      </c>
      <c r="C66" s="3" t="s">
        <v>1</v>
      </c>
      <c r="D66" s="13"/>
      <c r="E66" s="13"/>
      <c r="F66" s="13">
        <v>136985065</v>
      </c>
      <c r="H66" s="4"/>
      <c r="I66" s="4"/>
      <c r="J66" s="4"/>
      <c r="K66" s="4"/>
      <c r="L66" s="4"/>
    </row>
    <row r="67" spans="1:12" ht="13" customHeight="1" x14ac:dyDescent="0.25">
      <c r="A67" s="10">
        <v>45316</v>
      </c>
      <c r="B67" s="1" t="s">
        <v>6</v>
      </c>
      <c r="C67" s="3" t="s">
        <v>22</v>
      </c>
      <c r="D67" s="13"/>
      <c r="E67" s="4">
        <v>3454452</v>
      </c>
      <c r="F67" s="13"/>
      <c r="G67" s="16">
        <f>F66-E67</f>
        <v>133530613</v>
      </c>
      <c r="H67" s="4"/>
      <c r="I67" s="4"/>
      <c r="J67" s="4"/>
      <c r="K67" s="4"/>
      <c r="L67" s="4"/>
    </row>
    <row r="68" spans="1:12" ht="13" customHeight="1" x14ac:dyDescent="0.25">
      <c r="A68" s="10">
        <v>45345</v>
      </c>
      <c r="B68" s="1" t="s">
        <v>6</v>
      </c>
      <c r="C68" s="3" t="s">
        <v>22</v>
      </c>
      <c r="D68" s="13"/>
      <c r="E68" s="4">
        <v>3485974</v>
      </c>
      <c r="F68" s="13"/>
      <c r="G68" s="16">
        <f>G67-E68</f>
        <v>130044639</v>
      </c>
      <c r="H68" s="4"/>
      <c r="I68" s="4"/>
      <c r="J68" s="4"/>
      <c r="K68" s="4"/>
      <c r="L68" s="4"/>
    </row>
    <row r="69" spans="1:12" ht="13" customHeight="1" x14ac:dyDescent="0.25">
      <c r="A69" s="10">
        <v>45376</v>
      </c>
      <c r="B69" s="1" t="s">
        <v>6</v>
      </c>
      <c r="C69" s="3" t="s">
        <v>22</v>
      </c>
      <c r="D69" s="13"/>
      <c r="E69" s="4">
        <v>3517784</v>
      </c>
      <c r="F69" s="13"/>
      <c r="G69" s="16">
        <f t="shared" ref="G69:G76" si="4">G68-E69</f>
        <v>126526855</v>
      </c>
      <c r="H69" s="4"/>
      <c r="I69" s="4"/>
      <c r="J69" s="4"/>
      <c r="K69" s="4"/>
      <c r="L69" s="4"/>
    </row>
    <row r="70" spans="1:12" ht="13" customHeight="1" x14ac:dyDescent="0.25">
      <c r="A70" s="10">
        <v>45407</v>
      </c>
      <c r="B70" s="1" t="s">
        <v>6</v>
      </c>
      <c r="C70" s="3" t="s">
        <v>22</v>
      </c>
      <c r="D70" s="13"/>
      <c r="E70" s="4">
        <v>3549883</v>
      </c>
      <c r="F70" s="13"/>
      <c r="G70" s="16">
        <f t="shared" si="4"/>
        <v>122976972</v>
      </c>
      <c r="H70" s="4"/>
      <c r="I70" s="4"/>
      <c r="J70" s="4"/>
      <c r="K70" s="4"/>
      <c r="L70" s="4"/>
    </row>
    <row r="71" spans="1:12" ht="13" customHeight="1" x14ac:dyDescent="0.25">
      <c r="A71" s="10">
        <v>45434</v>
      </c>
      <c r="B71" s="1" t="s">
        <v>6</v>
      </c>
      <c r="C71" s="3" t="s">
        <v>22</v>
      </c>
      <c r="D71" s="13"/>
      <c r="E71" s="4">
        <v>3582276</v>
      </c>
      <c r="F71" s="13"/>
      <c r="G71" s="16">
        <f t="shared" si="4"/>
        <v>119394696</v>
      </c>
      <c r="H71" s="4"/>
      <c r="I71" s="4"/>
      <c r="J71" s="4"/>
      <c r="K71" s="4"/>
      <c r="L71" s="4"/>
    </row>
    <row r="72" spans="1:12" ht="13" customHeight="1" x14ac:dyDescent="0.25">
      <c r="A72" s="10">
        <v>45468</v>
      </c>
      <c r="B72" s="1" t="s">
        <v>6</v>
      </c>
      <c r="C72" s="3" t="s">
        <v>22</v>
      </c>
      <c r="D72" s="13"/>
      <c r="E72" s="4">
        <v>3614964</v>
      </c>
      <c r="F72" s="13"/>
      <c r="G72" s="16">
        <f t="shared" si="4"/>
        <v>115779732</v>
      </c>
      <c r="H72" s="4"/>
      <c r="I72" s="4"/>
      <c r="J72" s="4"/>
      <c r="K72" s="4"/>
      <c r="L72" s="4"/>
    </row>
    <row r="73" spans="1:12" ht="13" customHeight="1" x14ac:dyDescent="0.25">
      <c r="A73" s="10">
        <v>45498</v>
      </c>
      <c r="B73" s="1" t="s">
        <v>6</v>
      </c>
      <c r="C73" s="3" t="s">
        <v>22</v>
      </c>
      <c r="D73" s="13"/>
      <c r="E73" s="4">
        <v>3647951</v>
      </c>
      <c r="F73" s="13"/>
      <c r="G73" s="16">
        <f t="shared" si="4"/>
        <v>112131781</v>
      </c>
      <c r="H73" s="4"/>
      <c r="I73" s="4"/>
      <c r="J73" s="4"/>
      <c r="K73" s="4"/>
      <c r="L73" s="4"/>
    </row>
    <row r="74" spans="1:12" ht="13" customHeight="1" x14ac:dyDescent="0.25">
      <c r="A74" s="10">
        <v>45527</v>
      </c>
      <c r="B74" s="1" t="s">
        <v>6</v>
      </c>
      <c r="C74" s="3" t="s">
        <v>22</v>
      </c>
      <c r="D74" s="13"/>
      <c r="E74" s="4">
        <v>3681239</v>
      </c>
      <c r="F74" s="13"/>
      <c r="G74" s="16">
        <f t="shared" si="4"/>
        <v>108450542</v>
      </c>
      <c r="H74" s="4"/>
      <c r="I74" s="4"/>
      <c r="J74" s="4"/>
      <c r="K74" s="4"/>
      <c r="L74" s="4"/>
    </row>
    <row r="75" spans="1:12" ht="13" customHeight="1" x14ac:dyDescent="0.25">
      <c r="A75" s="10">
        <v>45560</v>
      </c>
      <c r="B75" s="1" t="s">
        <v>6</v>
      </c>
      <c r="C75" s="3" t="s">
        <v>22</v>
      </c>
      <c r="D75" s="13"/>
      <c r="E75" s="4">
        <v>3714830</v>
      </c>
      <c r="F75" s="13"/>
      <c r="G75" s="16">
        <f t="shared" si="4"/>
        <v>104735712</v>
      </c>
      <c r="H75" s="4"/>
      <c r="I75" s="4"/>
      <c r="J75" s="4"/>
      <c r="K75" s="4"/>
      <c r="L75" s="4"/>
    </row>
    <row r="76" spans="1:12" ht="13" customHeight="1" x14ac:dyDescent="0.25">
      <c r="A76" s="10">
        <v>45590</v>
      </c>
      <c r="B76" s="1" t="s">
        <v>6</v>
      </c>
      <c r="C76" s="3" t="s">
        <v>22</v>
      </c>
      <c r="D76" s="13"/>
      <c r="E76" s="4">
        <v>3748728</v>
      </c>
      <c r="F76" s="13"/>
      <c r="G76" s="16">
        <f t="shared" si="4"/>
        <v>100986984</v>
      </c>
      <c r="H76" s="4"/>
      <c r="I76" s="4"/>
      <c r="J76" s="4"/>
      <c r="K76" s="4"/>
      <c r="L76" s="4"/>
    </row>
    <row r="77" spans="1:12" ht="13" customHeight="1" x14ac:dyDescent="0.25">
      <c r="A77" s="10">
        <v>45621</v>
      </c>
      <c r="B77" s="1" t="s">
        <v>6</v>
      </c>
      <c r="C77" s="3" t="s">
        <v>22</v>
      </c>
      <c r="D77" s="13"/>
      <c r="E77" s="4">
        <v>3782935</v>
      </c>
      <c r="F77" s="13"/>
      <c r="G77" s="16"/>
      <c r="H77" s="4"/>
      <c r="I77" s="4"/>
      <c r="J77" s="4"/>
      <c r="K77" s="4"/>
      <c r="L77" s="4"/>
    </row>
    <row r="78" spans="1:12" ht="13" customHeight="1" x14ac:dyDescent="0.25">
      <c r="A78" s="10">
        <v>45649</v>
      </c>
      <c r="B78" s="1" t="s">
        <v>6</v>
      </c>
      <c r="C78" s="3" t="s">
        <v>22</v>
      </c>
      <c r="D78" s="13"/>
      <c r="E78" s="4">
        <v>3817454</v>
      </c>
      <c r="F78" s="13"/>
      <c r="G78" s="16"/>
      <c r="H78" s="4"/>
      <c r="I78" s="4"/>
      <c r="J78" s="4"/>
      <c r="K78" s="4"/>
      <c r="L78" s="4"/>
    </row>
    <row r="79" spans="1:12" x14ac:dyDescent="0.25">
      <c r="B79" s="2" t="s">
        <v>23</v>
      </c>
      <c r="C79" s="2"/>
      <c r="D79" s="12"/>
      <c r="E79" s="12"/>
      <c r="F79" s="12"/>
    </row>
    <row r="80" spans="1:12" x14ac:dyDescent="0.25">
      <c r="A80" s="9">
        <v>45292</v>
      </c>
      <c r="B80" s="1" t="s">
        <v>0</v>
      </c>
      <c r="C80" s="3" t="s">
        <v>1</v>
      </c>
      <c r="D80" s="13"/>
      <c r="E80" s="13"/>
      <c r="F80" s="13">
        <v>10756473</v>
      </c>
      <c r="G80" s="4"/>
      <c r="I80" s="4"/>
      <c r="J80" s="4"/>
      <c r="K80" s="4"/>
      <c r="L80" s="4"/>
    </row>
    <row r="81" spans="1:12" x14ac:dyDescent="0.25">
      <c r="A81" s="10">
        <v>45316</v>
      </c>
      <c r="B81" s="1" t="s">
        <v>0</v>
      </c>
      <c r="C81" s="3" t="s">
        <v>24</v>
      </c>
      <c r="D81" s="13"/>
      <c r="E81" s="4">
        <v>852271</v>
      </c>
      <c r="F81" s="13"/>
      <c r="G81" s="16">
        <f>F80-E81</f>
        <v>9904202</v>
      </c>
      <c r="H81" s="4"/>
      <c r="I81" s="4"/>
      <c r="J81" s="4"/>
      <c r="K81" s="4"/>
      <c r="L81" s="4"/>
    </row>
    <row r="82" spans="1:12" ht="13" customHeight="1" x14ac:dyDescent="0.25">
      <c r="A82" s="10">
        <v>45345</v>
      </c>
      <c r="B82" s="1" t="s">
        <v>6</v>
      </c>
      <c r="C82" s="3" t="s">
        <v>24</v>
      </c>
      <c r="D82" s="13"/>
      <c r="E82" s="4">
        <v>860048</v>
      </c>
      <c r="F82" s="13"/>
      <c r="G82" s="16">
        <f>G81-E82</f>
        <v>9044154</v>
      </c>
      <c r="H82" s="4"/>
      <c r="I82" s="4"/>
      <c r="J82" s="4"/>
      <c r="K82" s="4"/>
      <c r="L82" s="4"/>
    </row>
    <row r="83" spans="1:12" ht="13" customHeight="1" x14ac:dyDescent="0.25">
      <c r="A83" s="10">
        <v>45376</v>
      </c>
      <c r="B83" s="1" t="s">
        <v>6</v>
      </c>
      <c r="C83" s="3" t="s">
        <v>24</v>
      </c>
      <c r="D83" s="13"/>
      <c r="E83" s="4">
        <v>867896</v>
      </c>
      <c r="F83" s="13"/>
      <c r="G83" s="16">
        <f t="shared" ref="G83:G90" si="5">G82-E83</f>
        <v>8176258</v>
      </c>
      <c r="H83" s="4"/>
      <c r="I83" s="4"/>
      <c r="J83" s="4"/>
      <c r="K83" s="4"/>
      <c r="L83" s="4"/>
    </row>
    <row r="84" spans="1:12" ht="13" customHeight="1" x14ac:dyDescent="0.25">
      <c r="A84" s="10">
        <v>45407</v>
      </c>
      <c r="B84" s="1" t="s">
        <v>6</v>
      </c>
      <c r="C84" s="3" t="s">
        <v>24</v>
      </c>
      <c r="D84" s="13"/>
      <c r="E84" s="4">
        <v>875816</v>
      </c>
      <c r="F84" s="13"/>
      <c r="G84" s="16">
        <f t="shared" si="5"/>
        <v>7300442</v>
      </c>
      <c r="H84" s="4"/>
      <c r="I84" s="4"/>
      <c r="J84" s="4"/>
      <c r="K84" s="4"/>
      <c r="L84" s="4"/>
    </row>
    <row r="85" spans="1:12" ht="13" customHeight="1" x14ac:dyDescent="0.25">
      <c r="A85" s="10">
        <v>45434</v>
      </c>
      <c r="B85" s="1" t="s">
        <v>6</v>
      </c>
      <c r="C85" s="3" t="s">
        <v>24</v>
      </c>
      <c r="D85" s="13"/>
      <c r="E85" s="4">
        <v>883807</v>
      </c>
      <c r="F85" s="13"/>
      <c r="G85" s="16">
        <f t="shared" si="5"/>
        <v>6416635</v>
      </c>
      <c r="H85" s="4"/>
      <c r="I85" s="4"/>
      <c r="J85" s="4"/>
      <c r="K85" s="4"/>
      <c r="L85" s="4"/>
    </row>
    <row r="86" spans="1:12" ht="13" customHeight="1" x14ac:dyDescent="0.25">
      <c r="A86" s="10">
        <v>45468</v>
      </c>
      <c r="B86" s="1" t="s">
        <v>6</v>
      </c>
      <c r="C86" s="3" t="s">
        <v>24</v>
      </c>
      <c r="D86" s="13"/>
      <c r="E86" s="4">
        <v>891872</v>
      </c>
      <c r="F86" s="13"/>
      <c r="G86" s="16">
        <f t="shared" si="5"/>
        <v>5524763</v>
      </c>
      <c r="H86" s="4"/>
      <c r="I86" s="4"/>
      <c r="J86" s="4"/>
      <c r="K86" s="4"/>
      <c r="L86" s="4"/>
    </row>
    <row r="87" spans="1:12" ht="13" customHeight="1" x14ac:dyDescent="0.25">
      <c r="A87" s="10">
        <v>45498</v>
      </c>
      <c r="B87" s="1" t="s">
        <v>6</v>
      </c>
      <c r="C87" s="3" t="s">
        <v>24</v>
      </c>
      <c r="D87" s="13"/>
      <c r="E87" s="4">
        <v>900011</v>
      </c>
      <c r="F87" s="13"/>
      <c r="G87" s="16">
        <f t="shared" si="5"/>
        <v>4624752</v>
      </c>
      <c r="H87" s="4"/>
      <c r="I87" s="4"/>
      <c r="J87" s="4"/>
      <c r="K87" s="4"/>
      <c r="L87" s="4"/>
    </row>
    <row r="88" spans="1:12" ht="13" customHeight="1" x14ac:dyDescent="0.25">
      <c r="A88" s="10">
        <v>45527</v>
      </c>
      <c r="B88" s="1" t="s">
        <v>6</v>
      </c>
      <c r="C88" s="3" t="s">
        <v>24</v>
      </c>
      <c r="D88" s="13"/>
      <c r="E88" s="4">
        <v>908223</v>
      </c>
      <c r="F88" s="13"/>
      <c r="G88" s="16">
        <f t="shared" si="5"/>
        <v>3716529</v>
      </c>
      <c r="H88" s="4"/>
      <c r="I88" s="4"/>
      <c r="J88" s="4"/>
      <c r="K88" s="4"/>
      <c r="L88" s="4"/>
    </row>
    <row r="89" spans="1:12" ht="13" customHeight="1" x14ac:dyDescent="0.25">
      <c r="A89" s="10">
        <v>45560</v>
      </c>
      <c r="B89" s="1" t="s">
        <v>6</v>
      </c>
      <c r="C89" s="3" t="s">
        <v>24</v>
      </c>
      <c r="D89" s="13"/>
      <c r="E89" s="4">
        <v>916511</v>
      </c>
      <c r="F89" s="13"/>
      <c r="G89" s="16">
        <f t="shared" si="5"/>
        <v>2800018</v>
      </c>
      <c r="H89" s="4"/>
      <c r="I89" s="4"/>
      <c r="J89" s="4"/>
      <c r="K89" s="4"/>
      <c r="L89" s="4"/>
    </row>
    <row r="90" spans="1:12" ht="13" customHeight="1" x14ac:dyDescent="0.25">
      <c r="A90" s="10">
        <v>45590</v>
      </c>
      <c r="B90" s="1" t="s">
        <v>6</v>
      </c>
      <c r="C90" s="3" t="s">
        <v>24</v>
      </c>
      <c r="D90" s="13"/>
      <c r="E90" s="4">
        <v>924874</v>
      </c>
      <c r="F90" s="13"/>
      <c r="G90" s="16">
        <f t="shared" si="5"/>
        <v>1875144</v>
      </c>
      <c r="H90" s="4"/>
      <c r="I90" s="4"/>
      <c r="J90" s="4"/>
      <c r="K90" s="4"/>
      <c r="L90" s="4"/>
    </row>
    <row r="91" spans="1:12" ht="13" customHeight="1" x14ac:dyDescent="0.25">
      <c r="A91" s="10">
        <v>45986</v>
      </c>
      <c r="B91" s="1" t="s">
        <v>6</v>
      </c>
      <c r="C91" s="3" t="s">
        <v>24</v>
      </c>
      <c r="D91" s="13"/>
      <c r="E91" s="13">
        <v>933313</v>
      </c>
      <c r="F91" s="13"/>
      <c r="H91" s="4"/>
      <c r="I91" s="4"/>
      <c r="J91" s="4"/>
      <c r="K91" s="4"/>
      <c r="L91" s="4"/>
    </row>
    <row r="92" spans="1:12" ht="13" customHeight="1" x14ac:dyDescent="0.25">
      <c r="A92" s="10">
        <v>45649</v>
      </c>
      <c r="B92" s="1" t="s">
        <v>6</v>
      </c>
      <c r="C92" s="3" t="s">
        <v>24</v>
      </c>
      <c r="D92" s="14"/>
      <c r="E92" s="14">
        <v>941831</v>
      </c>
      <c r="F92" s="14"/>
      <c r="G92" s="7"/>
      <c r="H92" s="7"/>
      <c r="I92" s="7"/>
      <c r="J92" s="7"/>
      <c r="K92" s="7"/>
      <c r="L92" s="7"/>
    </row>
    <row r="93" spans="1:12" x14ac:dyDescent="0.25">
      <c r="B93" s="2" t="s">
        <v>25</v>
      </c>
      <c r="C93" s="2"/>
      <c r="D93" s="12"/>
      <c r="E93" s="12"/>
      <c r="F93" s="12"/>
    </row>
    <row r="94" spans="1:12" x14ac:dyDescent="0.25">
      <c r="A94" s="9">
        <v>45292</v>
      </c>
      <c r="B94" s="1" t="s">
        <v>0</v>
      </c>
      <c r="C94" s="3" t="s">
        <v>1</v>
      </c>
      <c r="D94" s="13"/>
      <c r="E94" s="13"/>
      <c r="F94" s="13">
        <v>155726794</v>
      </c>
      <c r="G94" s="4"/>
      <c r="I94" s="4"/>
      <c r="J94" s="4"/>
      <c r="K94" s="4"/>
      <c r="L94" s="4"/>
    </row>
    <row r="95" spans="1:12" x14ac:dyDescent="0.25">
      <c r="A95" s="10">
        <v>45316</v>
      </c>
      <c r="B95" s="1" t="s">
        <v>0</v>
      </c>
      <c r="C95" s="3" t="s">
        <v>26</v>
      </c>
      <c r="D95" s="13"/>
      <c r="E95" s="4">
        <v>7132809</v>
      </c>
      <c r="F95" s="13"/>
      <c r="G95" s="16">
        <f>F94-E95</f>
        <v>148593985</v>
      </c>
      <c r="H95" s="4"/>
      <c r="I95" s="4"/>
      <c r="J95" s="4"/>
      <c r="K95" s="4"/>
      <c r="L95" s="4"/>
    </row>
    <row r="96" spans="1:12" ht="13" customHeight="1" x14ac:dyDescent="0.25">
      <c r="A96" s="10">
        <v>45345</v>
      </c>
      <c r="B96" s="1" t="s">
        <v>6</v>
      </c>
      <c r="C96" s="3" t="s">
        <v>26</v>
      </c>
      <c r="D96" s="13"/>
      <c r="E96" s="4">
        <v>7197896</v>
      </c>
      <c r="F96" s="13"/>
      <c r="G96" s="16">
        <f>G95-E96</f>
        <v>141396089</v>
      </c>
      <c r="H96" s="4"/>
      <c r="I96" s="4"/>
      <c r="J96" s="4"/>
      <c r="K96" s="4"/>
      <c r="L96" s="4"/>
    </row>
    <row r="97" spans="1:12" ht="13" customHeight="1" x14ac:dyDescent="0.25">
      <c r="A97" s="10">
        <v>45376</v>
      </c>
      <c r="B97" s="1" t="s">
        <v>6</v>
      </c>
      <c r="C97" s="3" t="s">
        <v>26</v>
      </c>
      <c r="D97" s="13"/>
      <c r="E97" s="4">
        <v>7263576</v>
      </c>
      <c r="F97" s="13"/>
      <c r="G97" s="16">
        <f t="shared" ref="G97:G103" si="6">G96-E97</f>
        <v>134132513</v>
      </c>
      <c r="H97" s="4"/>
      <c r="I97" s="4"/>
      <c r="J97" s="4"/>
      <c r="K97" s="4"/>
      <c r="L97" s="4"/>
    </row>
    <row r="98" spans="1:12" ht="13" customHeight="1" x14ac:dyDescent="0.25">
      <c r="A98" s="10">
        <v>45407</v>
      </c>
      <c r="B98" s="1" t="s">
        <v>6</v>
      </c>
      <c r="C98" s="3" t="s">
        <v>26</v>
      </c>
      <c r="D98" s="13"/>
      <c r="E98" s="4">
        <v>7329857</v>
      </c>
      <c r="F98" s="13"/>
      <c r="G98" s="16">
        <f t="shared" si="6"/>
        <v>126802656</v>
      </c>
      <c r="H98" s="4"/>
      <c r="I98" s="4"/>
      <c r="J98" s="4"/>
      <c r="K98" s="4"/>
      <c r="L98" s="4"/>
    </row>
    <row r="99" spans="1:12" ht="13" customHeight="1" x14ac:dyDescent="0.25">
      <c r="A99" s="10">
        <v>45434</v>
      </c>
      <c r="B99" s="1" t="s">
        <v>6</v>
      </c>
      <c r="C99" s="3" t="s">
        <v>26</v>
      </c>
      <c r="D99" s="13"/>
      <c r="E99" s="4">
        <v>7396741</v>
      </c>
      <c r="F99" s="13"/>
      <c r="G99" s="16">
        <f t="shared" si="6"/>
        <v>119405915</v>
      </c>
      <c r="H99" s="4"/>
      <c r="I99" s="4"/>
      <c r="J99" s="4"/>
      <c r="K99" s="4"/>
      <c r="L99" s="4"/>
    </row>
    <row r="100" spans="1:12" ht="13" customHeight="1" x14ac:dyDescent="0.25">
      <c r="A100" s="10">
        <v>45468</v>
      </c>
      <c r="B100" s="1" t="s">
        <v>6</v>
      </c>
      <c r="C100" s="3" t="s">
        <v>26</v>
      </c>
      <c r="D100" s="13"/>
      <c r="E100" s="4">
        <v>7464237</v>
      </c>
      <c r="F100" s="13"/>
      <c r="G100" s="16">
        <f t="shared" si="6"/>
        <v>111941678</v>
      </c>
      <c r="H100" s="4"/>
      <c r="I100" s="4"/>
      <c r="J100" s="4"/>
      <c r="K100" s="4"/>
      <c r="L100" s="4"/>
    </row>
    <row r="101" spans="1:12" ht="13" customHeight="1" x14ac:dyDescent="0.25">
      <c r="A101" s="10">
        <v>45498</v>
      </c>
      <c r="B101" s="1" t="s">
        <v>6</v>
      </c>
      <c r="C101" s="3" t="s">
        <v>26</v>
      </c>
      <c r="D101" s="13"/>
      <c r="E101" s="4">
        <v>7532348</v>
      </c>
      <c r="F101" s="13"/>
      <c r="G101" s="16">
        <f t="shared" si="6"/>
        <v>104409330</v>
      </c>
      <c r="H101" s="4"/>
      <c r="I101" s="4"/>
      <c r="J101" s="4"/>
      <c r="K101" s="4"/>
      <c r="L101" s="4"/>
    </row>
    <row r="102" spans="1:12" ht="13" customHeight="1" x14ac:dyDescent="0.25">
      <c r="A102" s="10">
        <v>45527</v>
      </c>
      <c r="B102" s="1" t="s">
        <v>6</v>
      </c>
      <c r="C102" s="3" t="s">
        <v>26</v>
      </c>
      <c r="D102" s="13"/>
      <c r="E102" s="4">
        <v>7601081</v>
      </c>
      <c r="F102" s="13"/>
      <c r="G102" s="16">
        <f t="shared" si="6"/>
        <v>96808249</v>
      </c>
      <c r="H102" s="4"/>
      <c r="I102" s="4"/>
      <c r="J102" s="4"/>
      <c r="K102" s="4"/>
      <c r="L102" s="4"/>
    </row>
    <row r="103" spans="1:12" ht="13" customHeight="1" x14ac:dyDescent="0.25">
      <c r="A103" s="10">
        <v>45560</v>
      </c>
      <c r="B103" s="1" t="s">
        <v>6</v>
      </c>
      <c r="C103" s="3" t="s">
        <v>27</v>
      </c>
      <c r="D103" s="13"/>
      <c r="E103" s="4">
        <v>96808247</v>
      </c>
      <c r="F103" s="13"/>
      <c r="G103" s="16">
        <f t="shared" si="6"/>
        <v>2</v>
      </c>
      <c r="H103" s="4"/>
      <c r="I103" s="4"/>
      <c r="J103" s="4"/>
      <c r="K103" s="4"/>
      <c r="L103" s="4"/>
    </row>
    <row r="104" spans="1:12" ht="13" customHeight="1" x14ac:dyDescent="0.25">
      <c r="A104" s="10"/>
      <c r="B104" s="1"/>
      <c r="D104" s="13"/>
      <c r="E104" s="13"/>
      <c r="F104" s="13"/>
      <c r="H104" s="4"/>
      <c r="I104" s="4"/>
      <c r="J104" s="4"/>
      <c r="K104" s="4"/>
      <c r="L104" s="4"/>
    </row>
    <row r="105" spans="1:12" ht="13" customHeight="1" x14ac:dyDescent="0.25">
      <c r="C105" s="5" t="s">
        <v>2</v>
      </c>
      <c r="D105" s="14"/>
      <c r="E105" s="14"/>
      <c r="F105" s="14"/>
      <c r="G105" s="7"/>
      <c r="H105" s="7"/>
      <c r="I105" s="7"/>
      <c r="J105" s="7"/>
      <c r="K105" s="7"/>
      <c r="L105" s="7"/>
    </row>
    <row r="106" spans="1:12" x14ac:dyDescent="0.25">
      <c r="B106" s="2" t="s">
        <v>28</v>
      </c>
      <c r="C106" s="2"/>
      <c r="D106" s="12"/>
      <c r="E106" s="12"/>
      <c r="F106" s="12"/>
    </row>
    <row r="107" spans="1:12" x14ac:dyDescent="0.25">
      <c r="A107" s="9">
        <v>45292</v>
      </c>
      <c r="B107" s="1" t="s">
        <v>0</v>
      </c>
      <c r="C107" s="3" t="s">
        <v>1</v>
      </c>
      <c r="D107" s="13"/>
      <c r="E107" s="13"/>
      <c r="F107" s="13">
        <v>69702128</v>
      </c>
      <c r="G107" s="4"/>
      <c r="I107" s="4"/>
      <c r="J107" s="4"/>
      <c r="K107" s="4"/>
      <c r="L107" s="4"/>
    </row>
    <row r="108" spans="1:12" x14ac:dyDescent="0.25">
      <c r="A108" s="10">
        <v>45316</v>
      </c>
      <c r="B108" s="1" t="s">
        <v>0</v>
      </c>
      <c r="C108" s="3" t="s">
        <v>29</v>
      </c>
      <c r="D108" s="13"/>
      <c r="E108" s="4">
        <v>3808969</v>
      </c>
      <c r="F108" s="13"/>
      <c r="G108" s="16">
        <f>F107-E108</f>
        <v>65893159</v>
      </c>
      <c r="H108" s="4"/>
      <c r="I108" s="4"/>
      <c r="J108" s="4"/>
      <c r="K108" s="4"/>
      <c r="L108" s="4"/>
    </row>
    <row r="109" spans="1:12" ht="13" customHeight="1" x14ac:dyDescent="0.25">
      <c r="A109" s="10">
        <v>45345</v>
      </c>
      <c r="B109" s="1" t="s">
        <v>6</v>
      </c>
      <c r="C109" s="3" t="s">
        <v>29</v>
      </c>
      <c r="D109" s="13"/>
      <c r="E109" s="4">
        <v>3843726</v>
      </c>
      <c r="F109" s="13"/>
      <c r="G109" s="16">
        <f>G108-E109</f>
        <v>62049433</v>
      </c>
      <c r="H109" s="4"/>
      <c r="I109" s="4"/>
      <c r="J109" s="4"/>
      <c r="K109" s="4"/>
      <c r="L109" s="4"/>
    </row>
    <row r="110" spans="1:12" ht="13" customHeight="1" x14ac:dyDescent="0.25">
      <c r="A110" s="10">
        <v>45376</v>
      </c>
      <c r="B110" s="1" t="s">
        <v>6</v>
      </c>
      <c r="C110" s="3" t="s">
        <v>29</v>
      </c>
      <c r="D110" s="13"/>
      <c r="E110" s="4">
        <v>3878800</v>
      </c>
      <c r="F110" s="13"/>
      <c r="G110" s="16">
        <f t="shared" ref="G110:G119" si="7">G109-E110</f>
        <v>58170633</v>
      </c>
      <c r="H110" s="4"/>
      <c r="I110" s="4"/>
      <c r="J110" s="4"/>
      <c r="K110" s="4"/>
      <c r="L110" s="4"/>
    </row>
    <row r="111" spans="1:12" ht="13" customHeight="1" x14ac:dyDescent="0.25">
      <c r="A111" s="10">
        <v>45407</v>
      </c>
      <c r="B111" s="1" t="s">
        <v>6</v>
      </c>
      <c r="C111" s="3" t="s">
        <v>29</v>
      </c>
      <c r="D111" s="13"/>
      <c r="E111" s="4">
        <v>3914194</v>
      </c>
      <c r="F111" s="13"/>
      <c r="G111" s="16">
        <f t="shared" si="7"/>
        <v>54256439</v>
      </c>
      <c r="H111" s="4"/>
      <c r="I111" s="4"/>
      <c r="J111" s="4"/>
      <c r="K111" s="4"/>
      <c r="L111" s="4"/>
    </row>
    <row r="112" spans="1:12" ht="13" customHeight="1" x14ac:dyDescent="0.25">
      <c r="A112" s="10">
        <v>45434</v>
      </c>
      <c r="B112" s="1" t="s">
        <v>6</v>
      </c>
      <c r="C112" s="3" t="s">
        <v>29</v>
      </c>
      <c r="D112" s="13"/>
      <c r="E112" s="4">
        <v>3949911</v>
      </c>
      <c r="F112" s="13"/>
      <c r="G112" s="16">
        <f t="shared" si="7"/>
        <v>50306528</v>
      </c>
      <c r="H112" s="4"/>
      <c r="I112" s="4"/>
      <c r="J112" s="4"/>
      <c r="K112" s="4"/>
      <c r="L112" s="4"/>
    </row>
    <row r="113" spans="1:12" ht="13" customHeight="1" x14ac:dyDescent="0.25">
      <c r="A113" s="10">
        <v>45468</v>
      </c>
      <c r="B113" s="1" t="s">
        <v>6</v>
      </c>
      <c r="C113" s="3" t="s">
        <v>29</v>
      </c>
      <c r="D113" s="13"/>
      <c r="E113" s="4">
        <v>3985954</v>
      </c>
      <c r="F113" s="13"/>
      <c r="G113" s="16">
        <f t="shared" si="7"/>
        <v>46320574</v>
      </c>
      <c r="H113" s="4"/>
      <c r="I113" s="4"/>
      <c r="J113" s="4"/>
      <c r="K113" s="4"/>
      <c r="L113" s="4"/>
    </row>
    <row r="114" spans="1:12" ht="13" customHeight="1" x14ac:dyDescent="0.25">
      <c r="A114" s="10">
        <v>45498</v>
      </c>
      <c r="B114" s="1" t="s">
        <v>6</v>
      </c>
      <c r="C114" s="3" t="s">
        <v>30</v>
      </c>
      <c r="D114" s="13"/>
      <c r="E114" s="4">
        <v>4022326</v>
      </c>
      <c r="F114" s="13"/>
      <c r="G114" s="16">
        <f t="shared" si="7"/>
        <v>42298248</v>
      </c>
      <c r="H114" s="4"/>
      <c r="I114" s="4"/>
      <c r="J114" s="4"/>
      <c r="K114" s="4"/>
      <c r="L114" s="4"/>
    </row>
    <row r="115" spans="1:12" ht="13" customHeight="1" x14ac:dyDescent="0.25">
      <c r="A115" s="10">
        <v>45527</v>
      </c>
      <c r="B115" s="1" t="s">
        <v>6</v>
      </c>
      <c r="C115" s="3" t="s">
        <v>29</v>
      </c>
      <c r="D115" s="13"/>
      <c r="E115" s="4">
        <v>4059030</v>
      </c>
      <c r="F115" s="13"/>
      <c r="G115" s="16">
        <f t="shared" si="7"/>
        <v>38239218</v>
      </c>
      <c r="H115" s="4"/>
      <c r="I115" s="4"/>
      <c r="J115" s="4"/>
      <c r="K115" s="4"/>
      <c r="L115" s="4"/>
    </row>
    <row r="116" spans="1:12" ht="13" customHeight="1" x14ac:dyDescent="0.25">
      <c r="A116" s="10">
        <v>45560</v>
      </c>
      <c r="B116" s="1" t="s">
        <v>6</v>
      </c>
      <c r="C116" s="3" t="s">
        <v>29</v>
      </c>
      <c r="D116" s="13"/>
      <c r="E116" s="4">
        <v>4096068</v>
      </c>
      <c r="F116" s="13"/>
      <c r="G116" s="16">
        <f t="shared" si="7"/>
        <v>34143150</v>
      </c>
      <c r="H116" s="4"/>
      <c r="I116" s="4"/>
      <c r="J116" s="4"/>
      <c r="K116" s="4"/>
      <c r="L116" s="4"/>
    </row>
    <row r="117" spans="1:12" ht="13" customHeight="1" x14ac:dyDescent="0.25">
      <c r="A117" s="10">
        <v>45590</v>
      </c>
      <c r="B117" s="1" t="s">
        <v>6</v>
      </c>
      <c r="C117" s="3" t="s">
        <v>29</v>
      </c>
      <c r="D117" s="13"/>
      <c r="E117" s="4">
        <v>4133445</v>
      </c>
      <c r="F117" s="13"/>
      <c r="G117" s="16">
        <f t="shared" si="7"/>
        <v>30009705</v>
      </c>
      <c r="H117" s="4"/>
      <c r="I117" s="4"/>
      <c r="J117" s="4"/>
      <c r="K117" s="4"/>
      <c r="L117" s="4"/>
    </row>
    <row r="118" spans="1:12" ht="13" customHeight="1" x14ac:dyDescent="0.25">
      <c r="A118" s="10">
        <v>45621</v>
      </c>
      <c r="B118" s="1" t="s">
        <v>6</v>
      </c>
      <c r="C118" s="3" t="s">
        <v>29</v>
      </c>
      <c r="D118" s="13"/>
      <c r="E118" s="4">
        <v>4171163</v>
      </c>
      <c r="F118" s="13"/>
      <c r="G118" s="16">
        <f t="shared" si="7"/>
        <v>25838542</v>
      </c>
      <c r="H118" s="4"/>
      <c r="I118" s="4"/>
      <c r="J118" s="4"/>
      <c r="K118" s="4"/>
      <c r="L118" s="4"/>
    </row>
    <row r="119" spans="1:12" ht="13" customHeight="1" x14ac:dyDescent="0.25">
      <c r="A119" s="10">
        <v>45649</v>
      </c>
      <c r="B119" s="1" t="s">
        <v>6</v>
      </c>
      <c r="C119" s="3" t="s">
        <v>29</v>
      </c>
      <c r="D119" s="13"/>
      <c r="E119" s="13">
        <v>4209224</v>
      </c>
      <c r="F119" s="13"/>
      <c r="G119" s="16">
        <f t="shared" si="7"/>
        <v>21629318</v>
      </c>
      <c r="H119" s="4"/>
      <c r="I119" s="4"/>
      <c r="J119" s="4"/>
      <c r="K119" s="4"/>
      <c r="L119" s="4"/>
    </row>
    <row r="120" spans="1:12" ht="13" customHeight="1" x14ac:dyDescent="0.25">
      <c r="B120" s="1" t="s">
        <v>6</v>
      </c>
      <c r="F120" s="13"/>
      <c r="H120" s="4"/>
      <c r="I120" s="4"/>
      <c r="J120" s="4"/>
      <c r="K120" s="4"/>
      <c r="L120" s="4"/>
    </row>
    <row r="121" spans="1:12" ht="13" customHeight="1" x14ac:dyDescent="0.25">
      <c r="C121" s="5"/>
      <c r="D121" s="14"/>
      <c r="E121" s="14"/>
      <c r="F121" s="14"/>
      <c r="G121" s="7"/>
      <c r="H121" s="7"/>
      <c r="I121" s="7"/>
      <c r="J121" s="7"/>
      <c r="K121" s="7"/>
      <c r="L121" s="7"/>
    </row>
    <row r="122" spans="1:12" x14ac:dyDescent="0.25">
      <c r="B122" s="2" t="s">
        <v>32</v>
      </c>
      <c r="C122" s="2"/>
      <c r="D122" s="12"/>
      <c r="E122" s="12"/>
      <c r="F122" s="12"/>
    </row>
    <row r="123" spans="1:12" x14ac:dyDescent="0.25">
      <c r="A123" s="9">
        <v>45292</v>
      </c>
      <c r="B123" s="1" t="s">
        <v>0</v>
      </c>
      <c r="C123" s="3" t="s">
        <v>1</v>
      </c>
      <c r="D123" s="13"/>
      <c r="E123" s="13"/>
      <c r="F123" s="13">
        <v>25968558</v>
      </c>
      <c r="G123" s="4"/>
      <c r="I123" s="4"/>
      <c r="J123" s="4"/>
      <c r="K123" s="4"/>
      <c r="L123" s="4"/>
    </row>
    <row r="124" spans="1:12" x14ac:dyDescent="0.25">
      <c r="B124" s="1"/>
      <c r="C124" s="3" t="s">
        <v>62</v>
      </c>
      <c r="D124" s="13"/>
      <c r="E124" s="13"/>
      <c r="F124" s="13"/>
      <c r="G124" s="16">
        <f>F123</f>
        <v>25968558</v>
      </c>
      <c r="H124" s="4"/>
      <c r="I124" s="4"/>
      <c r="J124" s="4"/>
      <c r="K124" s="4"/>
      <c r="L124" s="4"/>
    </row>
    <row r="125" spans="1:12" ht="13" customHeight="1" x14ac:dyDescent="0.25">
      <c r="C125" s="5"/>
      <c r="D125" s="14"/>
      <c r="E125" s="14"/>
      <c r="F125" s="14"/>
      <c r="G125" s="7"/>
      <c r="H125" s="7"/>
      <c r="I125" s="7"/>
      <c r="J125" s="7"/>
      <c r="K125" s="7"/>
      <c r="L125" s="7"/>
    </row>
    <row r="126" spans="1:12" x14ac:dyDescent="0.25">
      <c r="B126" s="2" t="s">
        <v>33</v>
      </c>
      <c r="C126" s="2"/>
      <c r="D126" s="12"/>
      <c r="E126" s="12"/>
      <c r="F126" s="12"/>
    </row>
    <row r="127" spans="1:12" x14ac:dyDescent="0.25">
      <c r="A127" s="9">
        <v>45292</v>
      </c>
      <c r="B127" s="1" t="s">
        <v>0</v>
      </c>
      <c r="C127" s="3" t="s">
        <v>1</v>
      </c>
      <c r="D127" s="13"/>
      <c r="E127" s="13"/>
      <c r="F127" s="13">
        <v>134118469</v>
      </c>
      <c r="G127" s="4"/>
      <c r="I127" s="4"/>
      <c r="J127" s="4"/>
      <c r="K127" s="4"/>
      <c r="L127" s="4"/>
    </row>
    <row r="128" spans="1:12" x14ac:dyDescent="0.25">
      <c r="A128" s="10">
        <v>45316</v>
      </c>
      <c r="B128" s="1" t="s">
        <v>0</v>
      </c>
      <c r="C128" s="3" t="s">
        <v>34</v>
      </c>
      <c r="D128" s="13"/>
      <c r="E128" s="4">
        <v>3762876</v>
      </c>
      <c r="F128" s="13"/>
      <c r="G128" s="16">
        <f>F127-E128</f>
        <v>130355593</v>
      </c>
      <c r="H128" s="4"/>
      <c r="I128" s="4"/>
      <c r="J128" s="4"/>
      <c r="K128" s="4"/>
      <c r="L128" s="4"/>
    </row>
    <row r="129" spans="1:14" ht="13" customHeight="1" x14ac:dyDescent="0.25">
      <c r="A129" s="10">
        <v>45345</v>
      </c>
      <c r="B129" s="1" t="s">
        <v>6</v>
      </c>
      <c r="C129" s="3" t="s">
        <v>34</v>
      </c>
      <c r="D129" s="13"/>
      <c r="E129" s="4">
        <v>3797213</v>
      </c>
      <c r="F129" s="13"/>
      <c r="G129" s="16">
        <f>G128-E129</f>
        <v>126558380</v>
      </c>
      <c r="H129" s="4"/>
      <c r="I129" s="4"/>
      <c r="J129" s="4"/>
      <c r="K129" s="4"/>
      <c r="L129" s="4"/>
    </row>
    <row r="130" spans="1:14" ht="13" customHeight="1" x14ac:dyDescent="0.25">
      <c r="A130" s="10">
        <v>45376</v>
      </c>
      <c r="B130" s="1" t="s">
        <v>6</v>
      </c>
      <c r="C130" s="3" t="s">
        <v>34</v>
      </c>
      <c r="D130" s="13"/>
      <c r="E130" s="4">
        <v>3831862</v>
      </c>
      <c r="F130" s="13"/>
      <c r="G130" s="16">
        <f t="shared" ref="G130:G140" si="8">G129-E130</f>
        <v>122726518</v>
      </c>
      <c r="H130" s="4"/>
      <c r="I130" s="4"/>
      <c r="J130" s="4"/>
      <c r="K130" s="4"/>
      <c r="L130" s="4"/>
    </row>
    <row r="131" spans="1:14" ht="13" customHeight="1" x14ac:dyDescent="0.25">
      <c r="A131" s="10">
        <v>45407</v>
      </c>
      <c r="B131" s="1" t="s">
        <v>6</v>
      </c>
      <c r="C131" s="3" t="s">
        <v>34</v>
      </c>
      <c r="D131" s="13"/>
      <c r="E131" s="4">
        <v>3866828</v>
      </c>
      <c r="F131" s="13"/>
      <c r="G131" s="16">
        <f t="shared" si="8"/>
        <v>118859690</v>
      </c>
      <c r="H131" s="4"/>
      <c r="I131" s="4"/>
      <c r="J131" s="4"/>
      <c r="K131" s="4"/>
      <c r="L131" s="4"/>
    </row>
    <row r="132" spans="1:14" ht="13" customHeight="1" x14ac:dyDescent="0.25">
      <c r="A132" s="10">
        <v>45434</v>
      </c>
      <c r="B132" s="1" t="s">
        <v>6</v>
      </c>
      <c r="C132" s="3" t="s">
        <v>34</v>
      </c>
      <c r="D132" s="13"/>
      <c r="E132" s="4">
        <v>3902113</v>
      </c>
      <c r="F132" s="13"/>
      <c r="G132" s="16">
        <f t="shared" si="8"/>
        <v>114957577</v>
      </c>
      <c r="H132" s="4"/>
      <c r="I132" s="4"/>
      <c r="J132" s="4"/>
      <c r="K132" s="4"/>
      <c r="L132" s="4"/>
    </row>
    <row r="133" spans="1:14" ht="13" customHeight="1" x14ac:dyDescent="0.25">
      <c r="A133" s="10">
        <v>45468</v>
      </c>
      <c r="B133" s="1" t="s">
        <v>6</v>
      </c>
      <c r="C133" s="3" t="s">
        <v>34</v>
      </c>
      <c r="D133" s="13"/>
      <c r="E133" s="4">
        <v>3937720</v>
      </c>
      <c r="F133" s="13"/>
      <c r="G133" s="16">
        <f t="shared" si="8"/>
        <v>111019857</v>
      </c>
      <c r="H133" s="4"/>
      <c r="I133" s="4"/>
      <c r="J133" s="4"/>
      <c r="K133" s="4"/>
      <c r="L133" s="4"/>
    </row>
    <row r="134" spans="1:14" ht="13" customHeight="1" x14ac:dyDescent="0.25">
      <c r="A134" s="10">
        <v>45498</v>
      </c>
      <c r="B134" s="1" t="s">
        <v>6</v>
      </c>
      <c r="C134" s="3" t="s">
        <v>34</v>
      </c>
      <c r="D134" s="13"/>
      <c r="E134" s="4">
        <v>3973651</v>
      </c>
      <c r="F134" s="13"/>
      <c r="G134" s="16">
        <f t="shared" si="8"/>
        <v>107046206</v>
      </c>
      <c r="H134" s="4"/>
      <c r="I134" s="4"/>
      <c r="J134" s="4"/>
      <c r="K134" s="4"/>
      <c r="L134" s="4"/>
    </row>
    <row r="135" spans="1:14" ht="13" customHeight="1" x14ac:dyDescent="0.25">
      <c r="A135" s="10">
        <v>45527</v>
      </c>
      <c r="B135" s="1" t="s">
        <v>6</v>
      </c>
      <c r="C135" s="3" t="s">
        <v>34</v>
      </c>
      <c r="D135" s="13"/>
      <c r="E135" s="4">
        <v>4009911</v>
      </c>
      <c r="F135" s="13"/>
      <c r="G135" s="16">
        <f t="shared" si="8"/>
        <v>103036295</v>
      </c>
      <c r="H135" s="4"/>
      <c r="I135" s="4"/>
      <c r="J135" s="4"/>
      <c r="K135" s="4"/>
      <c r="L135" s="4"/>
    </row>
    <row r="136" spans="1:14" ht="13" customHeight="1" x14ac:dyDescent="0.25">
      <c r="A136" s="10">
        <v>45560</v>
      </c>
      <c r="B136" s="1" t="s">
        <v>6</v>
      </c>
      <c r="C136" s="3" t="s">
        <v>34</v>
      </c>
      <c r="D136" s="13"/>
      <c r="E136" s="4">
        <v>4046501</v>
      </c>
      <c r="F136" s="13"/>
      <c r="G136" s="16">
        <f t="shared" si="8"/>
        <v>98989794</v>
      </c>
      <c r="H136" s="4"/>
      <c r="I136" s="4"/>
      <c r="J136" s="4"/>
      <c r="K136" s="4"/>
      <c r="L136" s="4"/>
    </row>
    <row r="137" spans="1:14" ht="13" customHeight="1" x14ac:dyDescent="0.25">
      <c r="A137" s="10">
        <v>45590</v>
      </c>
      <c r="B137" s="1" t="s">
        <v>6</v>
      </c>
      <c r="C137" s="3" t="s">
        <v>34</v>
      </c>
      <c r="D137" s="13"/>
      <c r="E137" s="4">
        <v>4083426</v>
      </c>
      <c r="F137" s="13"/>
      <c r="G137" s="16">
        <f t="shared" si="8"/>
        <v>94906368</v>
      </c>
      <c r="H137" s="4"/>
      <c r="I137" s="4"/>
      <c r="J137" s="4"/>
      <c r="K137" s="4"/>
      <c r="L137" s="4"/>
    </row>
    <row r="138" spans="1:14" ht="13" customHeight="1" x14ac:dyDescent="0.25">
      <c r="A138" s="10">
        <v>45621</v>
      </c>
      <c r="B138" s="1" t="s">
        <v>6</v>
      </c>
      <c r="C138" s="3" t="s">
        <v>34</v>
      </c>
      <c r="D138" s="13"/>
      <c r="E138" s="4">
        <v>4120687</v>
      </c>
      <c r="F138" s="13"/>
      <c r="G138" s="16">
        <f t="shared" si="8"/>
        <v>90785681</v>
      </c>
      <c r="H138" s="4"/>
      <c r="I138" s="4"/>
      <c r="J138" s="4"/>
      <c r="K138" s="4"/>
      <c r="L138" s="4"/>
    </row>
    <row r="139" spans="1:14" ht="13" customHeight="1" x14ac:dyDescent="0.25">
      <c r="A139" s="10">
        <v>45649</v>
      </c>
      <c r="B139" s="1" t="s">
        <v>6</v>
      </c>
      <c r="C139" s="3" t="s">
        <v>34</v>
      </c>
      <c r="D139" s="13"/>
      <c r="E139" s="13">
        <v>4158288</v>
      </c>
      <c r="F139" s="13"/>
      <c r="G139" s="16">
        <f t="shared" si="8"/>
        <v>86627393</v>
      </c>
      <c r="H139" s="4"/>
      <c r="I139" s="4"/>
      <c r="J139" s="4"/>
      <c r="K139" s="4"/>
      <c r="L139" s="4"/>
    </row>
    <row r="140" spans="1:14" ht="13" customHeight="1" x14ac:dyDescent="0.25">
      <c r="B140" s="1" t="s">
        <v>6</v>
      </c>
      <c r="F140" s="13"/>
      <c r="G140" s="16">
        <f t="shared" si="8"/>
        <v>86627393</v>
      </c>
      <c r="H140" s="4"/>
      <c r="I140" s="4"/>
      <c r="J140" s="4"/>
      <c r="K140" s="4"/>
      <c r="L140" s="4"/>
    </row>
    <row r="141" spans="1:14" ht="13" customHeight="1" x14ac:dyDescent="0.25">
      <c r="C141" s="5"/>
      <c r="D141" s="14"/>
      <c r="E141" s="14"/>
      <c r="F141" s="14"/>
      <c r="G141" s="7"/>
      <c r="H141" s="7"/>
      <c r="I141" s="7"/>
      <c r="J141" s="7"/>
      <c r="K141" s="7"/>
      <c r="L141" s="7"/>
    </row>
    <row r="142" spans="1:14" x14ac:dyDescent="0.25">
      <c r="B142" s="2" t="s">
        <v>35</v>
      </c>
      <c r="C142" s="2"/>
      <c r="D142" s="12"/>
      <c r="E142" s="12"/>
      <c r="F142" s="12"/>
      <c r="K142" s="4"/>
      <c r="L142" s="4"/>
      <c r="M142" s="4"/>
      <c r="N142" s="4"/>
    </row>
    <row r="143" spans="1:14" x14ac:dyDescent="0.25">
      <c r="A143" s="9">
        <v>45292</v>
      </c>
      <c r="B143" s="1" t="s">
        <v>0</v>
      </c>
      <c r="C143" s="3" t="s">
        <v>1</v>
      </c>
      <c r="D143" s="13"/>
      <c r="E143" s="13"/>
      <c r="F143" s="13">
        <v>226855344</v>
      </c>
      <c r="G143" s="4"/>
      <c r="I143" s="4"/>
      <c r="J143" s="4"/>
    </row>
    <row r="144" spans="1:14" x14ac:dyDescent="0.25">
      <c r="A144" s="10">
        <v>45316</v>
      </c>
      <c r="B144" s="1" t="s">
        <v>0</v>
      </c>
      <c r="C144" s="3" t="s">
        <v>36</v>
      </c>
      <c r="D144" s="13"/>
      <c r="E144" s="4">
        <v>3428630</v>
      </c>
      <c r="F144" s="13"/>
      <c r="G144" s="16">
        <f>F143-E144</f>
        <v>223426714</v>
      </c>
      <c r="H144" s="4"/>
      <c r="I144" s="4"/>
      <c r="J144" s="4"/>
      <c r="K144" s="4"/>
      <c r="L144" s="4"/>
      <c r="M144" s="4"/>
      <c r="N144" s="4"/>
    </row>
    <row r="145" spans="1:14" ht="13" customHeight="1" x14ac:dyDescent="0.25">
      <c r="A145" s="10">
        <v>45345</v>
      </c>
      <c r="B145" s="1" t="s">
        <v>6</v>
      </c>
      <c r="C145" s="3" t="s">
        <v>36</v>
      </c>
      <c r="D145" s="13"/>
      <c r="E145" s="4">
        <v>3459917</v>
      </c>
      <c r="F145" s="13"/>
      <c r="G145" s="16">
        <f>G144-E145</f>
        <v>219966797</v>
      </c>
      <c r="H145" s="4"/>
      <c r="I145" s="4"/>
      <c r="J145" s="4"/>
    </row>
    <row r="146" spans="1:14" ht="13" customHeight="1" x14ac:dyDescent="0.25">
      <c r="A146" s="10">
        <v>45376</v>
      </c>
      <c r="B146" s="1" t="s">
        <v>6</v>
      </c>
      <c r="C146" s="3" t="s">
        <v>36</v>
      </c>
      <c r="D146" s="13"/>
      <c r="E146" s="4">
        <v>3491488</v>
      </c>
      <c r="F146" s="13"/>
      <c r="G146" s="16">
        <f t="shared" ref="G146:G156" si="9">G145-E146</f>
        <v>216475309</v>
      </c>
      <c r="H146" s="4"/>
      <c r="I146" s="4"/>
      <c r="J146" s="4"/>
      <c r="K146" s="4"/>
      <c r="L146" s="4"/>
      <c r="M146" s="4"/>
      <c r="N146" s="4"/>
    </row>
    <row r="147" spans="1:14" ht="13" customHeight="1" x14ac:dyDescent="0.25">
      <c r="A147" s="10">
        <v>45407</v>
      </c>
      <c r="B147" s="1" t="s">
        <v>6</v>
      </c>
      <c r="C147" s="3" t="s">
        <v>36</v>
      </c>
      <c r="D147" s="13"/>
      <c r="E147" s="4">
        <v>3523348</v>
      </c>
      <c r="F147" s="13"/>
      <c r="G147" s="16">
        <f t="shared" si="9"/>
        <v>212951961</v>
      </c>
      <c r="H147" s="4"/>
      <c r="I147" s="4"/>
      <c r="J147" s="4"/>
    </row>
    <row r="148" spans="1:14" ht="13" customHeight="1" x14ac:dyDescent="0.25">
      <c r="A148" s="10">
        <v>45434</v>
      </c>
      <c r="B148" s="1" t="s">
        <v>6</v>
      </c>
      <c r="C148" s="3" t="s">
        <v>36</v>
      </c>
      <c r="D148" s="13"/>
      <c r="E148" s="4">
        <v>3555499</v>
      </c>
      <c r="F148" s="13"/>
      <c r="G148" s="16">
        <f t="shared" si="9"/>
        <v>209396462</v>
      </c>
      <c r="H148" s="4"/>
      <c r="I148" s="4"/>
      <c r="J148" s="4"/>
      <c r="K148" s="4"/>
      <c r="L148" s="4"/>
      <c r="M148" s="4"/>
      <c r="N148" s="4"/>
    </row>
    <row r="149" spans="1:14" ht="13" customHeight="1" x14ac:dyDescent="0.25">
      <c r="A149" s="10">
        <v>45468</v>
      </c>
      <c r="B149" s="1" t="s">
        <v>6</v>
      </c>
      <c r="C149" s="3" t="s">
        <v>36</v>
      </c>
      <c r="D149" s="13"/>
      <c r="E149" s="4">
        <v>3587943</v>
      </c>
      <c r="F149" s="13"/>
      <c r="G149" s="16">
        <f t="shared" si="9"/>
        <v>205808519</v>
      </c>
      <c r="H149" s="4"/>
      <c r="I149" s="4"/>
      <c r="J149" s="4"/>
    </row>
    <row r="150" spans="1:14" ht="13" customHeight="1" x14ac:dyDescent="0.25">
      <c r="A150" s="10">
        <v>45498</v>
      </c>
      <c r="B150" s="1" t="s">
        <v>6</v>
      </c>
      <c r="C150" s="3" t="s">
        <v>36</v>
      </c>
      <c r="D150" s="13"/>
      <c r="E150" s="4">
        <v>3620683</v>
      </c>
      <c r="F150" s="13"/>
      <c r="G150" s="16">
        <f t="shared" si="9"/>
        <v>202187836</v>
      </c>
      <c r="H150" s="4"/>
      <c r="I150" s="4"/>
      <c r="J150" s="4"/>
      <c r="K150" s="4"/>
      <c r="L150" s="4"/>
      <c r="M150" s="4"/>
      <c r="N150" s="4"/>
    </row>
    <row r="151" spans="1:14" ht="13" customHeight="1" x14ac:dyDescent="0.25">
      <c r="A151" s="10">
        <v>45527</v>
      </c>
      <c r="B151" s="1" t="s">
        <v>6</v>
      </c>
      <c r="C151" s="3" t="s">
        <v>36</v>
      </c>
      <c r="D151" s="13"/>
      <c r="E151" s="4">
        <v>3653721</v>
      </c>
      <c r="F151" s="13"/>
      <c r="G151" s="16">
        <f t="shared" si="9"/>
        <v>198534115</v>
      </c>
      <c r="H151" s="4"/>
      <c r="I151" s="4"/>
      <c r="J151" s="4"/>
    </row>
    <row r="152" spans="1:14" ht="13" customHeight="1" x14ac:dyDescent="0.25">
      <c r="A152" s="10">
        <v>45560</v>
      </c>
      <c r="B152" s="1" t="s">
        <v>6</v>
      </c>
      <c r="C152" s="3" t="s">
        <v>36</v>
      </c>
      <c r="D152" s="13"/>
      <c r="E152" s="4">
        <v>3687062</v>
      </c>
      <c r="F152" s="13"/>
      <c r="G152" s="16">
        <f t="shared" si="9"/>
        <v>194847053</v>
      </c>
      <c r="H152" s="4"/>
      <c r="I152" s="4"/>
      <c r="J152" s="4"/>
      <c r="K152" s="4"/>
      <c r="L152" s="4"/>
      <c r="M152" s="4"/>
      <c r="N152" s="4"/>
    </row>
    <row r="153" spans="1:14" ht="13" customHeight="1" x14ac:dyDescent="0.25">
      <c r="A153" s="10">
        <v>45590</v>
      </c>
      <c r="B153" s="1" t="s">
        <v>6</v>
      </c>
      <c r="C153" s="3" t="s">
        <v>36</v>
      </c>
      <c r="D153" s="13"/>
      <c r="E153" s="4">
        <v>3720706</v>
      </c>
      <c r="F153" s="13"/>
      <c r="G153" s="16">
        <f t="shared" si="9"/>
        <v>191126347</v>
      </c>
      <c r="H153" s="4"/>
      <c r="I153" s="4"/>
      <c r="J153" s="4"/>
    </row>
    <row r="154" spans="1:14" ht="13" customHeight="1" x14ac:dyDescent="0.25">
      <c r="A154" s="10">
        <v>45621</v>
      </c>
      <c r="B154" s="1" t="s">
        <v>6</v>
      </c>
      <c r="C154" s="3" t="s">
        <v>36</v>
      </c>
      <c r="D154" s="13"/>
      <c r="E154" s="4">
        <v>3754657</v>
      </c>
      <c r="F154" s="13"/>
      <c r="G154" s="16">
        <f t="shared" si="9"/>
        <v>187371690</v>
      </c>
      <c r="H154" s="4"/>
      <c r="I154" s="4"/>
      <c r="J154" s="4"/>
      <c r="K154" s="4"/>
      <c r="L154" s="4"/>
      <c r="M154" s="4"/>
      <c r="N154" s="4"/>
    </row>
    <row r="155" spans="1:14" ht="13" customHeight="1" x14ac:dyDescent="0.25">
      <c r="A155" s="10">
        <v>45649</v>
      </c>
      <c r="B155" s="1" t="s">
        <v>6</v>
      </c>
      <c r="C155" s="3" t="s">
        <v>36</v>
      </c>
      <c r="D155" s="13"/>
      <c r="E155" s="13">
        <v>3788919</v>
      </c>
      <c r="F155" s="13"/>
      <c r="G155" s="16">
        <f t="shared" si="9"/>
        <v>183582771</v>
      </c>
      <c r="H155" s="4"/>
      <c r="I155" s="4"/>
      <c r="J155" s="4"/>
    </row>
    <row r="156" spans="1:14" ht="13" customHeight="1" x14ac:dyDescent="0.25">
      <c r="B156" s="1"/>
      <c r="F156" s="13"/>
      <c r="G156" s="16">
        <f t="shared" si="9"/>
        <v>183582771</v>
      </c>
      <c r="H156" s="4"/>
      <c r="I156" s="4"/>
      <c r="J156" s="4"/>
      <c r="K156" s="4"/>
      <c r="L156" s="4"/>
      <c r="M156" s="4"/>
      <c r="N156" s="4"/>
    </row>
    <row r="157" spans="1:14" ht="13" customHeight="1" x14ac:dyDescent="0.25">
      <c r="C157" s="5"/>
      <c r="D157" s="14"/>
      <c r="E157" s="14"/>
      <c r="F157" s="14"/>
      <c r="G157" s="7"/>
      <c r="H157" s="7"/>
      <c r="I157" s="7"/>
      <c r="J157" s="7"/>
    </row>
    <row r="158" spans="1:14" x14ac:dyDescent="0.25">
      <c r="B158" s="2" t="s">
        <v>37</v>
      </c>
      <c r="C158" s="2"/>
      <c r="D158" s="12"/>
      <c r="E158" s="12"/>
      <c r="F158" s="12"/>
      <c r="K158" s="4"/>
      <c r="L158" s="4"/>
      <c r="M158" s="4"/>
      <c r="N158" s="4"/>
    </row>
    <row r="159" spans="1:14" x14ac:dyDescent="0.25">
      <c r="A159" s="9">
        <v>45292</v>
      </c>
      <c r="B159" s="1" t="s">
        <v>0</v>
      </c>
      <c r="C159" s="3" t="s">
        <v>1</v>
      </c>
      <c r="D159" s="13"/>
      <c r="E159" s="13"/>
      <c r="F159" s="13">
        <v>-540450</v>
      </c>
      <c r="G159" s="4"/>
      <c r="I159" s="4"/>
      <c r="J159" s="4"/>
    </row>
    <row r="160" spans="1:14" x14ac:dyDescent="0.25">
      <c r="B160" s="1" t="s">
        <v>0</v>
      </c>
      <c r="C160" s="3" t="s">
        <v>62</v>
      </c>
      <c r="D160" s="13"/>
      <c r="E160" s="13"/>
      <c r="F160" s="13"/>
      <c r="G160" s="16">
        <f>F159</f>
        <v>-540450</v>
      </c>
      <c r="H160" s="4"/>
      <c r="I160" s="4"/>
      <c r="J160" s="4"/>
      <c r="K160" s="4"/>
      <c r="L160" s="4"/>
      <c r="M160" s="4"/>
      <c r="N160" s="4"/>
    </row>
    <row r="161" spans="1:12" ht="13" customHeight="1" x14ac:dyDescent="0.25">
      <c r="C161" s="5"/>
      <c r="D161" s="14"/>
      <c r="E161" s="14"/>
      <c r="F161" s="14"/>
      <c r="G161" s="7"/>
      <c r="H161" s="7"/>
      <c r="I161" s="7"/>
      <c r="J161" s="7"/>
      <c r="K161" s="7"/>
      <c r="L161" s="7"/>
    </row>
    <row r="162" spans="1:12" ht="13" customHeight="1" x14ac:dyDescent="0.25">
      <c r="C162" s="5"/>
      <c r="D162" s="14"/>
      <c r="E162" s="14"/>
      <c r="F162" s="14"/>
      <c r="G162" s="7"/>
      <c r="H162" s="7"/>
      <c r="I162" s="7"/>
      <c r="J162" s="7"/>
      <c r="K162" s="7"/>
      <c r="L162" s="7"/>
    </row>
    <row r="163" spans="1:12" ht="13" customHeight="1" x14ac:dyDescent="0.25">
      <c r="C163" s="5"/>
      <c r="D163" s="14"/>
      <c r="E163" s="14"/>
      <c r="F163" s="14"/>
      <c r="G163" s="7"/>
      <c r="H163" s="7"/>
      <c r="I163" s="7"/>
      <c r="J163" s="7"/>
      <c r="K163" s="7"/>
      <c r="L163" s="7"/>
    </row>
    <row r="164" spans="1:12" x14ac:dyDescent="0.25">
      <c r="B164" s="2" t="s">
        <v>38</v>
      </c>
      <c r="C164" s="2"/>
      <c r="D164" s="12"/>
      <c r="E164" s="12"/>
      <c r="F164" s="12"/>
    </row>
    <row r="165" spans="1:12" x14ac:dyDescent="0.25">
      <c r="A165" s="9">
        <v>45292</v>
      </c>
      <c r="B165" s="1" t="s">
        <v>0</v>
      </c>
      <c r="C165" s="3" t="s">
        <v>1</v>
      </c>
      <c r="D165" s="13"/>
      <c r="E165" s="13"/>
      <c r="F165" s="13"/>
      <c r="G165" s="4"/>
      <c r="I165" s="4"/>
      <c r="J165" s="4"/>
      <c r="K165" s="4"/>
      <c r="L165" s="4"/>
    </row>
    <row r="166" spans="1:12" ht="26" x14ac:dyDescent="0.25">
      <c r="A166" s="9">
        <v>45292</v>
      </c>
      <c r="B166" s="1" t="s">
        <v>0</v>
      </c>
      <c r="C166" s="3" t="s">
        <v>39</v>
      </c>
      <c r="D166" s="13"/>
      <c r="E166" s="13"/>
      <c r="F166" s="13">
        <v>320438733</v>
      </c>
      <c r="H166" s="4"/>
      <c r="I166" s="4"/>
      <c r="J166" s="4"/>
      <c r="K166" s="4"/>
      <c r="L166" s="4"/>
    </row>
    <row r="167" spans="1:12" ht="13" customHeight="1" x14ac:dyDescent="0.25">
      <c r="A167" s="10">
        <v>45316</v>
      </c>
      <c r="B167" s="1" t="s">
        <v>6</v>
      </c>
      <c r="C167" s="3" t="s">
        <v>39</v>
      </c>
      <c r="D167" s="13"/>
      <c r="E167" s="4">
        <v>3949353</v>
      </c>
      <c r="F167" s="13"/>
      <c r="G167" s="16">
        <f>F166-E167</f>
        <v>316489380</v>
      </c>
      <c r="H167" s="4"/>
      <c r="I167" s="4"/>
      <c r="J167" s="4"/>
      <c r="K167" s="4"/>
      <c r="L167" s="4"/>
    </row>
    <row r="168" spans="1:12" ht="13" customHeight="1" x14ac:dyDescent="0.25">
      <c r="A168" s="10">
        <v>45345</v>
      </c>
      <c r="B168" s="1" t="s">
        <v>6</v>
      </c>
      <c r="C168" s="3" t="s">
        <v>39</v>
      </c>
      <c r="D168" s="13"/>
      <c r="E168" s="4">
        <v>3985391</v>
      </c>
      <c r="F168" s="13"/>
      <c r="G168" s="16">
        <f>G167-E168</f>
        <v>312503989</v>
      </c>
      <c r="H168" s="4"/>
      <c r="I168" s="4"/>
      <c r="J168" s="4"/>
      <c r="K168" s="4"/>
      <c r="L168" s="4"/>
    </row>
    <row r="169" spans="1:12" ht="13" customHeight="1" x14ac:dyDescent="0.25">
      <c r="A169" s="10">
        <v>45376</v>
      </c>
      <c r="B169" s="1" t="s">
        <v>6</v>
      </c>
      <c r="C169" s="3" t="s">
        <v>39</v>
      </c>
      <c r="D169" s="13"/>
      <c r="E169" s="4">
        <v>4021758</v>
      </c>
      <c r="F169" s="13"/>
      <c r="G169" s="16">
        <f t="shared" ref="G169:G175" si="10">G168-E169</f>
        <v>308482231</v>
      </c>
      <c r="H169" s="4"/>
      <c r="I169" s="4"/>
      <c r="J169" s="4"/>
      <c r="K169" s="4"/>
      <c r="L169" s="4"/>
    </row>
    <row r="170" spans="1:12" ht="13" customHeight="1" x14ac:dyDescent="0.25">
      <c r="A170" s="10">
        <v>45407</v>
      </c>
      <c r="B170" s="1" t="s">
        <v>6</v>
      </c>
      <c r="C170" s="3" t="s">
        <v>39</v>
      </c>
      <c r="D170" s="13"/>
      <c r="E170" s="4">
        <v>4058456</v>
      </c>
      <c r="F170" s="13"/>
      <c r="G170" s="16">
        <f t="shared" si="10"/>
        <v>304423775</v>
      </c>
      <c r="H170" s="4"/>
      <c r="I170" s="4"/>
      <c r="J170" s="4"/>
      <c r="K170" s="4"/>
      <c r="L170" s="4"/>
    </row>
    <row r="171" spans="1:12" ht="13" customHeight="1" x14ac:dyDescent="0.25">
      <c r="A171" s="10">
        <v>45434</v>
      </c>
      <c r="B171" s="1" t="s">
        <v>6</v>
      </c>
      <c r="C171" s="3" t="s">
        <v>39</v>
      </c>
      <c r="D171" s="13"/>
      <c r="E171" s="4">
        <v>4095490</v>
      </c>
      <c r="F171" s="13"/>
      <c r="G171" s="16">
        <f t="shared" si="10"/>
        <v>300328285</v>
      </c>
      <c r="H171" s="4"/>
      <c r="I171" s="4"/>
      <c r="J171" s="4"/>
      <c r="K171" s="4"/>
      <c r="L171" s="4"/>
    </row>
    <row r="172" spans="1:12" ht="13" customHeight="1" x14ac:dyDescent="0.25">
      <c r="A172" s="10">
        <v>45468</v>
      </c>
      <c r="B172" s="1" t="s">
        <v>6</v>
      </c>
      <c r="C172" s="3" t="s">
        <v>39</v>
      </c>
      <c r="D172" s="13"/>
      <c r="E172" s="4">
        <v>4132861</v>
      </c>
      <c r="F172" s="13"/>
      <c r="G172" s="16">
        <f t="shared" si="10"/>
        <v>296195424</v>
      </c>
      <c r="H172" s="4"/>
      <c r="I172" s="4"/>
      <c r="J172" s="4"/>
      <c r="K172" s="4"/>
      <c r="L172" s="4"/>
    </row>
    <row r="173" spans="1:12" ht="13" customHeight="1" x14ac:dyDescent="0.25">
      <c r="A173" s="10">
        <v>45498</v>
      </c>
      <c r="B173" s="1" t="s">
        <v>6</v>
      </c>
      <c r="C173" s="3" t="s">
        <v>39</v>
      </c>
      <c r="D173" s="13"/>
      <c r="E173" s="4">
        <v>4170574</v>
      </c>
      <c r="F173" s="13"/>
      <c r="G173" s="16">
        <f t="shared" si="10"/>
        <v>292024850</v>
      </c>
      <c r="H173" s="4"/>
      <c r="I173" s="4"/>
      <c r="J173" s="4"/>
      <c r="K173" s="4"/>
      <c r="L173" s="4"/>
    </row>
    <row r="174" spans="1:12" ht="13" customHeight="1" x14ac:dyDescent="0.25">
      <c r="A174" s="10">
        <v>45527</v>
      </c>
      <c r="B174" s="1" t="s">
        <v>6</v>
      </c>
      <c r="C174" s="3" t="s">
        <v>39</v>
      </c>
      <c r="D174" s="13"/>
      <c r="E174" s="4">
        <v>4208630</v>
      </c>
      <c r="F174" s="13"/>
      <c r="G174" s="16">
        <f t="shared" si="10"/>
        <v>287816220</v>
      </c>
      <c r="H174" s="4"/>
      <c r="I174" s="4"/>
      <c r="J174" s="4"/>
      <c r="K174" s="4"/>
      <c r="L174" s="4"/>
    </row>
    <row r="175" spans="1:12" ht="13" customHeight="1" x14ac:dyDescent="0.25">
      <c r="A175" s="10">
        <v>45560</v>
      </c>
      <c r="B175" s="1" t="s">
        <v>6</v>
      </c>
      <c r="C175" s="3" t="s">
        <v>39</v>
      </c>
      <c r="D175" s="13"/>
      <c r="E175" s="4">
        <v>4247034</v>
      </c>
      <c r="F175" s="13"/>
      <c r="G175" s="16">
        <f t="shared" si="10"/>
        <v>283569186</v>
      </c>
      <c r="H175" s="4"/>
      <c r="I175" s="4"/>
      <c r="J175" s="4"/>
      <c r="K175" s="4"/>
      <c r="L175" s="4"/>
    </row>
    <row r="176" spans="1:12" ht="13" customHeight="1" x14ac:dyDescent="0.25">
      <c r="A176" s="10">
        <v>45590</v>
      </c>
      <c r="B176" s="1" t="s">
        <v>6</v>
      </c>
      <c r="C176" s="3" t="s">
        <v>39</v>
      </c>
      <c r="D176" s="13"/>
      <c r="E176" s="4">
        <v>4285788</v>
      </c>
      <c r="F176" s="13"/>
      <c r="G176" s="16">
        <f>G175-E176</f>
        <v>279283398</v>
      </c>
      <c r="H176" s="4"/>
      <c r="I176" s="4"/>
      <c r="J176" s="4"/>
      <c r="K176" s="4"/>
      <c r="L176" s="4"/>
    </row>
    <row r="177" spans="1:12" ht="13" customHeight="1" x14ac:dyDescent="0.25">
      <c r="A177" s="10">
        <v>45621</v>
      </c>
      <c r="B177" s="1" t="s">
        <v>6</v>
      </c>
      <c r="C177" s="3" t="s">
        <v>39</v>
      </c>
      <c r="D177" s="13"/>
      <c r="E177" s="4">
        <v>4324896</v>
      </c>
      <c r="F177" s="13"/>
      <c r="G177" s="16">
        <f t="shared" ref="G177:G178" si="11">G176-E177</f>
        <v>274958502</v>
      </c>
      <c r="H177" s="4"/>
      <c r="I177" s="4"/>
      <c r="J177" s="4"/>
      <c r="K177" s="4"/>
      <c r="L177" s="4"/>
    </row>
    <row r="178" spans="1:12" ht="13" customHeight="1" x14ac:dyDescent="0.25">
      <c r="A178" s="10">
        <v>45649</v>
      </c>
      <c r="B178" s="1" t="s">
        <v>6</v>
      </c>
      <c r="C178" s="3" t="s">
        <v>39</v>
      </c>
      <c r="D178" s="13"/>
      <c r="E178" s="4">
        <v>4364360</v>
      </c>
      <c r="F178" s="13"/>
      <c r="G178" s="16">
        <f t="shared" si="11"/>
        <v>270594142</v>
      </c>
      <c r="H178" s="4"/>
      <c r="I178" s="4"/>
      <c r="J178" s="4"/>
      <c r="K178" s="4"/>
      <c r="L178" s="4"/>
    </row>
    <row r="179" spans="1:12" x14ac:dyDescent="0.25">
      <c r="B179" s="2" t="s">
        <v>40</v>
      </c>
      <c r="C179" s="2"/>
      <c r="D179" s="12"/>
      <c r="E179" s="12"/>
      <c r="F179" s="12"/>
    </row>
    <row r="180" spans="1:12" x14ac:dyDescent="0.25">
      <c r="A180" s="9">
        <v>45292</v>
      </c>
      <c r="B180" s="1" t="s">
        <v>0</v>
      </c>
      <c r="C180" s="3" t="s">
        <v>1</v>
      </c>
      <c r="D180" s="13"/>
      <c r="E180" s="13"/>
      <c r="F180" s="13"/>
      <c r="G180" s="4"/>
      <c r="I180" s="4"/>
      <c r="J180" s="4"/>
      <c r="K180" s="4"/>
      <c r="L180" s="4"/>
    </row>
    <row r="181" spans="1:12" ht="26" x14ac:dyDescent="0.25">
      <c r="A181" s="9">
        <v>45292</v>
      </c>
      <c r="B181" s="1" t="s">
        <v>0</v>
      </c>
      <c r="C181" s="3" t="s">
        <v>41</v>
      </c>
      <c r="D181" s="13"/>
      <c r="E181" s="13"/>
      <c r="F181" s="13">
        <v>141881154</v>
      </c>
      <c r="H181" s="4"/>
      <c r="I181" s="4"/>
      <c r="J181" s="4"/>
      <c r="K181" s="4"/>
      <c r="L181" s="4"/>
    </row>
    <row r="182" spans="1:12" ht="13" customHeight="1" x14ac:dyDescent="0.25">
      <c r="A182" s="10">
        <v>45316</v>
      </c>
      <c r="B182" s="1" t="s">
        <v>6</v>
      </c>
      <c r="C182" s="3" t="s">
        <v>41</v>
      </c>
      <c r="D182" s="13"/>
      <c r="E182" s="4">
        <v>4859951</v>
      </c>
      <c r="F182" s="13"/>
      <c r="G182" s="16">
        <f>F181-E182</f>
        <v>137021203</v>
      </c>
      <c r="I182" s="4"/>
      <c r="J182" s="4"/>
      <c r="K182" s="4"/>
      <c r="L182" s="4"/>
    </row>
    <row r="183" spans="1:12" ht="13" customHeight="1" x14ac:dyDescent="0.25">
      <c r="A183" s="10">
        <v>45345</v>
      </c>
      <c r="B183" s="1" t="s">
        <v>6</v>
      </c>
      <c r="C183" s="3" t="s">
        <v>41</v>
      </c>
      <c r="D183" s="13"/>
      <c r="E183" s="4">
        <v>4904298</v>
      </c>
      <c r="F183" s="13"/>
      <c r="G183" s="16">
        <f>G182-E183</f>
        <v>132116905</v>
      </c>
      <c r="I183" s="4"/>
      <c r="J183" s="4"/>
      <c r="K183" s="4"/>
      <c r="L183" s="4"/>
    </row>
    <row r="184" spans="1:12" ht="13" customHeight="1" x14ac:dyDescent="0.25">
      <c r="A184" s="10">
        <v>45376</v>
      </c>
      <c r="B184" s="1" t="s">
        <v>6</v>
      </c>
      <c r="C184" s="3" t="s">
        <v>41</v>
      </c>
      <c r="D184" s="13"/>
      <c r="E184" s="4">
        <v>4949050</v>
      </c>
      <c r="F184" s="13"/>
      <c r="G184" s="16">
        <f t="shared" ref="G184:G193" si="12">G183-E184</f>
        <v>127167855</v>
      </c>
      <c r="I184" s="4"/>
      <c r="J184" s="4"/>
      <c r="K184" s="4"/>
      <c r="L184" s="4"/>
    </row>
    <row r="185" spans="1:12" ht="13" customHeight="1" x14ac:dyDescent="0.25">
      <c r="A185" s="10">
        <v>45407</v>
      </c>
      <c r="B185" s="1" t="s">
        <v>6</v>
      </c>
      <c r="C185" s="3" t="s">
        <v>41</v>
      </c>
      <c r="D185" s="13"/>
      <c r="E185" s="4">
        <v>4994210</v>
      </c>
      <c r="F185" s="13"/>
      <c r="G185" s="16">
        <f t="shared" si="12"/>
        <v>122173645</v>
      </c>
      <c r="I185" s="4"/>
      <c r="J185" s="4"/>
      <c r="K185" s="4"/>
      <c r="L185" s="4"/>
    </row>
    <row r="186" spans="1:12" ht="13" customHeight="1" x14ac:dyDescent="0.25">
      <c r="A186" s="10">
        <v>45434</v>
      </c>
      <c r="B186" s="1" t="s">
        <v>6</v>
      </c>
      <c r="C186" s="3" t="s">
        <v>41</v>
      </c>
      <c r="D186" s="13"/>
      <c r="E186" s="4">
        <v>5039782</v>
      </c>
      <c r="F186" s="13"/>
      <c r="G186" s="16">
        <f t="shared" si="12"/>
        <v>117133863</v>
      </c>
      <c r="I186" s="4"/>
      <c r="J186" s="4"/>
      <c r="K186" s="4"/>
      <c r="L186" s="4"/>
    </row>
    <row r="187" spans="1:12" ht="13" customHeight="1" x14ac:dyDescent="0.25">
      <c r="A187" s="10">
        <v>45468</v>
      </c>
      <c r="B187" s="1" t="s">
        <v>6</v>
      </c>
      <c r="C187" s="3" t="s">
        <v>41</v>
      </c>
      <c r="D187" s="13"/>
      <c r="E187" s="4">
        <v>5085770</v>
      </c>
      <c r="F187" s="13"/>
      <c r="G187" s="16">
        <f t="shared" si="12"/>
        <v>112048093</v>
      </c>
      <c r="I187" s="4"/>
      <c r="J187" s="4"/>
      <c r="K187" s="4"/>
      <c r="L187" s="4"/>
    </row>
    <row r="188" spans="1:12" ht="13" customHeight="1" x14ac:dyDescent="0.25">
      <c r="A188" s="10">
        <v>45498</v>
      </c>
      <c r="B188" s="1" t="s">
        <v>6</v>
      </c>
      <c r="C188" s="3" t="s">
        <v>41</v>
      </c>
      <c r="D188" s="13"/>
      <c r="E188" s="4">
        <v>5132178</v>
      </c>
      <c r="F188" s="13"/>
      <c r="G188" s="16">
        <f t="shared" si="12"/>
        <v>106915915</v>
      </c>
      <c r="I188" s="4"/>
      <c r="J188" s="4"/>
      <c r="K188" s="4"/>
      <c r="L188" s="4"/>
    </row>
    <row r="189" spans="1:12" ht="13" customHeight="1" x14ac:dyDescent="0.25">
      <c r="A189" s="10">
        <v>45527</v>
      </c>
      <c r="B189" s="1" t="s">
        <v>6</v>
      </c>
      <c r="C189" s="3" t="s">
        <v>41</v>
      </c>
      <c r="D189" s="13"/>
      <c r="E189" s="4">
        <v>5179009</v>
      </c>
      <c r="F189" s="13"/>
      <c r="G189" s="16">
        <f t="shared" si="12"/>
        <v>101736906</v>
      </c>
      <c r="I189" s="4"/>
      <c r="J189" s="4"/>
      <c r="K189" s="4"/>
      <c r="L189" s="4"/>
    </row>
    <row r="190" spans="1:12" ht="13" customHeight="1" x14ac:dyDescent="0.25">
      <c r="A190" s="10">
        <v>45560</v>
      </c>
      <c r="B190" s="1" t="s">
        <v>6</v>
      </c>
      <c r="C190" s="3" t="s">
        <v>41</v>
      </c>
      <c r="D190" s="13"/>
      <c r="E190" s="4">
        <v>5226268</v>
      </c>
      <c r="F190" s="13"/>
      <c r="G190" s="16">
        <f t="shared" si="12"/>
        <v>96510638</v>
      </c>
      <c r="I190" s="4"/>
      <c r="J190" s="4"/>
      <c r="K190" s="4"/>
      <c r="L190" s="4"/>
    </row>
    <row r="191" spans="1:12" ht="13" customHeight="1" x14ac:dyDescent="0.25">
      <c r="A191" s="10">
        <v>45590</v>
      </c>
      <c r="B191" s="1" t="s">
        <v>6</v>
      </c>
      <c r="C191" s="3" t="s">
        <v>41</v>
      </c>
      <c r="D191" s="13"/>
      <c r="E191" s="4">
        <v>5273957</v>
      </c>
      <c r="F191" s="13"/>
      <c r="G191" s="16">
        <f t="shared" si="12"/>
        <v>91236681</v>
      </c>
      <c r="I191" s="4"/>
      <c r="J191" s="4"/>
      <c r="K191" s="4"/>
      <c r="L191" s="4"/>
    </row>
    <row r="192" spans="1:12" ht="13" customHeight="1" x14ac:dyDescent="0.25">
      <c r="A192" s="10">
        <v>45621</v>
      </c>
      <c r="B192" s="1" t="s">
        <v>6</v>
      </c>
      <c r="C192" s="3" t="s">
        <v>41</v>
      </c>
      <c r="D192" s="13"/>
      <c r="E192" s="4">
        <v>5322082</v>
      </c>
      <c r="F192" s="13"/>
      <c r="G192" s="16">
        <f t="shared" si="12"/>
        <v>85914599</v>
      </c>
      <c r="I192" s="4"/>
      <c r="J192" s="4"/>
      <c r="K192" s="4"/>
      <c r="L192" s="4"/>
    </row>
    <row r="193" spans="1:12" ht="13" customHeight="1" x14ac:dyDescent="0.25">
      <c r="A193" s="10">
        <v>45649</v>
      </c>
      <c r="B193" s="1" t="s">
        <v>6</v>
      </c>
      <c r="C193" s="3" t="s">
        <v>41</v>
      </c>
      <c r="D193" s="13"/>
      <c r="E193" s="4">
        <v>5370646</v>
      </c>
      <c r="F193" s="13"/>
      <c r="G193" s="16">
        <f t="shared" si="12"/>
        <v>80543953</v>
      </c>
      <c r="I193" s="4"/>
      <c r="J193" s="4"/>
      <c r="K193" s="4"/>
      <c r="L193" s="4"/>
    </row>
    <row r="194" spans="1:12" ht="13" customHeight="1" x14ac:dyDescent="0.25">
      <c r="B194" s="1"/>
      <c r="C194" s="3"/>
      <c r="D194" s="13"/>
      <c r="E194" s="4"/>
      <c r="F194" s="13"/>
      <c r="G194" s="16"/>
      <c r="I194" s="4"/>
      <c r="J194" s="4"/>
      <c r="K194" s="4"/>
      <c r="L194" s="4"/>
    </row>
    <row r="195" spans="1:12" ht="13" customHeight="1" x14ac:dyDescent="0.25">
      <c r="C195" s="5"/>
      <c r="D195" s="14"/>
      <c r="E195" s="14"/>
      <c r="F195" s="14"/>
      <c r="G195" s="7"/>
      <c r="H195" s="7"/>
      <c r="I195" s="7"/>
      <c r="J195" s="7"/>
      <c r="K195" s="7"/>
      <c r="L195" s="7"/>
    </row>
    <row r="196" spans="1:12" x14ac:dyDescent="0.25">
      <c r="B196" s="2" t="s">
        <v>43</v>
      </c>
      <c r="C196" s="2"/>
      <c r="D196" s="12"/>
      <c r="E196" s="12"/>
      <c r="F196" s="12"/>
    </row>
    <row r="197" spans="1:12" x14ac:dyDescent="0.25">
      <c r="A197" s="9">
        <v>45292</v>
      </c>
      <c r="B197" s="1" t="s">
        <v>0</v>
      </c>
      <c r="C197" s="3" t="s">
        <v>1</v>
      </c>
      <c r="D197" s="13"/>
      <c r="E197" s="13"/>
      <c r="F197" s="13">
        <v>373621854</v>
      </c>
      <c r="G197" s="4"/>
      <c r="I197" s="4"/>
      <c r="J197" s="4"/>
      <c r="K197" s="4"/>
      <c r="L197" s="4"/>
    </row>
    <row r="198" spans="1:12" x14ac:dyDescent="0.25">
      <c r="A198" s="10">
        <v>45316</v>
      </c>
      <c r="B198" s="1" t="s">
        <v>0</v>
      </c>
      <c r="C198" s="3" t="s">
        <v>44</v>
      </c>
      <c r="D198" s="13"/>
      <c r="E198" s="4">
        <v>4151393</v>
      </c>
      <c r="F198" s="13"/>
      <c r="G198" s="16">
        <f>F197-E198</f>
        <v>369470461</v>
      </c>
      <c r="H198" s="4"/>
      <c r="I198" s="4"/>
      <c r="J198" s="4"/>
      <c r="K198" s="4"/>
      <c r="L198" s="4"/>
    </row>
    <row r="199" spans="1:12" ht="13" customHeight="1" x14ac:dyDescent="0.25">
      <c r="A199" s="10">
        <v>45345</v>
      </c>
      <c r="B199" s="1" t="s">
        <v>6</v>
      </c>
      <c r="C199" s="3" t="s">
        <v>44</v>
      </c>
      <c r="D199" s="13"/>
      <c r="E199" s="4">
        <v>4189274</v>
      </c>
      <c r="F199" s="13"/>
      <c r="G199" s="16">
        <f>G198-E199</f>
        <v>365281187</v>
      </c>
      <c r="I199" s="4"/>
      <c r="J199" s="4"/>
      <c r="K199" s="4"/>
      <c r="L199" s="4"/>
    </row>
    <row r="200" spans="1:12" ht="13" customHeight="1" x14ac:dyDescent="0.25">
      <c r="A200" s="10">
        <v>45376</v>
      </c>
      <c r="B200" s="1" t="s">
        <v>6</v>
      </c>
      <c r="C200" s="3" t="s">
        <v>44</v>
      </c>
      <c r="D200" s="13"/>
      <c r="E200" s="4">
        <v>4227502</v>
      </c>
      <c r="F200" s="13"/>
      <c r="G200" s="16">
        <f t="shared" ref="G200:G209" si="13">G199-E200</f>
        <v>361053685</v>
      </c>
      <c r="I200" s="4"/>
      <c r="J200" s="4"/>
      <c r="K200" s="4"/>
      <c r="L200" s="4"/>
    </row>
    <row r="201" spans="1:12" ht="13" customHeight="1" x14ac:dyDescent="0.25">
      <c r="A201" s="10">
        <v>45407</v>
      </c>
      <c r="B201" s="1" t="s">
        <v>6</v>
      </c>
      <c r="C201" s="3" t="s">
        <v>44</v>
      </c>
      <c r="D201" s="13"/>
      <c r="E201" s="4">
        <v>4266078</v>
      </c>
      <c r="F201" s="13"/>
      <c r="G201" s="16">
        <f t="shared" si="13"/>
        <v>356787607</v>
      </c>
      <c r="I201" s="4"/>
      <c r="J201" s="4"/>
      <c r="K201" s="4"/>
      <c r="L201" s="4"/>
    </row>
    <row r="202" spans="1:12" ht="13" customHeight="1" x14ac:dyDescent="0.25">
      <c r="A202" s="10">
        <v>45434</v>
      </c>
      <c r="B202" s="1" t="s">
        <v>6</v>
      </c>
      <c r="C202" s="3" t="s">
        <v>44</v>
      </c>
      <c r="D202" s="13"/>
      <c r="E202" s="4">
        <v>4305006</v>
      </c>
      <c r="F202" s="13"/>
      <c r="G202" s="16">
        <f t="shared" si="13"/>
        <v>352482601</v>
      </c>
      <c r="I202" s="4"/>
      <c r="J202" s="4"/>
      <c r="K202" s="4"/>
      <c r="L202" s="4"/>
    </row>
    <row r="203" spans="1:12" ht="13" customHeight="1" x14ac:dyDescent="0.25">
      <c r="A203" s="10">
        <v>45468</v>
      </c>
      <c r="B203" s="1" t="s">
        <v>6</v>
      </c>
      <c r="C203" s="3" t="s">
        <v>44</v>
      </c>
      <c r="D203" s="13"/>
      <c r="E203" s="4">
        <v>4344289</v>
      </c>
      <c r="F203" s="13"/>
      <c r="G203" s="16">
        <f t="shared" si="13"/>
        <v>348138312</v>
      </c>
      <c r="I203" s="4"/>
      <c r="J203" s="4"/>
      <c r="K203" s="4"/>
      <c r="L203" s="4"/>
    </row>
    <row r="204" spans="1:12" ht="13" customHeight="1" x14ac:dyDescent="0.25">
      <c r="A204" s="10">
        <v>45498</v>
      </c>
      <c r="B204" s="1" t="s">
        <v>6</v>
      </c>
      <c r="C204" s="3" t="s">
        <v>45</v>
      </c>
      <c r="D204" s="13"/>
      <c r="E204" s="4">
        <v>4383930</v>
      </c>
      <c r="F204" s="13"/>
      <c r="G204" s="16">
        <f t="shared" si="13"/>
        <v>343754382</v>
      </c>
      <c r="I204" s="4"/>
      <c r="J204" s="4"/>
      <c r="K204" s="4"/>
      <c r="L204" s="4"/>
    </row>
    <row r="205" spans="1:12" ht="13" customHeight="1" x14ac:dyDescent="0.25">
      <c r="A205" s="10">
        <v>45527</v>
      </c>
      <c r="B205" s="1" t="s">
        <v>6</v>
      </c>
      <c r="C205" s="3" t="s">
        <v>44</v>
      </c>
      <c r="D205" s="13"/>
      <c r="E205" s="4">
        <v>4423934</v>
      </c>
      <c r="F205" s="13"/>
      <c r="G205" s="16">
        <f t="shared" si="13"/>
        <v>339330448</v>
      </c>
      <c r="I205" s="4"/>
      <c r="J205" s="4"/>
      <c r="K205" s="4"/>
      <c r="L205" s="4"/>
    </row>
    <row r="206" spans="1:12" ht="13" customHeight="1" x14ac:dyDescent="0.25">
      <c r="A206" s="10">
        <v>45560</v>
      </c>
      <c r="B206" s="1" t="s">
        <v>6</v>
      </c>
      <c r="C206" s="3" t="s">
        <v>45</v>
      </c>
      <c r="D206" s="13"/>
      <c r="E206" s="4">
        <v>4464302</v>
      </c>
      <c r="F206" s="13"/>
      <c r="G206" s="16">
        <f t="shared" si="13"/>
        <v>334866146</v>
      </c>
      <c r="I206" s="4"/>
      <c r="J206" s="4"/>
      <c r="K206" s="4"/>
      <c r="L206" s="4"/>
    </row>
    <row r="207" spans="1:12" ht="13" customHeight="1" x14ac:dyDescent="0.25">
      <c r="A207" s="10">
        <v>45590</v>
      </c>
      <c r="B207" s="1" t="s">
        <v>6</v>
      </c>
      <c r="C207" s="3" t="s">
        <v>45</v>
      </c>
      <c r="D207" s="13"/>
      <c r="E207" s="4">
        <v>4505039</v>
      </c>
      <c r="F207" s="13"/>
      <c r="G207" s="16">
        <f t="shared" si="13"/>
        <v>330361107</v>
      </c>
      <c r="I207" s="4"/>
      <c r="J207" s="4"/>
      <c r="K207" s="4"/>
      <c r="L207" s="4"/>
    </row>
    <row r="208" spans="1:12" ht="13" customHeight="1" x14ac:dyDescent="0.25">
      <c r="A208" s="10">
        <v>45621</v>
      </c>
      <c r="B208" s="1" t="s">
        <v>6</v>
      </c>
      <c r="C208" s="3" t="s">
        <v>45</v>
      </c>
      <c r="D208" s="13"/>
      <c r="E208" s="4">
        <v>4546147</v>
      </c>
      <c r="F208" s="13"/>
      <c r="G208" s="16">
        <f>G207-E208</f>
        <v>325814960</v>
      </c>
      <c r="I208" s="4"/>
      <c r="J208" s="4"/>
      <c r="K208" s="4"/>
      <c r="L208" s="4"/>
    </row>
    <row r="209" spans="1:12" ht="13" customHeight="1" x14ac:dyDescent="0.25">
      <c r="A209" s="10">
        <v>45649</v>
      </c>
      <c r="B209" s="1" t="s">
        <v>6</v>
      </c>
      <c r="C209" s="3" t="s">
        <v>45</v>
      </c>
      <c r="D209" s="13"/>
      <c r="E209" s="4">
        <v>4587631</v>
      </c>
      <c r="F209" s="13"/>
      <c r="G209" s="16">
        <f t="shared" si="13"/>
        <v>321227329</v>
      </c>
      <c r="I209" s="4"/>
      <c r="J209" s="4"/>
      <c r="K209" s="4"/>
      <c r="L209" s="4"/>
    </row>
    <row r="210" spans="1:12" ht="13" customHeight="1" x14ac:dyDescent="0.25">
      <c r="B210" s="1"/>
      <c r="F210" s="13"/>
      <c r="G210" s="16"/>
      <c r="I210" s="4"/>
      <c r="J210" s="4"/>
      <c r="K210" s="4"/>
      <c r="L210" s="4"/>
    </row>
    <row r="211" spans="1:12" x14ac:dyDescent="0.25">
      <c r="B211" s="2" t="s">
        <v>48</v>
      </c>
      <c r="C211" s="2"/>
      <c r="D211" s="12"/>
      <c r="E211" s="12"/>
      <c r="F211" s="12"/>
    </row>
    <row r="212" spans="1:12" x14ac:dyDescent="0.25">
      <c r="A212" s="9">
        <v>45292</v>
      </c>
      <c r="B212" s="1" t="s">
        <v>0</v>
      </c>
      <c r="C212" s="3" t="s">
        <v>1</v>
      </c>
      <c r="D212" s="13"/>
      <c r="E212" s="13"/>
      <c r="F212" s="13"/>
      <c r="G212" s="4"/>
      <c r="I212" s="4"/>
      <c r="J212" s="4"/>
      <c r="K212" s="4"/>
      <c r="L212" s="4"/>
    </row>
    <row r="213" spans="1:12" ht="26" x14ac:dyDescent="0.25">
      <c r="A213" s="9">
        <v>45292</v>
      </c>
      <c r="B213" s="1" t="s">
        <v>0</v>
      </c>
      <c r="C213" s="3" t="s">
        <v>49</v>
      </c>
      <c r="D213" s="13"/>
      <c r="E213" s="13"/>
      <c r="F213" s="13">
        <v>270594142</v>
      </c>
      <c r="H213" s="4"/>
      <c r="I213" s="4"/>
      <c r="J213" s="4"/>
      <c r="K213" s="4"/>
      <c r="L213" s="4"/>
    </row>
    <row r="214" spans="1:12" ht="13" customHeight="1" x14ac:dyDescent="0.25">
      <c r="A214" s="10">
        <v>45316</v>
      </c>
      <c r="B214" s="1" t="s">
        <v>6</v>
      </c>
      <c r="C214" s="3" t="s">
        <v>49</v>
      </c>
      <c r="D214" s="13"/>
      <c r="E214" s="4">
        <v>4404185</v>
      </c>
      <c r="F214" s="13"/>
      <c r="G214" s="16">
        <f>F213-E214</f>
        <v>266189957</v>
      </c>
      <c r="I214" s="4"/>
      <c r="J214" s="4"/>
      <c r="K214" s="4"/>
      <c r="L214" s="4"/>
    </row>
    <row r="215" spans="1:12" ht="13" customHeight="1" x14ac:dyDescent="0.25">
      <c r="A215" s="10">
        <v>45345</v>
      </c>
      <c r="B215" s="1" t="s">
        <v>6</v>
      </c>
      <c r="C215" s="3" t="s">
        <v>49</v>
      </c>
      <c r="D215" s="13"/>
      <c r="E215" s="4">
        <v>4444373</v>
      </c>
      <c r="F215" s="13"/>
      <c r="G215" s="16">
        <f>G214-E215</f>
        <v>261745584</v>
      </c>
      <c r="I215" s="4"/>
      <c r="J215" s="4"/>
      <c r="K215" s="4"/>
      <c r="L215" s="4"/>
    </row>
    <row r="216" spans="1:12" ht="13" customHeight="1" x14ac:dyDescent="0.25">
      <c r="A216" s="10">
        <v>45376</v>
      </c>
      <c r="B216" s="1" t="s">
        <v>6</v>
      </c>
      <c r="C216" s="3" t="s">
        <v>49</v>
      </c>
      <c r="D216" s="13"/>
      <c r="E216" s="4">
        <v>4484928</v>
      </c>
      <c r="F216" s="13"/>
      <c r="G216" s="16">
        <f t="shared" ref="G216:G225" si="14">G215-E216</f>
        <v>257260656</v>
      </c>
      <c r="I216" s="4"/>
      <c r="J216" s="4"/>
      <c r="K216" s="4"/>
      <c r="L216" s="4"/>
    </row>
    <row r="217" spans="1:12" ht="13" customHeight="1" x14ac:dyDescent="0.25">
      <c r="A217" s="10">
        <v>45407</v>
      </c>
      <c r="B217" s="1" t="s">
        <v>6</v>
      </c>
      <c r="C217" s="3" t="s">
        <v>49</v>
      </c>
      <c r="D217" s="13"/>
      <c r="E217" s="4">
        <v>4525853</v>
      </c>
      <c r="F217" s="13"/>
      <c r="G217" s="16">
        <f t="shared" si="14"/>
        <v>252734803</v>
      </c>
      <c r="I217" s="4"/>
      <c r="J217" s="4"/>
      <c r="K217" s="4"/>
      <c r="L217" s="4"/>
    </row>
    <row r="218" spans="1:12" ht="13" customHeight="1" x14ac:dyDescent="0.25">
      <c r="A218" s="10">
        <v>45434</v>
      </c>
      <c r="B218" s="1" t="s">
        <v>6</v>
      </c>
      <c r="C218" s="3" t="s">
        <v>49</v>
      </c>
      <c r="D218" s="13"/>
      <c r="E218" s="4">
        <v>4567152</v>
      </c>
      <c r="F218" s="13"/>
      <c r="G218" s="16">
        <f t="shared" si="14"/>
        <v>248167651</v>
      </c>
      <c r="I218" s="4"/>
      <c r="J218" s="4"/>
      <c r="K218" s="4"/>
      <c r="L218" s="4"/>
    </row>
    <row r="219" spans="1:12" ht="13" customHeight="1" x14ac:dyDescent="0.25">
      <c r="A219" s="10">
        <v>45468</v>
      </c>
      <c r="B219" s="1" t="s">
        <v>6</v>
      </c>
      <c r="C219" s="3" t="s">
        <v>49</v>
      </c>
      <c r="D219" s="13"/>
      <c r="E219" s="4">
        <v>4608827</v>
      </c>
      <c r="F219" s="13"/>
      <c r="G219" s="16">
        <f t="shared" si="14"/>
        <v>243558824</v>
      </c>
      <c r="I219" s="4"/>
      <c r="J219" s="4"/>
      <c r="K219" s="4"/>
      <c r="L219" s="4"/>
    </row>
    <row r="220" spans="1:12" ht="13" customHeight="1" x14ac:dyDescent="0.25">
      <c r="A220" s="10">
        <v>45498</v>
      </c>
      <c r="B220" s="1" t="s">
        <v>6</v>
      </c>
      <c r="C220" s="3" t="s">
        <v>49</v>
      </c>
      <c r="D220" s="13"/>
      <c r="E220" s="4">
        <v>4650883</v>
      </c>
      <c r="F220" s="13"/>
      <c r="G220" s="16">
        <f t="shared" si="14"/>
        <v>238907941</v>
      </c>
      <c r="I220" s="4"/>
      <c r="J220" s="4"/>
      <c r="K220" s="4"/>
      <c r="L220" s="4"/>
    </row>
    <row r="221" spans="1:12" ht="13" customHeight="1" x14ac:dyDescent="0.25">
      <c r="A221" s="10">
        <v>45527</v>
      </c>
      <c r="B221" s="1" t="s">
        <v>6</v>
      </c>
      <c r="C221" s="3" t="s">
        <v>49</v>
      </c>
      <c r="D221" s="13"/>
      <c r="E221" s="4">
        <v>4693322</v>
      </c>
      <c r="F221" s="13"/>
      <c r="G221" s="16">
        <f t="shared" si="14"/>
        <v>234214619</v>
      </c>
      <c r="I221" s="4"/>
      <c r="J221" s="4"/>
      <c r="K221" s="4"/>
      <c r="L221" s="4"/>
    </row>
    <row r="222" spans="1:12" ht="13" customHeight="1" x14ac:dyDescent="0.25">
      <c r="A222" s="10">
        <v>45560</v>
      </c>
      <c r="B222" s="1" t="s">
        <v>6</v>
      </c>
      <c r="C222" s="3" t="s">
        <v>49</v>
      </c>
      <c r="D222" s="13"/>
      <c r="E222" s="4">
        <v>4736148</v>
      </c>
      <c r="F222" s="13"/>
      <c r="G222" s="16">
        <f t="shared" si="14"/>
        <v>229478471</v>
      </c>
      <c r="I222" s="4"/>
      <c r="J222" s="4"/>
      <c r="K222" s="4"/>
      <c r="L222" s="4"/>
    </row>
    <row r="223" spans="1:12" ht="13" customHeight="1" x14ac:dyDescent="0.25">
      <c r="A223" s="10">
        <v>45590</v>
      </c>
      <c r="B223" s="1" t="s">
        <v>6</v>
      </c>
      <c r="C223" s="3" t="s">
        <v>49</v>
      </c>
      <c r="D223" s="13"/>
      <c r="E223" s="4">
        <v>4779366</v>
      </c>
      <c r="F223" s="13"/>
      <c r="G223" s="16">
        <f t="shared" si="14"/>
        <v>224699105</v>
      </c>
      <c r="I223" s="4"/>
      <c r="J223" s="4"/>
      <c r="K223" s="4"/>
      <c r="L223" s="4"/>
    </row>
    <row r="224" spans="1:12" ht="13" customHeight="1" x14ac:dyDescent="0.25">
      <c r="A224" s="10">
        <v>45621</v>
      </c>
      <c r="B224" s="1" t="s">
        <v>6</v>
      </c>
      <c r="C224" s="3" t="s">
        <v>49</v>
      </c>
      <c r="D224" s="13"/>
      <c r="E224" s="4">
        <v>4822977</v>
      </c>
      <c r="F224" s="13"/>
      <c r="G224" s="16">
        <f t="shared" si="14"/>
        <v>219876128</v>
      </c>
      <c r="I224" s="4"/>
      <c r="J224" s="4"/>
      <c r="K224" s="4"/>
      <c r="L224" s="4"/>
    </row>
    <row r="225" spans="1:12" ht="13" customHeight="1" x14ac:dyDescent="0.25">
      <c r="A225" s="10">
        <v>45649</v>
      </c>
      <c r="B225" s="1" t="s">
        <v>6</v>
      </c>
      <c r="C225" s="3" t="s">
        <v>49</v>
      </c>
      <c r="D225" s="13"/>
      <c r="E225" s="4">
        <v>4866987</v>
      </c>
      <c r="F225" s="13"/>
      <c r="G225" s="16">
        <f t="shared" si="14"/>
        <v>215009141</v>
      </c>
      <c r="I225" s="4"/>
      <c r="J225" s="4"/>
      <c r="K225" s="4"/>
      <c r="L225" s="4"/>
    </row>
    <row r="226" spans="1:12" ht="13" customHeight="1" x14ac:dyDescent="0.25">
      <c r="A226" s="10"/>
      <c r="B226" s="1"/>
      <c r="C226" s="3"/>
      <c r="D226" s="13"/>
      <c r="E226" s="4"/>
      <c r="F226" s="13"/>
      <c r="G226" s="16"/>
      <c r="I226" s="4"/>
      <c r="J226" s="4"/>
      <c r="K226" s="4"/>
      <c r="L226" s="4"/>
    </row>
    <row r="227" spans="1:12" ht="13" customHeight="1" x14ac:dyDescent="0.25">
      <c r="C227" s="5"/>
      <c r="D227" s="14"/>
      <c r="E227" s="14"/>
      <c r="F227" s="14"/>
      <c r="G227" s="7"/>
      <c r="H227" s="7"/>
      <c r="I227" s="7"/>
      <c r="J227" s="7"/>
      <c r="K227" s="7"/>
      <c r="L227" s="7"/>
    </row>
    <row r="228" spans="1:12" x14ac:dyDescent="0.25">
      <c r="B228" s="2" t="s">
        <v>50</v>
      </c>
      <c r="C228" s="2"/>
      <c r="D228" s="12"/>
      <c r="E228" s="12"/>
      <c r="F228" s="12"/>
    </row>
    <row r="229" spans="1:12" x14ac:dyDescent="0.25">
      <c r="A229" s="9">
        <v>45292</v>
      </c>
      <c r="B229" s="1" t="s">
        <v>0</v>
      </c>
      <c r="C229" s="3" t="s">
        <v>1</v>
      </c>
      <c r="D229" s="13"/>
      <c r="E229" s="13"/>
      <c r="F229" s="13">
        <v>234774674</v>
      </c>
      <c r="G229" s="4"/>
      <c r="I229" s="4"/>
      <c r="J229" s="4"/>
      <c r="K229" s="4"/>
      <c r="L229" s="4"/>
    </row>
    <row r="230" spans="1:12" ht="13" customHeight="1" x14ac:dyDescent="0.25">
      <c r="A230" s="10">
        <v>45316</v>
      </c>
      <c r="B230" s="1" t="s">
        <v>6</v>
      </c>
      <c r="C230" s="3" t="s">
        <v>51</v>
      </c>
      <c r="D230" s="13"/>
      <c r="E230" s="4">
        <v>4130269</v>
      </c>
      <c r="F230" s="13"/>
      <c r="G230" s="16">
        <f>F229-E230</f>
        <v>230644405</v>
      </c>
      <c r="I230" s="4"/>
      <c r="J230" s="4"/>
      <c r="K230" s="4"/>
      <c r="L230" s="4"/>
    </row>
    <row r="231" spans="1:12" ht="13" customHeight="1" x14ac:dyDescent="0.25">
      <c r="A231" s="10">
        <v>45345</v>
      </c>
      <c r="B231" s="1" t="s">
        <v>6</v>
      </c>
      <c r="C231" s="3" t="s">
        <v>52</v>
      </c>
      <c r="D231" s="13"/>
      <c r="E231" s="4">
        <v>4167958</v>
      </c>
      <c r="F231" s="13"/>
      <c r="G231" s="16">
        <f>G230-E231</f>
        <v>226476447</v>
      </c>
      <c r="I231" s="4"/>
      <c r="J231" s="4"/>
      <c r="K231" s="4"/>
      <c r="L231" s="4"/>
    </row>
    <row r="232" spans="1:12" ht="13" customHeight="1" x14ac:dyDescent="0.25">
      <c r="A232" s="10">
        <v>45376</v>
      </c>
      <c r="B232" s="1" t="s">
        <v>6</v>
      </c>
      <c r="C232" s="3" t="s">
        <v>51</v>
      </c>
      <c r="D232" s="13"/>
      <c r="E232" s="4">
        <v>4205990</v>
      </c>
      <c r="F232" s="13"/>
      <c r="G232" s="16">
        <f t="shared" ref="G232:G241" si="15">G231-E232</f>
        <v>222270457</v>
      </c>
      <c r="I232" s="4"/>
      <c r="J232" s="4"/>
      <c r="K232" s="4"/>
      <c r="L232" s="4"/>
    </row>
    <row r="233" spans="1:12" ht="13" customHeight="1" x14ac:dyDescent="0.25">
      <c r="A233" s="10">
        <v>45407</v>
      </c>
      <c r="B233" s="1" t="s">
        <v>6</v>
      </c>
      <c r="C233" s="3" t="s">
        <v>51</v>
      </c>
      <c r="D233" s="13"/>
      <c r="E233" s="4">
        <v>4244370</v>
      </c>
      <c r="F233" s="13"/>
      <c r="G233" s="16">
        <f t="shared" si="15"/>
        <v>218026087</v>
      </c>
      <c r="I233" s="4"/>
      <c r="J233" s="4"/>
      <c r="K233" s="4"/>
      <c r="L233" s="4"/>
    </row>
    <row r="234" spans="1:12" ht="13" customHeight="1" x14ac:dyDescent="0.25">
      <c r="A234" s="10">
        <v>45434</v>
      </c>
      <c r="B234" s="1" t="s">
        <v>6</v>
      </c>
      <c r="C234" s="3" t="s">
        <v>51</v>
      </c>
      <c r="D234" s="13"/>
      <c r="E234" s="4">
        <v>4283100</v>
      </c>
      <c r="F234" s="13"/>
      <c r="G234" s="16">
        <f t="shared" si="15"/>
        <v>213742987</v>
      </c>
      <c r="I234" s="4"/>
      <c r="J234" s="4"/>
      <c r="K234" s="4"/>
      <c r="L234" s="4"/>
    </row>
    <row r="235" spans="1:12" ht="13" customHeight="1" x14ac:dyDescent="0.25">
      <c r="A235" s="10">
        <v>45468</v>
      </c>
      <c r="B235" s="1" t="s">
        <v>6</v>
      </c>
      <c r="C235" s="3" t="s">
        <v>51</v>
      </c>
      <c r="D235" s="13"/>
      <c r="E235" s="4">
        <v>4322183</v>
      </c>
      <c r="F235" s="13"/>
      <c r="G235" s="16">
        <f t="shared" si="15"/>
        <v>209420804</v>
      </c>
      <c r="I235" s="4"/>
      <c r="J235" s="4"/>
      <c r="K235" s="4"/>
      <c r="L235" s="4"/>
    </row>
    <row r="236" spans="1:12" ht="13" customHeight="1" x14ac:dyDescent="0.25">
      <c r="A236" s="10">
        <v>45498</v>
      </c>
      <c r="B236" s="1" t="s">
        <v>6</v>
      </c>
      <c r="C236" s="3" t="s">
        <v>51</v>
      </c>
      <c r="D236" s="13"/>
      <c r="E236" s="4">
        <v>4361623</v>
      </c>
      <c r="F236" s="13"/>
      <c r="G236" s="16">
        <f t="shared" si="15"/>
        <v>205059181</v>
      </c>
      <c r="I236" s="4"/>
      <c r="J236" s="4"/>
      <c r="K236" s="4"/>
      <c r="L236" s="4"/>
    </row>
    <row r="237" spans="1:12" ht="13" customHeight="1" x14ac:dyDescent="0.25">
      <c r="A237" s="10">
        <v>45527</v>
      </c>
      <c r="B237" s="1" t="s">
        <v>6</v>
      </c>
      <c r="C237" s="3" t="s">
        <v>53</v>
      </c>
      <c r="D237" s="13"/>
      <c r="E237" s="4">
        <v>4401423</v>
      </c>
      <c r="F237" s="13"/>
      <c r="G237" s="16">
        <f t="shared" si="15"/>
        <v>200657758</v>
      </c>
      <c r="I237" s="4"/>
      <c r="J237" s="4"/>
      <c r="K237" s="4"/>
      <c r="L237" s="4"/>
    </row>
    <row r="238" spans="1:12" ht="13" customHeight="1" x14ac:dyDescent="0.25">
      <c r="A238" s="10">
        <v>45560</v>
      </c>
      <c r="B238" s="1" t="s">
        <v>6</v>
      </c>
      <c r="C238" s="3" t="s">
        <v>51</v>
      </c>
      <c r="D238" s="13"/>
      <c r="E238" s="4">
        <v>4441586</v>
      </c>
      <c r="F238" s="13"/>
      <c r="G238" s="16">
        <f t="shared" si="15"/>
        <v>196216172</v>
      </c>
      <c r="I238" s="4"/>
      <c r="J238" s="4"/>
      <c r="K238" s="4"/>
      <c r="L238" s="4"/>
    </row>
    <row r="239" spans="1:12" ht="13" customHeight="1" x14ac:dyDescent="0.25">
      <c r="A239" s="10">
        <v>45590</v>
      </c>
      <c r="B239" s="1" t="s">
        <v>6</v>
      </c>
      <c r="C239" s="3" t="s">
        <v>51</v>
      </c>
      <c r="D239" s="13"/>
      <c r="E239" s="4">
        <v>4482115</v>
      </c>
      <c r="F239" s="13"/>
      <c r="G239" s="16">
        <f t="shared" si="15"/>
        <v>191734057</v>
      </c>
      <c r="I239" s="4"/>
      <c r="J239" s="4"/>
      <c r="K239" s="4"/>
      <c r="L239" s="4"/>
    </row>
    <row r="240" spans="1:12" ht="13" customHeight="1" x14ac:dyDescent="0.25">
      <c r="A240" s="10">
        <v>45621</v>
      </c>
      <c r="B240" s="1" t="s">
        <v>6</v>
      </c>
      <c r="C240" s="3" t="s">
        <v>51</v>
      </c>
      <c r="D240" s="13"/>
      <c r="E240" s="4">
        <v>4523015</v>
      </c>
      <c r="F240" s="13"/>
      <c r="G240" s="16">
        <f t="shared" si="15"/>
        <v>187211042</v>
      </c>
      <c r="I240" s="4"/>
      <c r="J240" s="4"/>
      <c r="K240" s="4"/>
      <c r="L240" s="4"/>
    </row>
    <row r="241" spans="1:12" ht="13" customHeight="1" x14ac:dyDescent="0.25">
      <c r="A241" s="10">
        <v>45649</v>
      </c>
      <c r="B241" s="1" t="s">
        <v>6</v>
      </c>
      <c r="C241" s="3" t="s">
        <v>51</v>
      </c>
      <c r="D241" s="13"/>
      <c r="E241" s="4">
        <v>4564287</v>
      </c>
      <c r="F241" s="13"/>
      <c r="G241" s="16">
        <f t="shared" si="15"/>
        <v>182646755</v>
      </c>
      <c r="I241" s="4"/>
      <c r="J241" s="4"/>
      <c r="K241" s="4"/>
      <c r="L241" s="4"/>
    </row>
    <row r="242" spans="1:12" ht="13" customHeight="1" x14ac:dyDescent="0.25">
      <c r="B242" s="1" t="s">
        <v>6</v>
      </c>
      <c r="F242" s="13"/>
      <c r="G242" s="16"/>
      <c r="I242" s="4"/>
      <c r="J242" s="4"/>
      <c r="K242" s="4"/>
      <c r="L242" s="4"/>
    </row>
    <row r="243" spans="1:12" ht="13" customHeight="1" x14ac:dyDescent="0.25">
      <c r="A243" s="10"/>
      <c r="C243" s="5"/>
      <c r="D243" s="14"/>
      <c r="E243" s="14"/>
      <c r="F243" s="14"/>
      <c r="G243" s="7"/>
      <c r="H243" s="7"/>
      <c r="I243" s="7"/>
      <c r="J243" s="7"/>
      <c r="K243" s="7"/>
      <c r="L243" s="7"/>
    </row>
    <row r="244" spans="1:12" x14ac:dyDescent="0.25">
      <c r="B244" s="2" t="s">
        <v>54</v>
      </c>
      <c r="C244" s="2"/>
      <c r="D244" s="12"/>
      <c r="E244" s="12"/>
      <c r="F244" s="12"/>
    </row>
    <row r="245" spans="1:12" x14ac:dyDescent="0.25">
      <c r="A245" s="9">
        <v>45292</v>
      </c>
      <c r="B245" s="1" t="s">
        <v>0</v>
      </c>
      <c r="C245" s="3" t="s">
        <v>1</v>
      </c>
      <c r="D245" s="13"/>
      <c r="E245" s="13"/>
      <c r="F245" s="13">
        <v>16574269</v>
      </c>
      <c r="G245" s="4"/>
      <c r="I245" s="4"/>
      <c r="J245" s="4"/>
      <c r="K245" s="4"/>
      <c r="L245" s="4"/>
    </row>
    <row r="246" spans="1:12" ht="13" customHeight="1" x14ac:dyDescent="0.25">
      <c r="A246" s="9">
        <v>45292</v>
      </c>
      <c r="B246" s="1" t="s">
        <v>6</v>
      </c>
      <c r="C246" s="3" t="s">
        <v>55</v>
      </c>
      <c r="D246" s="13"/>
      <c r="E246" s="4">
        <v>2700032</v>
      </c>
      <c r="F246" s="13"/>
      <c r="G246" s="16">
        <f>F245-E246</f>
        <v>13874237</v>
      </c>
      <c r="H246" s="4"/>
      <c r="I246" s="4"/>
      <c r="J246" s="4"/>
      <c r="K246" s="4"/>
      <c r="L246" s="4"/>
    </row>
    <row r="247" spans="1:12" ht="13" customHeight="1" x14ac:dyDescent="0.25">
      <c r="A247" s="10">
        <v>45316</v>
      </c>
      <c r="B247" s="1" t="s">
        <v>6</v>
      </c>
      <c r="C247" s="3" t="s">
        <v>55</v>
      </c>
      <c r="D247" s="13"/>
      <c r="E247" s="4">
        <v>2724669</v>
      </c>
      <c r="F247" s="13"/>
      <c r="G247" s="16">
        <f>G246-E247</f>
        <v>11149568</v>
      </c>
      <c r="H247" s="4"/>
      <c r="I247" s="4"/>
      <c r="J247" s="4"/>
      <c r="K247" s="4"/>
      <c r="L247" s="4"/>
    </row>
    <row r="248" spans="1:12" ht="13" customHeight="1" x14ac:dyDescent="0.25">
      <c r="A248" s="10">
        <v>45345</v>
      </c>
      <c r="B248" s="1" t="s">
        <v>6</v>
      </c>
      <c r="C248" s="3" t="s">
        <v>55</v>
      </c>
      <c r="D248" s="13"/>
      <c r="E248" s="4">
        <v>2749532</v>
      </c>
      <c r="F248" s="13"/>
      <c r="G248" s="16">
        <f t="shared" ref="G248:G251" si="16">G247-E248</f>
        <v>8400036</v>
      </c>
      <c r="H248" s="4"/>
      <c r="I248" s="4"/>
      <c r="J248" s="4"/>
      <c r="K248" s="4"/>
      <c r="L248" s="4"/>
    </row>
    <row r="249" spans="1:12" ht="13" customHeight="1" x14ac:dyDescent="0.25">
      <c r="A249" s="10">
        <v>45376</v>
      </c>
      <c r="B249" s="1" t="s">
        <v>6</v>
      </c>
      <c r="C249" s="3" t="s">
        <v>55</v>
      </c>
      <c r="D249" s="13"/>
      <c r="E249" s="4">
        <v>2774621</v>
      </c>
      <c r="F249" s="13"/>
      <c r="G249" s="16">
        <f t="shared" si="16"/>
        <v>5625415</v>
      </c>
      <c r="H249" s="4"/>
      <c r="I249" s="4"/>
      <c r="J249" s="4"/>
      <c r="K249" s="4"/>
      <c r="L249" s="4"/>
    </row>
    <row r="250" spans="1:12" ht="13" customHeight="1" x14ac:dyDescent="0.25">
      <c r="A250" s="10">
        <v>45407</v>
      </c>
      <c r="B250" s="1" t="s">
        <v>6</v>
      </c>
      <c r="C250" s="3" t="s">
        <v>55</v>
      </c>
      <c r="D250" s="13"/>
      <c r="E250" s="4">
        <v>2799940</v>
      </c>
      <c r="F250" s="13"/>
      <c r="G250" s="16">
        <f t="shared" si="16"/>
        <v>2825475</v>
      </c>
      <c r="H250" s="4"/>
      <c r="I250" s="4"/>
      <c r="J250" s="4"/>
      <c r="K250" s="4"/>
      <c r="L250" s="4"/>
    </row>
    <row r="251" spans="1:12" ht="13" customHeight="1" x14ac:dyDescent="0.25">
      <c r="A251" s="10">
        <v>45434</v>
      </c>
      <c r="B251" s="1" t="s">
        <v>6</v>
      </c>
      <c r="C251" s="3" t="s">
        <v>55</v>
      </c>
      <c r="D251" s="13"/>
      <c r="E251" s="4">
        <v>2825475</v>
      </c>
      <c r="F251" s="13"/>
      <c r="G251" s="16">
        <f t="shared" si="16"/>
        <v>0</v>
      </c>
      <c r="H251" s="4"/>
    </row>
    <row r="252" spans="1:12" ht="13" customHeight="1" x14ac:dyDescent="0.25">
      <c r="A252" s="10"/>
      <c r="C252" s="5"/>
      <c r="D252" s="14"/>
      <c r="E252" s="14"/>
      <c r="F252" s="14"/>
      <c r="G252" s="7"/>
      <c r="H252" s="7"/>
    </row>
    <row r="253" spans="1:12" ht="13" customHeight="1" x14ac:dyDescent="0.25">
      <c r="C253" s="5"/>
      <c r="D253" s="14"/>
      <c r="E253" s="14"/>
      <c r="F253" s="14"/>
      <c r="G253" s="7"/>
      <c r="H253" s="7"/>
    </row>
    <row r="254" spans="1:12" x14ac:dyDescent="0.25">
      <c r="B254" s="2" t="s">
        <v>56</v>
      </c>
      <c r="C254" s="2"/>
      <c r="D254" s="12"/>
      <c r="E254" s="12"/>
      <c r="F254" s="12"/>
    </row>
    <row r="255" spans="1:12" x14ac:dyDescent="0.25">
      <c r="A255" s="9">
        <v>45292</v>
      </c>
      <c r="B255" s="1" t="s">
        <v>0</v>
      </c>
      <c r="C255" s="3" t="s">
        <v>1</v>
      </c>
      <c r="D255" s="13"/>
      <c r="E255" s="13"/>
      <c r="F255" s="13">
        <v>33334677</v>
      </c>
      <c r="G255" s="4"/>
      <c r="I255" s="4"/>
      <c r="J255" s="4"/>
      <c r="K255" s="4"/>
      <c r="L255" s="4"/>
    </row>
    <row r="256" spans="1:12" ht="13" customHeight="1" x14ac:dyDescent="0.25">
      <c r="C256" s="5" t="s">
        <v>62</v>
      </c>
      <c r="D256" s="14"/>
      <c r="E256" s="14"/>
      <c r="F256" s="14"/>
      <c r="G256" s="4">
        <f>F255</f>
        <v>33334677</v>
      </c>
      <c r="I256" s="7"/>
      <c r="J256" s="7"/>
      <c r="K256" s="7"/>
      <c r="L256" s="7"/>
    </row>
    <row r="257" spans="4:7" x14ac:dyDescent="0.25">
      <c r="D257" s="18">
        <f>SUM(D6:D256)</f>
        <v>3</v>
      </c>
      <c r="E257" s="18">
        <f>SUM(E6:E256)</f>
        <v>786619082</v>
      </c>
      <c r="F257" s="18">
        <f>SUM(F6:F256)</f>
        <v>2837383385</v>
      </c>
      <c r="G257" s="18">
        <f>F257-E257</f>
        <v>2050764303</v>
      </c>
    </row>
    <row r="258" spans="4:7" x14ac:dyDescent="0.25">
      <c r="F258" s="19"/>
    </row>
    <row r="259" spans="4:7" x14ac:dyDescent="0.25">
      <c r="E259" s="15">
        <v>786619082</v>
      </c>
      <c r="F259" s="15">
        <v>2837383383</v>
      </c>
    </row>
    <row r="260" spans="4:7" x14ac:dyDescent="0.25">
      <c r="E260" s="15">
        <f>E257-E259</f>
        <v>0</v>
      </c>
      <c r="F260" s="15">
        <f>F257-F259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80B7-8D2D-4958-8273-B62C37A5983C}">
  <dimension ref="A3:M549"/>
  <sheetViews>
    <sheetView topLeftCell="A351" zoomScale="70" zoomScaleNormal="70" workbookViewId="0">
      <selection activeCell="B365" sqref="B365"/>
    </sheetView>
  </sheetViews>
  <sheetFormatPr defaultRowHeight="13" x14ac:dyDescent="0.25"/>
  <cols>
    <col min="1" max="2" width="8.7265625" style="8"/>
    <col min="3" max="3" width="27.36328125" style="8" customWidth="1"/>
    <col min="4" max="4" width="17.26953125" style="53" customWidth="1"/>
    <col min="5" max="5" width="18.26953125" style="58" customWidth="1"/>
    <col min="6" max="6" width="17.08984375" style="53" customWidth="1"/>
    <col min="7" max="7" width="17.81640625" style="53" customWidth="1"/>
    <col min="8" max="10" width="13" style="8" bestFit="1" customWidth="1"/>
    <col min="11" max="16384" width="8.7265625" style="8"/>
  </cols>
  <sheetData>
    <row r="3" spans="1:13" x14ac:dyDescent="0.25">
      <c r="A3" s="45" t="s">
        <v>120</v>
      </c>
      <c r="B3" s="45"/>
      <c r="C3" s="45"/>
      <c r="D3" s="52"/>
      <c r="H3" s="51"/>
      <c r="I3" s="51"/>
      <c r="J3" s="51"/>
      <c r="K3" s="51"/>
      <c r="L3" s="51"/>
      <c r="M3" s="51"/>
    </row>
    <row r="4" spans="1:13" x14ac:dyDescent="0.25">
      <c r="A4" s="45"/>
      <c r="B4" s="45"/>
      <c r="C4" s="45"/>
      <c r="D4" s="52"/>
      <c r="H4" s="51"/>
      <c r="I4" s="51"/>
      <c r="J4" s="51"/>
      <c r="K4" s="51"/>
      <c r="L4" s="51"/>
      <c r="M4" s="51"/>
    </row>
    <row r="5" spans="1:13" x14ac:dyDescent="0.25">
      <c r="B5" s="2"/>
      <c r="C5" s="2"/>
      <c r="D5" s="54" t="s">
        <v>57</v>
      </c>
      <c r="E5" s="59"/>
      <c r="F5" s="54" t="s">
        <v>58</v>
      </c>
      <c r="G5" s="54" t="s">
        <v>61</v>
      </c>
      <c r="H5" s="51"/>
      <c r="I5" s="51"/>
      <c r="J5" s="51"/>
      <c r="K5" s="51"/>
      <c r="L5" s="51"/>
      <c r="M5" s="51"/>
    </row>
    <row r="6" spans="1:13" x14ac:dyDescent="0.25">
      <c r="B6" s="2"/>
      <c r="C6" s="2"/>
      <c r="D6" s="54" t="s">
        <v>59</v>
      </c>
      <c r="E6" s="59" t="s">
        <v>60</v>
      </c>
      <c r="F6" s="54"/>
      <c r="H6" s="51"/>
      <c r="I6" s="51"/>
      <c r="J6" s="51"/>
      <c r="K6" s="51"/>
      <c r="L6" s="51"/>
      <c r="M6" s="51"/>
    </row>
    <row r="7" spans="1:13" x14ac:dyDescent="0.25">
      <c r="A7" s="51"/>
      <c r="B7" s="50" t="s">
        <v>116</v>
      </c>
      <c r="C7" s="50"/>
      <c r="D7" s="54"/>
      <c r="E7" s="59"/>
      <c r="H7" s="51"/>
      <c r="I7" s="51"/>
      <c r="J7" s="51"/>
      <c r="K7" s="51"/>
      <c r="L7" s="51"/>
      <c r="M7" s="51"/>
    </row>
    <row r="8" spans="1:13" x14ac:dyDescent="0.25">
      <c r="A8" s="47">
        <v>45292</v>
      </c>
      <c r="B8" s="43" t="s">
        <v>0</v>
      </c>
      <c r="C8" s="48" t="s">
        <v>1</v>
      </c>
      <c r="D8" s="55"/>
      <c r="E8" s="60"/>
      <c r="F8" s="53">
        <v>441301238</v>
      </c>
      <c r="G8" s="56"/>
      <c r="H8" s="49"/>
      <c r="I8" s="51"/>
      <c r="J8" s="49"/>
      <c r="K8" s="49"/>
      <c r="L8" s="49"/>
      <c r="M8" s="49"/>
    </row>
    <row r="9" spans="1:13" ht="13" customHeight="1" x14ac:dyDescent="0.25">
      <c r="A9" s="47">
        <v>45316</v>
      </c>
      <c r="B9" s="43" t="s">
        <v>6</v>
      </c>
      <c r="C9" s="48" t="s">
        <v>121</v>
      </c>
      <c r="D9" s="55"/>
      <c r="E9" s="61">
        <v>2842239</v>
      </c>
      <c r="G9" s="56">
        <f>F8-E9</f>
        <v>438458999</v>
      </c>
      <c r="H9" s="51"/>
      <c r="I9" s="49"/>
      <c r="J9" s="49"/>
      <c r="K9" s="49"/>
      <c r="L9" s="49"/>
      <c r="M9" s="49"/>
    </row>
    <row r="10" spans="1:13" ht="13" customHeight="1" x14ac:dyDescent="0.25">
      <c r="A10" s="47">
        <v>45345</v>
      </c>
      <c r="B10" s="43" t="s">
        <v>6</v>
      </c>
      <c r="C10" s="48" t="s">
        <v>121</v>
      </c>
      <c r="D10" s="55"/>
      <c r="E10" s="61">
        <v>2868293</v>
      </c>
      <c r="G10" s="56">
        <f>G9-E10</f>
        <v>435590706</v>
      </c>
      <c r="H10" s="51"/>
      <c r="I10" s="49"/>
      <c r="J10" s="49"/>
      <c r="K10" s="49"/>
      <c r="L10" s="49"/>
      <c r="M10" s="49"/>
    </row>
    <row r="11" spans="1:13" ht="13" customHeight="1" x14ac:dyDescent="0.25">
      <c r="A11" s="47">
        <v>45376</v>
      </c>
      <c r="B11" s="43" t="s">
        <v>6</v>
      </c>
      <c r="C11" s="48" t="s">
        <v>121</v>
      </c>
      <c r="D11" s="55"/>
      <c r="E11" s="61">
        <v>2894586</v>
      </c>
      <c r="G11" s="56">
        <f t="shared" ref="G11:G20" si="0">G10-E11</f>
        <v>432696120</v>
      </c>
      <c r="H11" s="51"/>
      <c r="I11" s="49"/>
      <c r="J11" s="49"/>
      <c r="K11" s="49"/>
      <c r="L11" s="49"/>
      <c r="M11" s="49"/>
    </row>
    <row r="12" spans="1:13" ht="13" customHeight="1" x14ac:dyDescent="0.25">
      <c r="A12" s="47">
        <v>45407</v>
      </c>
      <c r="B12" s="43" t="s">
        <v>6</v>
      </c>
      <c r="C12" s="48" t="s">
        <v>121</v>
      </c>
      <c r="D12" s="55"/>
      <c r="E12" s="61">
        <v>2921119</v>
      </c>
      <c r="G12" s="56">
        <f t="shared" si="0"/>
        <v>429775001</v>
      </c>
      <c r="H12" s="51"/>
      <c r="I12" s="49"/>
      <c r="J12" s="49"/>
      <c r="K12" s="49"/>
      <c r="L12" s="49"/>
      <c r="M12" s="49"/>
    </row>
    <row r="13" spans="1:13" ht="13" customHeight="1" x14ac:dyDescent="0.25">
      <c r="A13" s="47">
        <v>45434</v>
      </c>
      <c r="B13" s="43" t="s">
        <v>6</v>
      </c>
      <c r="C13" s="48" t="s">
        <v>121</v>
      </c>
      <c r="D13" s="55"/>
      <c r="E13" s="61">
        <v>2947896</v>
      </c>
      <c r="G13" s="56">
        <f t="shared" si="0"/>
        <v>426827105</v>
      </c>
      <c r="H13" s="51"/>
      <c r="I13" s="49"/>
      <c r="J13" s="49"/>
      <c r="K13" s="49"/>
      <c r="L13" s="49"/>
      <c r="M13" s="49"/>
    </row>
    <row r="14" spans="1:13" ht="13" customHeight="1" x14ac:dyDescent="0.25">
      <c r="A14" s="47">
        <v>45468</v>
      </c>
      <c r="B14" s="43" t="s">
        <v>6</v>
      </c>
      <c r="C14" s="48" t="s">
        <v>121</v>
      </c>
      <c r="D14" s="55"/>
      <c r="E14" s="61">
        <v>2974919</v>
      </c>
      <c r="G14" s="56">
        <f t="shared" si="0"/>
        <v>423852186</v>
      </c>
      <c r="H14" s="51"/>
      <c r="I14" s="49"/>
      <c r="J14" s="49"/>
      <c r="K14" s="49"/>
      <c r="L14" s="49"/>
      <c r="M14" s="49"/>
    </row>
    <row r="15" spans="1:13" ht="13" customHeight="1" x14ac:dyDescent="0.25">
      <c r="A15" s="47">
        <v>45498</v>
      </c>
      <c r="B15" s="43" t="s">
        <v>6</v>
      </c>
      <c r="C15" s="48" t="s">
        <v>121</v>
      </c>
      <c r="D15" s="55"/>
      <c r="E15" s="61">
        <v>3002189</v>
      </c>
      <c r="G15" s="56">
        <f t="shared" si="0"/>
        <v>420849997</v>
      </c>
      <c r="H15" s="51"/>
      <c r="I15" s="49"/>
      <c r="J15" s="49"/>
      <c r="K15" s="49"/>
      <c r="L15" s="49"/>
      <c r="M15" s="49"/>
    </row>
    <row r="16" spans="1:13" ht="13" customHeight="1" x14ac:dyDescent="0.25">
      <c r="A16" s="47">
        <v>45527</v>
      </c>
      <c r="B16" s="43" t="s">
        <v>6</v>
      </c>
      <c r="C16" s="48" t="s">
        <v>121</v>
      </c>
      <c r="D16" s="55"/>
      <c r="E16" s="61">
        <v>3029709</v>
      </c>
      <c r="G16" s="56">
        <f t="shared" si="0"/>
        <v>417820288</v>
      </c>
      <c r="H16" s="51"/>
      <c r="I16" s="49"/>
      <c r="J16" s="49"/>
      <c r="K16" s="49"/>
      <c r="L16" s="49"/>
      <c r="M16" s="49"/>
    </row>
    <row r="17" spans="1:13" ht="13" customHeight="1" x14ac:dyDescent="0.25">
      <c r="A17" s="47">
        <v>45560</v>
      </c>
      <c r="B17" s="43" t="s">
        <v>6</v>
      </c>
      <c r="C17" s="48" t="s">
        <v>121</v>
      </c>
      <c r="D17" s="55"/>
      <c r="E17" s="61">
        <v>3057481</v>
      </c>
      <c r="G17" s="56">
        <f t="shared" si="0"/>
        <v>414762807</v>
      </c>
      <c r="H17" s="51"/>
      <c r="I17" s="49"/>
      <c r="J17" s="49"/>
      <c r="K17" s="49"/>
      <c r="L17" s="49"/>
      <c r="M17" s="49"/>
    </row>
    <row r="18" spans="1:13" ht="13" customHeight="1" x14ac:dyDescent="0.25">
      <c r="A18" s="47">
        <v>45590</v>
      </c>
      <c r="B18" s="43" t="s">
        <v>6</v>
      </c>
      <c r="C18" s="48" t="s">
        <v>121</v>
      </c>
      <c r="D18" s="55"/>
      <c r="E18" s="61">
        <v>3085508</v>
      </c>
      <c r="G18" s="56">
        <f t="shared" si="0"/>
        <v>411677299</v>
      </c>
      <c r="H18" s="51"/>
      <c r="I18" s="49"/>
      <c r="J18" s="49"/>
      <c r="K18" s="49"/>
      <c r="L18" s="49"/>
      <c r="M18" s="49"/>
    </row>
    <row r="19" spans="1:13" ht="13" customHeight="1" x14ac:dyDescent="0.25">
      <c r="A19" s="47">
        <v>45621</v>
      </c>
      <c r="B19" s="43" t="s">
        <v>6</v>
      </c>
      <c r="C19" s="48" t="s">
        <v>121</v>
      </c>
      <c r="D19" s="55"/>
      <c r="E19" s="61">
        <v>3113792</v>
      </c>
      <c r="G19" s="56">
        <f t="shared" si="0"/>
        <v>408563507</v>
      </c>
      <c r="H19" s="51"/>
      <c r="I19" s="49"/>
      <c r="J19" s="49"/>
      <c r="K19" s="49"/>
      <c r="L19" s="49"/>
      <c r="M19" s="49"/>
    </row>
    <row r="20" spans="1:13" ht="13" customHeight="1" x14ac:dyDescent="0.25">
      <c r="A20" s="47">
        <v>45649</v>
      </c>
      <c r="B20" s="43" t="s">
        <v>6</v>
      </c>
      <c r="C20" s="48" t="s">
        <v>121</v>
      </c>
      <c r="D20" s="55"/>
      <c r="E20" s="61">
        <v>3142335</v>
      </c>
      <c r="G20" s="56">
        <f t="shared" si="0"/>
        <v>405421172</v>
      </c>
      <c r="H20" s="51"/>
      <c r="I20" s="49"/>
      <c r="J20" s="49"/>
      <c r="K20" s="49"/>
      <c r="L20" s="49"/>
      <c r="M20" s="49"/>
    </row>
    <row r="21" spans="1:13" x14ac:dyDescent="0.25">
      <c r="A21" s="51"/>
      <c r="B21" s="50" t="s">
        <v>122</v>
      </c>
      <c r="C21" s="50"/>
      <c r="D21" s="54"/>
      <c r="E21" s="59"/>
      <c r="H21" s="51"/>
      <c r="I21" s="51"/>
      <c r="J21" s="51"/>
      <c r="K21" s="51"/>
      <c r="L21" s="51"/>
      <c r="M21" s="51"/>
    </row>
    <row r="22" spans="1:13" x14ac:dyDescent="0.25">
      <c r="A22" s="47">
        <v>45292</v>
      </c>
      <c r="B22" s="43" t="s">
        <v>0</v>
      </c>
      <c r="C22" s="48" t="s">
        <v>1</v>
      </c>
      <c r="D22" s="55"/>
      <c r="E22" s="60"/>
      <c r="F22" s="49">
        <v>80174732</v>
      </c>
      <c r="G22" s="56"/>
      <c r="H22" s="49"/>
      <c r="I22" s="51"/>
      <c r="K22" s="49"/>
      <c r="L22" s="49"/>
      <c r="M22" s="49"/>
    </row>
    <row r="23" spans="1:13" ht="13" customHeight="1" x14ac:dyDescent="0.25">
      <c r="A23" s="47">
        <v>45316</v>
      </c>
      <c r="B23" s="43" t="s">
        <v>6</v>
      </c>
      <c r="C23" s="48" t="s">
        <v>123</v>
      </c>
      <c r="D23" s="55"/>
      <c r="E23" s="61">
        <v>8586633</v>
      </c>
      <c r="G23" s="56">
        <f>F22-E23</f>
        <v>71588099</v>
      </c>
      <c r="H23" s="51"/>
      <c r="J23" s="49"/>
      <c r="K23" s="49"/>
      <c r="L23" s="49"/>
      <c r="M23" s="49"/>
    </row>
    <row r="24" spans="1:13" ht="13" customHeight="1" x14ac:dyDescent="0.25">
      <c r="A24" s="47">
        <v>45345</v>
      </c>
      <c r="B24" s="43" t="s">
        <v>6</v>
      </c>
      <c r="C24" s="48" t="s">
        <v>123</v>
      </c>
      <c r="D24" s="55"/>
      <c r="E24" s="61">
        <v>8665343</v>
      </c>
      <c r="G24" s="56">
        <f>G23-E24</f>
        <v>62922756</v>
      </c>
      <c r="H24" s="51"/>
      <c r="J24" s="49"/>
      <c r="K24" s="49"/>
      <c r="L24" s="49"/>
      <c r="M24" s="49"/>
    </row>
    <row r="25" spans="1:13" ht="13" customHeight="1" x14ac:dyDescent="0.25">
      <c r="A25" s="47">
        <v>45376</v>
      </c>
      <c r="B25" s="43" t="s">
        <v>6</v>
      </c>
      <c r="C25" s="48" t="s">
        <v>123</v>
      </c>
      <c r="D25" s="55"/>
      <c r="E25" s="61">
        <v>8744776</v>
      </c>
      <c r="G25" s="56">
        <f t="shared" ref="G25:G31" si="1">G24-E25</f>
        <v>54177980</v>
      </c>
      <c r="H25" s="51"/>
      <c r="J25" s="49"/>
      <c r="K25" s="49"/>
      <c r="L25" s="49"/>
      <c r="M25" s="49"/>
    </row>
    <row r="26" spans="1:13" ht="13" customHeight="1" x14ac:dyDescent="0.25">
      <c r="A26" s="47">
        <v>45407</v>
      </c>
      <c r="B26" s="43" t="s">
        <v>6</v>
      </c>
      <c r="C26" s="48" t="s">
        <v>123</v>
      </c>
      <c r="D26" s="55"/>
      <c r="E26" s="61">
        <v>8824936</v>
      </c>
      <c r="G26" s="56">
        <f t="shared" si="1"/>
        <v>45353044</v>
      </c>
      <c r="H26" s="51"/>
      <c r="J26" s="49"/>
      <c r="K26" s="49"/>
      <c r="L26" s="49"/>
      <c r="M26" s="49"/>
    </row>
    <row r="27" spans="1:13" ht="13" customHeight="1" x14ac:dyDescent="0.25">
      <c r="A27" s="47">
        <v>45434</v>
      </c>
      <c r="B27" s="43" t="s">
        <v>6</v>
      </c>
      <c r="C27" s="48" t="s">
        <v>123</v>
      </c>
      <c r="D27" s="55"/>
      <c r="E27" s="61">
        <v>8905831</v>
      </c>
      <c r="G27" s="56">
        <f t="shared" si="1"/>
        <v>36447213</v>
      </c>
      <c r="H27" s="51"/>
      <c r="J27" s="49"/>
      <c r="K27" s="49"/>
      <c r="L27" s="49"/>
      <c r="M27" s="49"/>
    </row>
    <row r="28" spans="1:13" ht="13" customHeight="1" x14ac:dyDescent="0.25">
      <c r="A28" s="47">
        <v>45468</v>
      </c>
      <c r="B28" s="43" t="s">
        <v>6</v>
      </c>
      <c r="C28" s="48" t="s">
        <v>123</v>
      </c>
      <c r="D28" s="55"/>
      <c r="E28" s="61">
        <v>8987468</v>
      </c>
      <c r="G28" s="56">
        <f t="shared" si="1"/>
        <v>27459745</v>
      </c>
      <c r="H28" s="51"/>
      <c r="J28" s="49"/>
      <c r="K28" s="49"/>
      <c r="L28" s="49"/>
      <c r="M28" s="49"/>
    </row>
    <row r="29" spans="1:13" ht="13" customHeight="1" x14ac:dyDescent="0.25">
      <c r="A29" s="47">
        <v>45498</v>
      </c>
      <c r="B29" s="43" t="s">
        <v>6</v>
      </c>
      <c r="C29" s="48" t="s">
        <v>123</v>
      </c>
      <c r="D29" s="55"/>
      <c r="E29" s="61">
        <v>9069853</v>
      </c>
      <c r="G29" s="56">
        <f t="shared" si="1"/>
        <v>18389892</v>
      </c>
      <c r="H29" s="51"/>
      <c r="J29" s="49"/>
      <c r="K29" s="49"/>
      <c r="L29" s="49"/>
      <c r="M29" s="49"/>
    </row>
    <row r="30" spans="1:13" ht="13" customHeight="1" x14ac:dyDescent="0.25">
      <c r="A30" s="47">
        <v>45527</v>
      </c>
      <c r="B30" s="43" t="s">
        <v>6</v>
      </c>
      <c r="C30" s="48" t="s">
        <v>123</v>
      </c>
      <c r="D30" s="55"/>
      <c r="E30" s="61">
        <v>9152994</v>
      </c>
      <c r="G30" s="56">
        <f t="shared" si="1"/>
        <v>9236898</v>
      </c>
      <c r="H30" s="51"/>
      <c r="J30" s="49"/>
      <c r="K30" s="49"/>
      <c r="L30" s="49"/>
      <c r="M30" s="49"/>
    </row>
    <row r="31" spans="1:13" ht="13" customHeight="1" x14ac:dyDescent="0.25">
      <c r="A31" s="47">
        <v>45560</v>
      </c>
      <c r="B31" s="43" t="s">
        <v>6</v>
      </c>
      <c r="C31" s="48" t="s">
        <v>123</v>
      </c>
      <c r="D31" s="55"/>
      <c r="E31" s="61">
        <v>9236898</v>
      </c>
      <c r="G31" s="56">
        <f t="shared" si="1"/>
        <v>0</v>
      </c>
      <c r="H31" s="51"/>
      <c r="J31" s="51"/>
      <c r="K31" s="51"/>
      <c r="L31" s="51"/>
      <c r="M31" s="51"/>
    </row>
    <row r="32" spans="1:13" ht="13" customHeight="1" x14ac:dyDescent="0.25">
      <c r="A32" s="47"/>
      <c r="B32" s="43"/>
      <c r="C32" s="48"/>
      <c r="D32" s="55"/>
      <c r="E32" s="61"/>
      <c r="G32" s="56"/>
      <c r="H32" s="51"/>
      <c r="J32" s="51"/>
      <c r="K32" s="51"/>
      <c r="L32" s="51"/>
      <c r="M32" s="51"/>
    </row>
    <row r="33" spans="1:13" ht="13" customHeight="1" x14ac:dyDescent="0.25">
      <c r="A33" s="47"/>
      <c r="B33" s="43"/>
      <c r="C33" s="48"/>
      <c r="D33" s="55"/>
      <c r="E33" s="61"/>
      <c r="G33" s="56"/>
      <c r="H33" s="51"/>
      <c r="J33" s="51"/>
      <c r="K33" s="51"/>
      <c r="L33" s="51"/>
      <c r="M33" s="51"/>
    </row>
    <row r="34" spans="1:13" ht="13" customHeight="1" x14ac:dyDescent="0.25">
      <c r="A34" s="47"/>
      <c r="B34" s="43"/>
      <c r="C34" s="48"/>
      <c r="D34" s="55"/>
      <c r="E34" s="61"/>
      <c r="G34" s="56"/>
      <c r="H34" s="51"/>
      <c r="J34" s="51"/>
      <c r="K34" s="51"/>
      <c r="L34" s="51"/>
      <c r="M34" s="51"/>
    </row>
    <row r="35" spans="1:13" x14ac:dyDescent="0.25">
      <c r="A35" s="51"/>
      <c r="B35" s="50" t="s">
        <v>110</v>
      </c>
      <c r="C35" s="50"/>
      <c r="D35" s="54"/>
      <c r="E35" s="59"/>
      <c r="H35" s="51"/>
      <c r="I35" s="51"/>
      <c r="J35" s="51"/>
      <c r="K35" s="51"/>
      <c r="L35" s="51"/>
      <c r="M35" s="51"/>
    </row>
    <row r="36" spans="1:13" x14ac:dyDescent="0.25">
      <c r="A36" s="47">
        <v>45292</v>
      </c>
      <c r="B36" s="43" t="s">
        <v>0</v>
      </c>
      <c r="C36" s="48" t="s">
        <v>1</v>
      </c>
      <c r="D36" s="55"/>
      <c r="E36" s="60"/>
      <c r="F36" s="49">
        <v>259099951</v>
      </c>
      <c r="G36" s="56"/>
      <c r="H36" s="49"/>
      <c r="I36" s="51"/>
      <c r="J36" s="49"/>
      <c r="K36" s="49"/>
      <c r="L36" s="49"/>
      <c r="M36" s="49"/>
    </row>
    <row r="37" spans="1:13" ht="13" customHeight="1" x14ac:dyDescent="0.25">
      <c r="A37" s="47">
        <v>45316</v>
      </c>
      <c r="B37" s="43" t="s">
        <v>6</v>
      </c>
      <c r="C37" s="48" t="s">
        <v>124</v>
      </c>
      <c r="D37" s="55"/>
      <c r="E37" s="61">
        <v>5234765</v>
      </c>
      <c r="G37" s="56">
        <f>F36-E37</f>
        <v>253865186</v>
      </c>
      <c r="H37" s="51"/>
      <c r="J37" s="49"/>
      <c r="K37" s="49"/>
      <c r="L37" s="49"/>
      <c r="M37" s="49"/>
    </row>
    <row r="38" spans="1:13" ht="13" customHeight="1" x14ac:dyDescent="0.25">
      <c r="A38" s="47">
        <v>45345</v>
      </c>
      <c r="B38" s="43" t="s">
        <v>6</v>
      </c>
      <c r="C38" s="48" t="s">
        <v>124</v>
      </c>
      <c r="D38" s="55"/>
      <c r="E38" s="61">
        <v>5282751</v>
      </c>
      <c r="G38" s="56">
        <f>G37-E38</f>
        <v>248582435</v>
      </c>
      <c r="H38" s="51"/>
      <c r="J38" s="49"/>
      <c r="K38" s="49"/>
      <c r="L38" s="49"/>
      <c r="M38" s="49"/>
    </row>
    <row r="39" spans="1:13" ht="13" customHeight="1" x14ac:dyDescent="0.25">
      <c r="A39" s="47">
        <v>45376</v>
      </c>
      <c r="B39" s="43" t="s">
        <v>6</v>
      </c>
      <c r="C39" s="48" t="s">
        <v>124</v>
      </c>
      <c r="D39" s="55"/>
      <c r="E39" s="61">
        <v>5331176</v>
      </c>
      <c r="G39" s="56">
        <f t="shared" ref="G39:G48" si="2">G38-E39</f>
        <v>243251259</v>
      </c>
      <c r="H39" s="51"/>
      <c r="J39" s="49"/>
      <c r="K39" s="49"/>
      <c r="L39" s="49"/>
      <c r="M39" s="49"/>
    </row>
    <row r="40" spans="1:13" ht="13" customHeight="1" x14ac:dyDescent="0.25">
      <c r="A40" s="47">
        <v>45407</v>
      </c>
      <c r="B40" s="43" t="s">
        <v>6</v>
      </c>
      <c r="C40" s="48" t="s">
        <v>124</v>
      </c>
      <c r="D40" s="55"/>
      <c r="E40" s="61">
        <v>5380045</v>
      </c>
      <c r="G40" s="56">
        <f t="shared" si="2"/>
        <v>237871214</v>
      </c>
      <c r="H40" s="51"/>
      <c r="J40" s="49"/>
      <c r="K40" s="49"/>
      <c r="L40" s="49"/>
      <c r="M40" s="49"/>
    </row>
    <row r="41" spans="1:13" ht="13" customHeight="1" x14ac:dyDescent="0.25">
      <c r="A41" s="47">
        <v>45434</v>
      </c>
      <c r="B41" s="43" t="s">
        <v>6</v>
      </c>
      <c r="C41" s="48" t="s">
        <v>124</v>
      </c>
      <c r="D41" s="55"/>
      <c r="E41" s="61">
        <v>5429362</v>
      </c>
      <c r="G41" s="56">
        <f t="shared" si="2"/>
        <v>232441852</v>
      </c>
      <c r="H41" s="51"/>
      <c r="J41" s="49"/>
      <c r="K41" s="49"/>
      <c r="L41" s="49"/>
      <c r="M41" s="49"/>
    </row>
    <row r="42" spans="1:13" ht="13" customHeight="1" x14ac:dyDescent="0.25">
      <c r="A42" s="47">
        <v>45468</v>
      </c>
      <c r="B42" s="43" t="s">
        <v>6</v>
      </c>
      <c r="C42" s="48" t="s">
        <v>124</v>
      </c>
      <c r="D42" s="55"/>
      <c r="E42" s="61">
        <v>5479131</v>
      </c>
      <c r="G42" s="56">
        <f t="shared" si="2"/>
        <v>226962721</v>
      </c>
      <c r="H42" s="51"/>
      <c r="J42" s="49"/>
      <c r="K42" s="49"/>
      <c r="L42" s="49"/>
      <c r="M42" s="49"/>
    </row>
    <row r="43" spans="1:13" ht="13" customHeight="1" x14ac:dyDescent="0.25">
      <c r="A43" s="47">
        <v>45498</v>
      </c>
      <c r="B43" s="43" t="s">
        <v>6</v>
      </c>
      <c r="C43" s="48" t="s">
        <v>124</v>
      </c>
      <c r="D43" s="55"/>
      <c r="E43" s="61">
        <v>5529356</v>
      </c>
      <c r="G43" s="56">
        <f t="shared" si="2"/>
        <v>221433365</v>
      </c>
      <c r="H43" s="51"/>
      <c r="J43" s="49"/>
      <c r="K43" s="49"/>
      <c r="L43" s="49"/>
      <c r="M43" s="49"/>
    </row>
    <row r="44" spans="1:13" ht="13" customHeight="1" x14ac:dyDescent="0.25">
      <c r="A44" s="47">
        <v>45527</v>
      </c>
      <c r="B44" s="43" t="s">
        <v>6</v>
      </c>
      <c r="C44" s="48" t="s">
        <v>124</v>
      </c>
      <c r="D44" s="55"/>
      <c r="E44" s="61">
        <v>5580042</v>
      </c>
      <c r="G44" s="56">
        <f t="shared" si="2"/>
        <v>215853323</v>
      </c>
      <c r="H44" s="51"/>
      <c r="J44" s="49"/>
      <c r="K44" s="49"/>
      <c r="L44" s="49"/>
      <c r="M44" s="49"/>
    </row>
    <row r="45" spans="1:13" ht="13" customHeight="1" x14ac:dyDescent="0.25">
      <c r="A45" s="47">
        <v>45560</v>
      </c>
      <c r="B45" s="43" t="s">
        <v>6</v>
      </c>
      <c r="C45" s="48" t="s">
        <v>124</v>
      </c>
      <c r="D45" s="55"/>
      <c r="E45" s="61">
        <v>5631193</v>
      </c>
      <c r="G45" s="56">
        <f t="shared" si="2"/>
        <v>210222130</v>
      </c>
      <c r="H45" s="51"/>
      <c r="J45" s="49"/>
      <c r="K45" s="49"/>
      <c r="L45" s="49"/>
      <c r="M45" s="49"/>
    </row>
    <row r="46" spans="1:13" ht="13" customHeight="1" x14ac:dyDescent="0.25">
      <c r="A46" s="47">
        <v>45590</v>
      </c>
      <c r="B46" s="43" t="s">
        <v>6</v>
      </c>
      <c r="C46" s="48" t="s">
        <v>124</v>
      </c>
      <c r="D46" s="55"/>
      <c r="E46" s="61">
        <v>5682812</v>
      </c>
      <c r="G46" s="56">
        <f t="shared" si="2"/>
        <v>204539318</v>
      </c>
      <c r="H46" s="51"/>
      <c r="J46" s="49"/>
      <c r="K46" s="49"/>
      <c r="L46" s="49"/>
      <c r="M46" s="49"/>
    </row>
    <row r="47" spans="1:13" ht="26" x14ac:dyDescent="0.25">
      <c r="A47" s="47">
        <v>45621</v>
      </c>
      <c r="B47" s="43" t="s">
        <v>6</v>
      </c>
      <c r="C47" s="48" t="s">
        <v>124</v>
      </c>
      <c r="E47" s="58">
        <v>5734904</v>
      </c>
      <c r="G47" s="56">
        <f t="shared" si="2"/>
        <v>198804414</v>
      </c>
      <c r="H47" s="51"/>
      <c r="I47" s="51"/>
      <c r="J47" s="51"/>
      <c r="K47" s="51"/>
      <c r="L47" s="51"/>
      <c r="M47" s="51"/>
    </row>
    <row r="48" spans="1:13" ht="26" x14ac:dyDescent="0.25">
      <c r="A48" s="47">
        <v>45649</v>
      </c>
      <c r="B48" s="43" t="s">
        <v>6</v>
      </c>
      <c r="C48" s="48" t="s">
        <v>124</v>
      </c>
      <c r="E48" s="58">
        <v>5787474</v>
      </c>
      <c r="G48" s="56">
        <f t="shared" si="2"/>
        <v>193016940</v>
      </c>
      <c r="H48" s="51"/>
      <c r="I48" s="51"/>
      <c r="J48" s="51"/>
      <c r="K48" s="51"/>
      <c r="L48" s="51"/>
      <c r="M48" s="51"/>
    </row>
    <row r="49" spans="1:13" x14ac:dyDescent="0.25">
      <c r="A49" s="51"/>
      <c r="B49" s="50" t="s">
        <v>125</v>
      </c>
      <c r="C49" s="50"/>
      <c r="D49" s="54"/>
      <c r="E49" s="59"/>
      <c r="H49" s="51"/>
      <c r="I49" s="51"/>
      <c r="J49" s="51"/>
      <c r="K49" s="51"/>
      <c r="L49" s="51"/>
      <c r="M49" s="51"/>
    </row>
    <row r="50" spans="1:13" x14ac:dyDescent="0.25">
      <c r="A50" s="47">
        <v>45292</v>
      </c>
      <c r="B50" s="43" t="s">
        <v>0</v>
      </c>
      <c r="C50" s="48" t="s">
        <v>1</v>
      </c>
      <c r="D50" s="55"/>
      <c r="E50" s="60"/>
      <c r="F50" s="49">
        <v>168135207</v>
      </c>
      <c r="G50" s="56"/>
      <c r="H50" s="49"/>
      <c r="I50" s="51"/>
      <c r="J50" s="49"/>
      <c r="K50" s="49"/>
      <c r="L50" s="49"/>
      <c r="M50" s="49"/>
    </row>
    <row r="51" spans="1:13" ht="13" customHeight="1" x14ac:dyDescent="0.25">
      <c r="A51" s="47">
        <v>45317</v>
      </c>
      <c r="B51" s="43" t="s">
        <v>6</v>
      </c>
      <c r="C51" s="48" t="s">
        <v>126</v>
      </c>
      <c r="D51" s="55"/>
      <c r="E51" s="61">
        <v>16146806</v>
      </c>
      <c r="G51" s="56">
        <f>F50-E51</f>
        <v>151988401</v>
      </c>
      <c r="H51" s="51"/>
      <c r="J51" s="49"/>
      <c r="K51" s="49"/>
      <c r="L51" s="49"/>
      <c r="M51" s="49"/>
    </row>
    <row r="52" spans="1:13" ht="13" customHeight="1" x14ac:dyDescent="0.25">
      <c r="A52" s="47">
        <v>45346</v>
      </c>
      <c r="B52" s="43" t="s">
        <v>6</v>
      </c>
      <c r="C52" s="48" t="s">
        <v>126</v>
      </c>
      <c r="D52" s="55"/>
      <c r="E52" s="61">
        <v>16291455</v>
      </c>
      <c r="G52" s="56">
        <f>G51-E52</f>
        <v>135696946</v>
      </c>
      <c r="H52" s="51"/>
      <c r="J52" s="49"/>
      <c r="K52" s="49"/>
      <c r="L52" s="49"/>
      <c r="M52" s="49"/>
    </row>
    <row r="53" spans="1:13" ht="13" customHeight="1" x14ac:dyDescent="0.25">
      <c r="A53" s="47">
        <v>45377</v>
      </c>
      <c r="B53" s="43" t="s">
        <v>6</v>
      </c>
      <c r="C53" s="48" t="s">
        <v>127</v>
      </c>
      <c r="D53" s="55"/>
      <c r="E53" s="61">
        <v>16437399</v>
      </c>
      <c r="G53" s="56">
        <f t="shared" ref="G53:G58" si="3">G52-E53</f>
        <v>119259547</v>
      </c>
      <c r="H53" s="51"/>
      <c r="J53" s="49"/>
      <c r="K53" s="49"/>
      <c r="L53" s="49"/>
      <c r="M53" s="49"/>
    </row>
    <row r="54" spans="1:13" ht="13" customHeight="1" x14ac:dyDescent="0.25">
      <c r="A54" s="47">
        <v>45408</v>
      </c>
      <c r="B54" s="43" t="s">
        <v>6</v>
      </c>
      <c r="C54" s="48" t="s">
        <v>126</v>
      </c>
      <c r="D54" s="55"/>
      <c r="E54" s="61">
        <v>16584651</v>
      </c>
      <c r="G54" s="56">
        <f t="shared" si="3"/>
        <v>102674896</v>
      </c>
      <c r="H54" s="51"/>
      <c r="J54" s="49"/>
      <c r="K54" s="49"/>
      <c r="L54" s="49"/>
      <c r="M54" s="49"/>
    </row>
    <row r="55" spans="1:13" ht="13" customHeight="1" x14ac:dyDescent="0.25">
      <c r="A55" s="47">
        <v>45437</v>
      </c>
      <c r="B55" s="43" t="s">
        <v>6</v>
      </c>
      <c r="C55" s="48" t="s">
        <v>126</v>
      </c>
      <c r="D55" s="55"/>
      <c r="E55" s="61">
        <v>16733222</v>
      </c>
      <c r="G55" s="56">
        <f t="shared" si="3"/>
        <v>85941674</v>
      </c>
      <c r="H55" s="51"/>
      <c r="J55" s="49"/>
      <c r="K55" s="49"/>
      <c r="L55" s="49"/>
      <c r="M55" s="49"/>
    </row>
    <row r="56" spans="1:13" ht="13" customHeight="1" x14ac:dyDescent="0.25">
      <c r="A56" s="47">
        <v>45469</v>
      </c>
      <c r="B56" s="43" t="s">
        <v>6</v>
      </c>
      <c r="C56" s="48" t="s">
        <v>126</v>
      </c>
      <c r="D56" s="55"/>
      <c r="E56" s="61">
        <v>16883124</v>
      </c>
      <c r="G56" s="56">
        <f t="shared" si="3"/>
        <v>69058550</v>
      </c>
      <c r="H56" s="51"/>
      <c r="J56" s="49"/>
      <c r="K56" s="49"/>
      <c r="L56" s="49"/>
      <c r="M56" s="49"/>
    </row>
    <row r="57" spans="1:13" ht="13" customHeight="1" x14ac:dyDescent="0.25">
      <c r="A57" s="47">
        <v>45500</v>
      </c>
      <c r="B57" s="43" t="s">
        <v>6</v>
      </c>
      <c r="C57" s="48" t="s">
        <v>126</v>
      </c>
      <c r="D57" s="55"/>
      <c r="E57" s="61">
        <v>17034368</v>
      </c>
      <c r="G57" s="56">
        <f t="shared" si="3"/>
        <v>52024182</v>
      </c>
      <c r="H57" s="51"/>
      <c r="J57" s="49"/>
      <c r="K57" s="49"/>
      <c r="L57" s="49"/>
      <c r="M57" s="49"/>
    </row>
    <row r="58" spans="1:13" ht="13" customHeight="1" x14ac:dyDescent="0.25">
      <c r="A58" s="47">
        <v>45530</v>
      </c>
      <c r="B58" s="43" t="s">
        <v>6</v>
      </c>
      <c r="C58" s="48" t="s">
        <v>126</v>
      </c>
      <c r="D58" s="55"/>
      <c r="E58" s="61">
        <v>17186967</v>
      </c>
      <c r="G58" s="56">
        <f t="shared" si="3"/>
        <v>34837215</v>
      </c>
      <c r="H58" s="51"/>
      <c r="J58" s="49"/>
      <c r="K58" s="49"/>
      <c r="L58" s="49"/>
      <c r="M58" s="49"/>
    </row>
    <row r="59" spans="1:13" ht="13" customHeight="1" x14ac:dyDescent="0.25">
      <c r="A59" s="47">
        <v>45561</v>
      </c>
      <c r="B59" s="43" t="s">
        <v>6</v>
      </c>
      <c r="C59" s="48" t="s">
        <v>126</v>
      </c>
      <c r="D59" s="55"/>
      <c r="E59" s="61">
        <v>17340934</v>
      </c>
      <c r="G59" s="56">
        <f>G58-E59</f>
        <v>17496281</v>
      </c>
      <c r="H59" s="51"/>
      <c r="J59" s="49"/>
      <c r="K59" s="49"/>
      <c r="L59" s="49"/>
      <c r="M59" s="49"/>
    </row>
    <row r="60" spans="1:13" ht="13" customHeight="1" x14ac:dyDescent="0.25">
      <c r="A60" s="47"/>
      <c r="B60" s="43"/>
      <c r="C60" s="48"/>
      <c r="D60" s="55"/>
      <c r="E60" s="61"/>
      <c r="G60" s="56"/>
      <c r="H60" s="51"/>
      <c r="J60" s="49"/>
      <c r="K60" s="49"/>
      <c r="L60" s="49"/>
      <c r="M60" s="49"/>
    </row>
    <row r="61" spans="1:13" x14ac:dyDescent="0.25">
      <c r="A61" s="143" t="s">
        <v>189</v>
      </c>
      <c r="B61" s="143"/>
      <c r="C61" s="143"/>
      <c r="D61" s="143"/>
      <c r="E61" s="143"/>
      <c r="F61" s="143"/>
      <c r="G61" s="56"/>
      <c r="H61" s="51"/>
      <c r="I61" s="51"/>
      <c r="J61" s="51"/>
      <c r="K61" s="51"/>
      <c r="L61" s="51"/>
      <c r="M61" s="51"/>
    </row>
    <row r="62" spans="1:13" x14ac:dyDescent="0.25">
      <c r="A62" s="51"/>
      <c r="B62" s="51"/>
      <c r="C62" s="51"/>
      <c r="G62" s="56"/>
      <c r="H62" s="51"/>
      <c r="I62" s="51"/>
      <c r="J62" s="51"/>
      <c r="K62" s="51"/>
      <c r="L62" s="51"/>
      <c r="M62" s="51"/>
    </row>
    <row r="63" spans="1:13" ht="13" customHeight="1" x14ac:dyDescent="0.25">
      <c r="A63" s="51"/>
      <c r="B63" s="51"/>
      <c r="C63" s="44"/>
      <c r="D63" s="52"/>
      <c r="E63" s="62"/>
      <c r="F63" s="52"/>
      <c r="G63" s="52"/>
      <c r="H63" s="46"/>
      <c r="I63" s="46"/>
      <c r="J63" s="46"/>
      <c r="K63" s="46"/>
      <c r="L63" s="46"/>
      <c r="M63" s="46"/>
    </row>
    <row r="64" spans="1:13" x14ac:dyDescent="0.25">
      <c r="A64" s="51"/>
      <c r="B64" s="50" t="s">
        <v>115</v>
      </c>
      <c r="C64" s="50"/>
      <c r="D64" s="54"/>
      <c r="E64" s="59"/>
      <c r="H64" s="51"/>
      <c r="I64" s="51"/>
      <c r="J64" s="51"/>
      <c r="K64" s="51"/>
      <c r="L64" s="51"/>
      <c r="M64" s="51"/>
    </row>
    <row r="65" spans="1:13" x14ac:dyDescent="0.25">
      <c r="A65" s="47">
        <v>45292</v>
      </c>
      <c r="B65" s="43" t="s">
        <v>0</v>
      </c>
      <c r="C65" s="48" t="s">
        <v>1</v>
      </c>
      <c r="D65" s="55"/>
      <c r="E65" s="60"/>
      <c r="F65" s="49">
        <v>322608414</v>
      </c>
      <c r="G65" s="56"/>
      <c r="H65" s="49"/>
      <c r="I65" s="51"/>
      <c r="K65" s="49"/>
      <c r="L65" s="49"/>
      <c r="M65" s="49"/>
    </row>
    <row r="66" spans="1:13" ht="13" customHeight="1" x14ac:dyDescent="0.25">
      <c r="A66" s="47">
        <v>45316</v>
      </c>
      <c r="B66" s="43" t="s">
        <v>6</v>
      </c>
      <c r="C66" s="48" t="s">
        <v>128</v>
      </c>
      <c r="D66" s="55"/>
      <c r="E66" s="61">
        <v>2512754</v>
      </c>
      <c r="G66" s="56">
        <f>F65-E66</f>
        <v>320095660</v>
      </c>
      <c r="H66" s="51"/>
      <c r="J66" s="49"/>
      <c r="K66" s="49"/>
      <c r="L66" s="49"/>
      <c r="M66" s="49"/>
    </row>
    <row r="67" spans="1:13" ht="13" customHeight="1" x14ac:dyDescent="0.25">
      <c r="A67" s="47">
        <v>45345</v>
      </c>
      <c r="B67" s="43" t="s">
        <v>6</v>
      </c>
      <c r="C67" s="48" t="s">
        <v>128</v>
      </c>
      <c r="D67" s="55"/>
      <c r="E67" s="61">
        <v>2537881</v>
      </c>
      <c r="G67" s="56">
        <f>G66-E67</f>
        <v>317557779</v>
      </c>
      <c r="H67" s="51"/>
      <c r="J67" s="49"/>
      <c r="K67" s="49"/>
      <c r="L67" s="49"/>
      <c r="M67" s="49"/>
    </row>
    <row r="68" spans="1:13" ht="13" customHeight="1" x14ac:dyDescent="0.25">
      <c r="A68" s="47">
        <v>45376</v>
      </c>
      <c r="B68" s="43" t="s">
        <v>6</v>
      </c>
      <c r="C68" s="48" t="s">
        <v>128</v>
      </c>
      <c r="D68" s="55"/>
      <c r="E68" s="61">
        <v>2563260</v>
      </c>
      <c r="G68" s="56">
        <f t="shared" ref="G68:G77" si="4">G67-E68</f>
        <v>314994519</v>
      </c>
      <c r="H68" s="51"/>
      <c r="J68" s="49"/>
      <c r="K68" s="49"/>
      <c r="L68" s="49"/>
      <c r="M68" s="49"/>
    </row>
    <row r="69" spans="1:13" ht="13" customHeight="1" x14ac:dyDescent="0.25">
      <c r="A69" s="47">
        <v>45407</v>
      </c>
      <c r="B69" s="43" t="s">
        <v>6</v>
      </c>
      <c r="C69" s="48" t="s">
        <v>129</v>
      </c>
      <c r="D69" s="55"/>
      <c r="E69" s="61">
        <v>2588893</v>
      </c>
      <c r="G69" s="56">
        <f t="shared" si="4"/>
        <v>312405626</v>
      </c>
      <c r="H69" s="51"/>
      <c r="J69" s="49"/>
      <c r="K69" s="49"/>
      <c r="L69" s="49"/>
      <c r="M69" s="49"/>
    </row>
    <row r="70" spans="1:13" ht="13" customHeight="1" x14ac:dyDescent="0.25">
      <c r="A70" s="47">
        <v>45434</v>
      </c>
      <c r="B70" s="43" t="s">
        <v>6</v>
      </c>
      <c r="C70" s="48" t="s">
        <v>128</v>
      </c>
      <c r="D70" s="55"/>
      <c r="E70" s="61">
        <v>2614782</v>
      </c>
      <c r="G70" s="56">
        <f t="shared" si="4"/>
        <v>309790844</v>
      </c>
      <c r="H70" s="51"/>
      <c r="J70" s="49"/>
      <c r="K70" s="49"/>
      <c r="L70" s="49"/>
      <c r="M70" s="49"/>
    </row>
    <row r="71" spans="1:13" ht="13" customHeight="1" x14ac:dyDescent="0.25">
      <c r="A71" s="47">
        <v>45468</v>
      </c>
      <c r="B71" s="43" t="s">
        <v>6</v>
      </c>
      <c r="C71" s="48" t="s">
        <v>128</v>
      </c>
      <c r="D71" s="55"/>
      <c r="E71" s="61">
        <v>2640929</v>
      </c>
      <c r="G71" s="56">
        <f t="shared" si="4"/>
        <v>307149915</v>
      </c>
      <c r="H71" s="51"/>
      <c r="J71" s="49"/>
      <c r="K71" s="49"/>
      <c r="L71" s="49"/>
      <c r="M71" s="49"/>
    </row>
    <row r="72" spans="1:13" ht="13" customHeight="1" x14ac:dyDescent="0.25">
      <c r="A72" s="47">
        <v>45498</v>
      </c>
      <c r="B72" s="43" t="s">
        <v>6</v>
      </c>
      <c r="C72" s="48" t="s">
        <v>128</v>
      </c>
      <c r="D72" s="55"/>
      <c r="E72" s="61">
        <v>2667339</v>
      </c>
      <c r="G72" s="56">
        <f t="shared" si="4"/>
        <v>304482576</v>
      </c>
      <c r="H72" s="51"/>
      <c r="J72" s="49"/>
      <c r="K72" s="49"/>
      <c r="L72" s="49"/>
      <c r="M72" s="49"/>
    </row>
    <row r="73" spans="1:13" ht="13" customHeight="1" x14ac:dyDescent="0.25">
      <c r="A73" s="47">
        <v>45527</v>
      </c>
      <c r="B73" s="43" t="s">
        <v>6</v>
      </c>
      <c r="C73" s="48" t="s">
        <v>128</v>
      </c>
      <c r="D73" s="55"/>
      <c r="E73" s="61">
        <v>2694012</v>
      </c>
      <c r="G73" s="56">
        <f t="shared" si="4"/>
        <v>301788564</v>
      </c>
      <c r="H73" s="51"/>
      <c r="J73" s="49"/>
      <c r="K73" s="49"/>
      <c r="L73" s="49"/>
      <c r="M73" s="49"/>
    </row>
    <row r="74" spans="1:13" ht="13" customHeight="1" x14ac:dyDescent="0.25">
      <c r="A74" s="47">
        <v>45560</v>
      </c>
      <c r="B74" s="43" t="s">
        <v>6</v>
      </c>
      <c r="C74" s="48" t="s">
        <v>128</v>
      </c>
      <c r="D74" s="55"/>
      <c r="E74" s="61">
        <v>2720952</v>
      </c>
      <c r="G74" s="56">
        <f t="shared" si="4"/>
        <v>299067612</v>
      </c>
      <c r="H74" s="51"/>
      <c r="J74" s="49"/>
      <c r="K74" s="49"/>
      <c r="L74" s="49"/>
      <c r="M74" s="49"/>
    </row>
    <row r="75" spans="1:13" ht="13" customHeight="1" x14ac:dyDescent="0.25">
      <c r="A75" s="47">
        <v>45590</v>
      </c>
      <c r="B75" s="43" t="s">
        <v>6</v>
      </c>
      <c r="C75" s="48" t="s">
        <v>128</v>
      </c>
      <c r="D75" s="55"/>
      <c r="E75" s="61">
        <v>2748162</v>
      </c>
      <c r="G75" s="56">
        <f t="shared" si="4"/>
        <v>296319450</v>
      </c>
      <c r="H75" s="51"/>
      <c r="J75" s="49"/>
      <c r="K75" s="49"/>
      <c r="L75" s="49"/>
      <c r="M75" s="49"/>
    </row>
    <row r="76" spans="1:13" ht="26" x14ac:dyDescent="0.25">
      <c r="A76" s="47">
        <v>45621</v>
      </c>
      <c r="B76" s="43" t="s">
        <v>6</v>
      </c>
      <c r="C76" s="48" t="s">
        <v>128</v>
      </c>
      <c r="E76" s="58">
        <v>2775643</v>
      </c>
      <c r="G76" s="56">
        <f t="shared" si="4"/>
        <v>293543807</v>
      </c>
      <c r="H76" s="51"/>
      <c r="I76" s="51"/>
      <c r="J76" s="51"/>
      <c r="K76" s="51"/>
      <c r="L76" s="51"/>
      <c r="M76" s="51"/>
    </row>
    <row r="77" spans="1:13" ht="26" x14ac:dyDescent="0.25">
      <c r="A77" s="47">
        <v>45649</v>
      </c>
      <c r="B77" s="43" t="s">
        <v>6</v>
      </c>
      <c r="C77" s="48" t="s">
        <v>128</v>
      </c>
      <c r="E77" s="58">
        <v>2803400</v>
      </c>
      <c r="G77" s="56">
        <f t="shared" si="4"/>
        <v>290740407</v>
      </c>
      <c r="H77" s="51"/>
      <c r="I77" s="51"/>
      <c r="J77" s="51"/>
      <c r="K77" s="51"/>
      <c r="L77" s="51"/>
      <c r="M77" s="51"/>
    </row>
    <row r="78" spans="1:13" x14ac:dyDescent="0.25">
      <c r="A78" s="51"/>
      <c r="B78" s="50" t="s">
        <v>130</v>
      </c>
      <c r="C78" s="50"/>
      <c r="D78" s="54"/>
      <c r="E78" s="59"/>
      <c r="H78" s="51"/>
      <c r="I78" s="51"/>
      <c r="J78" s="51"/>
      <c r="K78" s="51"/>
      <c r="L78" s="51"/>
      <c r="M78" s="51"/>
    </row>
    <row r="79" spans="1:13" x14ac:dyDescent="0.25">
      <c r="A79" s="47">
        <v>45292</v>
      </c>
      <c r="B79" s="43" t="s">
        <v>0</v>
      </c>
      <c r="C79" s="48" t="s">
        <v>1</v>
      </c>
      <c r="D79" s="55"/>
      <c r="E79" s="60"/>
      <c r="F79" s="49">
        <v>167114617</v>
      </c>
      <c r="G79" s="56"/>
      <c r="H79" s="49"/>
      <c r="I79" s="51"/>
      <c r="J79" s="49"/>
      <c r="K79" s="49"/>
      <c r="L79" s="49"/>
      <c r="M79" s="49"/>
    </row>
    <row r="80" spans="1:13" ht="13" customHeight="1" x14ac:dyDescent="0.25">
      <c r="A80" s="47">
        <v>45316</v>
      </c>
      <c r="B80" s="43" t="s">
        <v>6</v>
      </c>
      <c r="C80" s="48" t="s">
        <v>131</v>
      </c>
      <c r="D80" s="55"/>
      <c r="E80" s="61">
        <v>4700818</v>
      </c>
      <c r="G80" s="56">
        <f>F79-E80</f>
        <v>162413799</v>
      </c>
      <c r="H80" s="51"/>
      <c r="J80" s="49"/>
      <c r="K80" s="49"/>
      <c r="L80" s="49"/>
      <c r="M80" s="49"/>
    </row>
    <row r="81" spans="1:13" ht="13" customHeight="1" x14ac:dyDescent="0.25">
      <c r="A81" s="47">
        <v>45345</v>
      </c>
      <c r="B81" s="43" t="s">
        <v>6</v>
      </c>
      <c r="C81" s="48" t="s">
        <v>131</v>
      </c>
      <c r="D81" s="55"/>
      <c r="E81" s="61">
        <v>4742929</v>
      </c>
      <c r="G81" s="56">
        <f>G80-E81</f>
        <v>157670870</v>
      </c>
      <c r="H81" s="51"/>
      <c r="J81" s="49"/>
      <c r="K81" s="49"/>
      <c r="L81" s="49"/>
      <c r="M81" s="49"/>
    </row>
    <row r="82" spans="1:13" ht="13" customHeight="1" x14ac:dyDescent="0.25">
      <c r="A82" s="47">
        <v>45376</v>
      </c>
      <c r="B82" s="43" t="s">
        <v>6</v>
      </c>
      <c r="C82" s="48" t="s">
        <v>131</v>
      </c>
      <c r="D82" s="55"/>
      <c r="E82" s="61">
        <v>4785418</v>
      </c>
      <c r="G82" s="56">
        <f t="shared" ref="G82:G90" si="5">G81-E82</f>
        <v>152885452</v>
      </c>
      <c r="H82" s="51"/>
      <c r="J82" s="49"/>
      <c r="K82" s="49"/>
      <c r="L82" s="49"/>
      <c r="M82" s="49"/>
    </row>
    <row r="83" spans="1:13" ht="13" customHeight="1" x14ac:dyDescent="0.25">
      <c r="A83" s="47">
        <v>45407</v>
      </c>
      <c r="B83" s="43" t="s">
        <v>6</v>
      </c>
      <c r="C83" s="48" t="s">
        <v>131</v>
      </c>
      <c r="D83" s="55"/>
      <c r="E83" s="61">
        <v>4828287</v>
      </c>
      <c r="G83" s="56">
        <f t="shared" si="5"/>
        <v>148057165</v>
      </c>
      <c r="H83" s="51"/>
      <c r="J83" s="49"/>
      <c r="K83" s="49"/>
      <c r="L83" s="49"/>
      <c r="M83" s="49"/>
    </row>
    <row r="84" spans="1:13" ht="13" customHeight="1" x14ac:dyDescent="0.25">
      <c r="A84" s="47">
        <v>45426</v>
      </c>
      <c r="B84" s="43" t="s">
        <v>6</v>
      </c>
      <c r="C84" s="48" t="s">
        <v>132</v>
      </c>
      <c r="D84" s="55"/>
      <c r="E84" s="61">
        <v>148057161</v>
      </c>
      <c r="G84" s="56">
        <f t="shared" si="5"/>
        <v>4</v>
      </c>
      <c r="H84" s="51"/>
      <c r="J84" s="49"/>
      <c r="K84" s="49"/>
      <c r="L84" s="49"/>
      <c r="M84" s="49"/>
    </row>
    <row r="85" spans="1:13" ht="13" customHeight="1" x14ac:dyDescent="0.25">
      <c r="A85" s="47">
        <v>45427</v>
      </c>
      <c r="B85" s="43" t="s">
        <v>0</v>
      </c>
      <c r="C85" s="48" t="s">
        <v>133</v>
      </c>
      <c r="D85" s="61">
        <v>240000000</v>
      </c>
      <c r="E85" s="60"/>
      <c r="G85" s="56">
        <f>G84+D85</f>
        <v>240000004</v>
      </c>
      <c r="I85" s="51"/>
      <c r="J85" s="49"/>
      <c r="K85" s="49"/>
      <c r="L85" s="49"/>
      <c r="M85" s="49"/>
    </row>
    <row r="86" spans="1:13" ht="13" customHeight="1" x14ac:dyDescent="0.25">
      <c r="A86" s="47">
        <v>45468</v>
      </c>
      <c r="B86" s="43" t="s">
        <v>6</v>
      </c>
      <c r="C86" s="48" t="s">
        <v>131</v>
      </c>
      <c r="D86" s="55"/>
      <c r="E86" s="61">
        <v>7008660</v>
      </c>
      <c r="G86" s="56">
        <f t="shared" si="5"/>
        <v>232991344</v>
      </c>
      <c r="H86" s="51"/>
      <c r="J86" s="49"/>
      <c r="K86" s="49"/>
      <c r="L86" s="49"/>
      <c r="M86" s="49"/>
    </row>
    <row r="87" spans="1:13" ht="13" customHeight="1" x14ac:dyDescent="0.25">
      <c r="A87" s="47">
        <v>45498</v>
      </c>
      <c r="B87" s="43" t="s">
        <v>6</v>
      </c>
      <c r="C87" s="48" t="s">
        <v>131</v>
      </c>
      <c r="D87" s="55"/>
      <c r="E87" s="61">
        <v>7071445</v>
      </c>
      <c r="G87" s="56">
        <f t="shared" si="5"/>
        <v>225919899</v>
      </c>
      <c r="H87" s="51"/>
      <c r="J87" s="49"/>
      <c r="K87" s="49"/>
      <c r="L87" s="49"/>
      <c r="M87" s="49"/>
    </row>
    <row r="88" spans="1:13" ht="13" customHeight="1" x14ac:dyDescent="0.25">
      <c r="A88" s="47">
        <v>45527</v>
      </c>
      <c r="B88" s="43" t="s">
        <v>6</v>
      </c>
      <c r="C88" s="48" t="s">
        <v>131</v>
      </c>
      <c r="D88" s="55"/>
      <c r="E88" s="61">
        <v>7134794</v>
      </c>
      <c r="G88" s="56">
        <f t="shared" si="5"/>
        <v>218785105</v>
      </c>
      <c r="H88" s="51"/>
      <c r="J88" s="49"/>
      <c r="K88" s="49"/>
      <c r="L88" s="49"/>
      <c r="M88" s="49"/>
    </row>
    <row r="89" spans="1:13" ht="13" customHeight="1" x14ac:dyDescent="0.25">
      <c r="A89" s="47">
        <v>45560</v>
      </c>
      <c r="B89" s="43" t="s">
        <v>6</v>
      </c>
      <c r="C89" s="48" t="s">
        <v>131</v>
      </c>
      <c r="D89" s="55"/>
      <c r="E89" s="61">
        <v>7198710</v>
      </c>
      <c r="G89" s="56">
        <f t="shared" si="5"/>
        <v>211586395</v>
      </c>
      <c r="H89" s="51"/>
      <c r="J89" s="49"/>
      <c r="K89" s="49"/>
      <c r="L89" s="49"/>
      <c r="M89" s="49"/>
    </row>
    <row r="90" spans="1:13" ht="13" customHeight="1" x14ac:dyDescent="0.25">
      <c r="A90" s="47">
        <v>45590</v>
      </c>
      <c r="B90" s="43" t="s">
        <v>6</v>
      </c>
      <c r="C90" s="48" t="s">
        <v>131</v>
      </c>
      <c r="D90" s="55"/>
      <c r="E90" s="61">
        <v>7263198</v>
      </c>
      <c r="G90" s="56">
        <f t="shared" si="5"/>
        <v>204323197</v>
      </c>
      <c r="H90" s="51"/>
      <c r="J90" s="49"/>
      <c r="K90" s="49"/>
      <c r="L90" s="49"/>
      <c r="M90" s="49"/>
    </row>
    <row r="91" spans="1:13" ht="26" x14ac:dyDescent="0.25">
      <c r="A91" s="57">
        <v>45621</v>
      </c>
      <c r="B91" s="51"/>
      <c r="C91" s="48" t="s">
        <v>131</v>
      </c>
      <c r="E91" s="58">
        <v>7328264</v>
      </c>
      <c r="G91" s="56">
        <f>G90-E91</f>
        <v>196994933</v>
      </c>
      <c r="H91" s="51"/>
      <c r="I91" s="51"/>
      <c r="J91" s="51"/>
      <c r="K91" s="51"/>
      <c r="L91" s="51"/>
      <c r="M91" s="51"/>
    </row>
    <row r="92" spans="1:13" ht="26" x14ac:dyDescent="0.25">
      <c r="A92" s="57">
        <v>45649</v>
      </c>
      <c r="B92" s="51"/>
      <c r="C92" s="48" t="s">
        <v>131</v>
      </c>
      <c r="E92" s="58">
        <v>7393913</v>
      </c>
      <c r="G92" s="56">
        <f>G91-E92</f>
        <v>189601020</v>
      </c>
      <c r="H92" s="51"/>
      <c r="I92" s="51"/>
      <c r="J92" s="51"/>
      <c r="K92" s="51"/>
      <c r="L92" s="51"/>
      <c r="M92" s="51"/>
    </row>
    <row r="93" spans="1:13" x14ac:dyDescent="0.25">
      <c r="A93" s="51"/>
      <c r="B93" s="50" t="s">
        <v>3</v>
      </c>
      <c r="C93" s="50"/>
      <c r="D93" s="54"/>
      <c r="E93" s="59"/>
      <c r="H93" s="51"/>
      <c r="I93" s="51"/>
      <c r="J93" s="51"/>
      <c r="K93" s="51"/>
      <c r="L93" s="51"/>
      <c r="M93" s="51"/>
    </row>
    <row r="95" spans="1:13" x14ac:dyDescent="0.25">
      <c r="A95" s="47">
        <v>45292</v>
      </c>
      <c r="B95" s="43" t="s">
        <v>0</v>
      </c>
      <c r="C95" s="48" t="s">
        <v>1</v>
      </c>
      <c r="D95" s="55"/>
      <c r="E95" s="60"/>
      <c r="F95" s="49">
        <v>101419449</v>
      </c>
      <c r="G95" s="56"/>
      <c r="H95" s="49"/>
      <c r="I95" s="51"/>
      <c r="K95" s="49"/>
      <c r="L95" s="49"/>
      <c r="M95" s="49"/>
    </row>
    <row r="96" spans="1:13" ht="13" customHeight="1" x14ac:dyDescent="0.25">
      <c r="A96" s="47">
        <v>45316</v>
      </c>
      <c r="B96" s="43" t="s">
        <v>6</v>
      </c>
      <c r="C96" s="48" t="s">
        <v>134</v>
      </c>
      <c r="D96" s="55"/>
      <c r="E96" s="61">
        <v>3981129</v>
      </c>
      <c r="G96" s="56">
        <f>F95-E96</f>
        <v>97438320</v>
      </c>
      <c r="H96" s="51"/>
      <c r="J96" s="49"/>
      <c r="K96" s="49"/>
      <c r="L96" s="49"/>
      <c r="M96" s="49"/>
    </row>
    <row r="97" spans="1:13" ht="13" customHeight="1" x14ac:dyDescent="0.25">
      <c r="A97" s="47">
        <v>45345</v>
      </c>
      <c r="B97" s="43" t="s">
        <v>6</v>
      </c>
      <c r="C97" s="48" t="s">
        <v>134</v>
      </c>
      <c r="D97" s="55"/>
      <c r="E97" s="61">
        <v>4017623</v>
      </c>
      <c r="G97" s="56">
        <f>G96-E97</f>
        <v>93420697</v>
      </c>
      <c r="H97" s="51"/>
      <c r="J97" s="49"/>
      <c r="K97" s="49"/>
      <c r="L97" s="49"/>
      <c r="M97" s="49"/>
    </row>
    <row r="98" spans="1:13" ht="13" customHeight="1" x14ac:dyDescent="0.25">
      <c r="A98" s="47">
        <v>45376</v>
      </c>
      <c r="B98" s="43" t="s">
        <v>6</v>
      </c>
      <c r="C98" s="48" t="s">
        <v>134</v>
      </c>
      <c r="D98" s="55"/>
      <c r="E98" s="61">
        <v>4054451</v>
      </c>
      <c r="G98" s="56">
        <f t="shared" ref="G98:G107" si="6">G97-E98</f>
        <v>89366246</v>
      </c>
      <c r="H98" s="51"/>
      <c r="J98" s="49"/>
      <c r="K98" s="49"/>
      <c r="L98" s="49"/>
      <c r="M98" s="49"/>
    </row>
    <row r="99" spans="1:13" ht="13" customHeight="1" x14ac:dyDescent="0.25">
      <c r="A99" s="47">
        <v>45407</v>
      </c>
      <c r="B99" s="43" t="s">
        <v>6</v>
      </c>
      <c r="C99" s="48" t="s">
        <v>134</v>
      </c>
      <c r="D99" s="55"/>
      <c r="E99" s="61">
        <v>4091617</v>
      </c>
      <c r="G99" s="56">
        <f t="shared" si="6"/>
        <v>85274629</v>
      </c>
      <c r="H99" s="51"/>
      <c r="J99" s="49"/>
      <c r="K99" s="49"/>
      <c r="L99" s="49"/>
      <c r="M99" s="49"/>
    </row>
    <row r="100" spans="1:13" ht="13" customHeight="1" x14ac:dyDescent="0.25">
      <c r="A100" s="47">
        <v>45434</v>
      </c>
      <c r="B100" s="43" t="s">
        <v>6</v>
      </c>
      <c r="C100" s="48" t="s">
        <v>134</v>
      </c>
      <c r="D100" s="55"/>
      <c r="E100" s="61">
        <v>4129123</v>
      </c>
      <c r="G100" s="56">
        <f t="shared" si="6"/>
        <v>81145506</v>
      </c>
      <c r="H100" s="51"/>
      <c r="J100" s="49"/>
      <c r="K100" s="49"/>
      <c r="L100" s="49"/>
      <c r="M100" s="49"/>
    </row>
    <row r="101" spans="1:13" ht="13" customHeight="1" x14ac:dyDescent="0.25">
      <c r="A101" s="47">
        <v>45468</v>
      </c>
      <c r="B101" s="43" t="s">
        <v>6</v>
      </c>
      <c r="C101" s="48" t="s">
        <v>134</v>
      </c>
      <c r="D101" s="55"/>
      <c r="E101" s="61">
        <v>4166974</v>
      </c>
      <c r="G101" s="56">
        <f t="shared" si="6"/>
        <v>76978532</v>
      </c>
      <c r="H101" s="51"/>
      <c r="J101" s="49"/>
      <c r="K101" s="49"/>
      <c r="L101" s="49"/>
      <c r="M101" s="49"/>
    </row>
    <row r="102" spans="1:13" ht="13" customHeight="1" x14ac:dyDescent="0.25">
      <c r="A102" s="47">
        <v>45498</v>
      </c>
      <c r="B102" s="43" t="s">
        <v>6</v>
      </c>
      <c r="C102" s="48" t="s">
        <v>134</v>
      </c>
      <c r="D102" s="55"/>
      <c r="E102" s="61">
        <v>4205171</v>
      </c>
      <c r="G102" s="56">
        <f t="shared" si="6"/>
        <v>72773361</v>
      </c>
      <c r="H102" s="51"/>
      <c r="J102" s="49"/>
      <c r="K102" s="49"/>
      <c r="L102" s="49"/>
      <c r="M102" s="49"/>
    </row>
    <row r="103" spans="1:13" ht="13" customHeight="1" x14ac:dyDescent="0.25">
      <c r="A103" s="47">
        <v>45527</v>
      </c>
      <c r="B103" s="43" t="s">
        <v>6</v>
      </c>
      <c r="C103" s="48" t="s">
        <v>134</v>
      </c>
      <c r="D103" s="55"/>
      <c r="E103" s="61">
        <v>4243718</v>
      </c>
      <c r="G103" s="56">
        <f t="shared" si="6"/>
        <v>68529643</v>
      </c>
      <c r="H103" s="51"/>
      <c r="J103" s="49"/>
      <c r="K103" s="49"/>
      <c r="L103" s="49"/>
      <c r="M103" s="49"/>
    </row>
    <row r="104" spans="1:13" ht="13" customHeight="1" x14ac:dyDescent="0.25">
      <c r="A104" s="47">
        <v>45560</v>
      </c>
      <c r="B104" s="43" t="s">
        <v>6</v>
      </c>
      <c r="C104" s="48" t="s">
        <v>134</v>
      </c>
      <c r="D104" s="55"/>
      <c r="E104" s="61">
        <v>4282619</v>
      </c>
      <c r="G104" s="56">
        <f t="shared" si="6"/>
        <v>64247024</v>
      </c>
      <c r="H104" s="51"/>
      <c r="J104" s="49"/>
      <c r="K104" s="49"/>
      <c r="L104" s="49"/>
      <c r="M104" s="49"/>
    </row>
    <row r="105" spans="1:13" ht="13" customHeight="1" x14ac:dyDescent="0.25">
      <c r="A105" s="47">
        <v>45590</v>
      </c>
      <c r="B105" s="43" t="s">
        <v>6</v>
      </c>
      <c r="C105" s="48" t="s">
        <v>134</v>
      </c>
      <c r="D105" s="55"/>
      <c r="E105" s="61">
        <v>4321877</v>
      </c>
      <c r="G105" s="56">
        <f t="shared" si="6"/>
        <v>59925147</v>
      </c>
      <c r="H105" s="51"/>
      <c r="J105" s="49"/>
      <c r="K105" s="49"/>
      <c r="L105" s="49"/>
      <c r="M105" s="49"/>
    </row>
    <row r="106" spans="1:13" ht="26" x14ac:dyDescent="0.25">
      <c r="A106" s="47">
        <v>45621</v>
      </c>
      <c r="B106" s="43" t="s">
        <v>6</v>
      </c>
      <c r="C106" s="48" t="s">
        <v>134</v>
      </c>
      <c r="E106" s="58">
        <v>4361494</v>
      </c>
      <c r="G106" s="56">
        <f t="shared" si="6"/>
        <v>55563653</v>
      </c>
      <c r="H106" s="51"/>
      <c r="I106" s="51"/>
      <c r="J106" s="51"/>
      <c r="K106" s="51"/>
      <c r="L106" s="51"/>
      <c r="M106" s="51"/>
    </row>
    <row r="107" spans="1:13" ht="26" x14ac:dyDescent="0.25">
      <c r="A107" s="47">
        <v>45649</v>
      </c>
      <c r="B107" s="43" t="s">
        <v>6</v>
      </c>
      <c r="C107" s="48" t="s">
        <v>134</v>
      </c>
      <c r="E107" s="58">
        <v>4401474</v>
      </c>
      <c r="G107" s="56">
        <f t="shared" si="6"/>
        <v>51162179</v>
      </c>
      <c r="H107" s="51"/>
      <c r="I107" s="51"/>
      <c r="J107" s="51"/>
      <c r="K107" s="51"/>
      <c r="L107" s="51"/>
      <c r="M107" s="51"/>
    </row>
    <row r="108" spans="1:13" x14ac:dyDescent="0.25">
      <c r="A108" s="51"/>
      <c r="B108" s="50" t="s">
        <v>4</v>
      </c>
      <c r="C108" s="50"/>
      <c r="D108" s="54"/>
      <c r="E108" s="59"/>
      <c r="H108" s="51"/>
      <c r="I108" s="51"/>
      <c r="J108" s="51"/>
      <c r="K108" s="51"/>
      <c r="L108" s="51"/>
      <c r="M108" s="51"/>
    </row>
    <row r="109" spans="1:13" x14ac:dyDescent="0.25">
      <c r="A109" s="47">
        <v>45292</v>
      </c>
      <c r="B109" s="43" t="s">
        <v>0</v>
      </c>
      <c r="C109" s="48" t="s">
        <v>1</v>
      </c>
      <c r="D109" s="55"/>
      <c r="E109" s="60"/>
      <c r="F109" s="49">
        <v>145619024</v>
      </c>
      <c r="G109" s="56"/>
      <c r="H109" s="49"/>
      <c r="I109" s="51"/>
      <c r="K109" s="49"/>
      <c r="L109" s="49"/>
      <c r="M109" s="49"/>
    </row>
    <row r="110" spans="1:13" ht="13" customHeight="1" x14ac:dyDescent="0.25">
      <c r="A110" s="47">
        <v>45316</v>
      </c>
      <c r="B110" s="43" t="s">
        <v>6</v>
      </c>
      <c r="C110" s="48" t="s">
        <v>135</v>
      </c>
      <c r="D110" s="55"/>
      <c r="E110" s="61">
        <v>1178507</v>
      </c>
      <c r="G110" s="56">
        <f>F109-E110</f>
        <v>144440517</v>
      </c>
      <c r="H110" s="51"/>
      <c r="J110" s="49"/>
      <c r="K110" s="49"/>
      <c r="L110" s="49"/>
      <c r="M110" s="49"/>
    </row>
    <row r="111" spans="1:13" ht="13" customHeight="1" x14ac:dyDescent="0.25">
      <c r="A111" s="47">
        <v>45345</v>
      </c>
      <c r="B111" s="43" t="s">
        <v>6</v>
      </c>
      <c r="C111" s="48" t="s">
        <v>135</v>
      </c>
      <c r="D111" s="55"/>
      <c r="E111" s="61">
        <v>1189310</v>
      </c>
      <c r="G111" s="56">
        <f>G110-E111</f>
        <v>143251207</v>
      </c>
      <c r="H111" s="51"/>
      <c r="J111" s="49"/>
      <c r="K111" s="49"/>
      <c r="L111" s="49"/>
      <c r="M111" s="49"/>
    </row>
    <row r="112" spans="1:13" ht="13" customHeight="1" x14ac:dyDescent="0.25">
      <c r="A112" s="47">
        <v>45376</v>
      </c>
      <c r="B112" s="43" t="s">
        <v>6</v>
      </c>
      <c r="C112" s="48" t="s">
        <v>135</v>
      </c>
      <c r="D112" s="55"/>
      <c r="E112" s="61">
        <v>1200212</v>
      </c>
      <c r="G112" s="56">
        <f t="shared" ref="G112:G121" si="7">G111-E112</f>
        <v>142050995</v>
      </c>
      <c r="H112" s="51"/>
      <c r="J112" s="49"/>
      <c r="K112" s="49"/>
      <c r="L112" s="49"/>
      <c r="M112" s="49"/>
    </row>
    <row r="113" spans="1:13" ht="13" customHeight="1" x14ac:dyDescent="0.25">
      <c r="A113" s="47">
        <v>45407</v>
      </c>
      <c r="B113" s="43" t="s">
        <v>6</v>
      </c>
      <c r="C113" s="48" t="s">
        <v>135</v>
      </c>
      <c r="D113" s="55"/>
      <c r="E113" s="61">
        <v>1211214</v>
      </c>
      <c r="G113" s="56">
        <f t="shared" si="7"/>
        <v>140839781</v>
      </c>
      <c r="H113" s="51"/>
      <c r="J113" s="49"/>
      <c r="K113" s="49"/>
      <c r="L113" s="49"/>
      <c r="M113" s="49"/>
    </row>
    <row r="114" spans="1:13" ht="13" customHeight="1" x14ac:dyDescent="0.25">
      <c r="A114" s="47">
        <v>45434</v>
      </c>
      <c r="B114" s="43" t="s">
        <v>6</v>
      </c>
      <c r="C114" s="48" t="s">
        <v>135</v>
      </c>
      <c r="D114" s="55"/>
      <c r="E114" s="61">
        <v>1222317</v>
      </c>
      <c r="G114" s="56">
        <f t="shared" si="7"/>
        <v>139617464</v>
      </c>
      <c r="H114" s="51"/>
      <c r="J114" s="49"/>
      <c r="K114" s="49"/>
      <c r="L114" s="49"/>
      <c r="M114" s="49"/>
    </row>
    <row r="115" spans="1:13" ht="13" customHeight="1" x14ac:dyDescent="0.25">
      <c r="A115" s="47">
        <v>45468</v>
      </c>
      <c r="B115" s="43" t="s">
        <v>6</v>
      </c>
      <c r="C115" s="48" t="s">
        <v>135</v>
      </c>
      <c r="D115" s="55"/>
      <c r="E115" s="61">
        <v>1233521</v>
      </c>
      <c r="G115" s="56">
        <f t="shared" si="7"/>
        <v>138383943</v>
      </c>
      <c r="H115" s="51"/>
      <c r="J115" s="49"/>
      <c r="K115" s="49"/>
      <c r="L115" s="49"/>
      <c r="M115" s="49"/>
    </row>
    <row r="116" spans="1:13" ht="13" customHeight="1" x14ac:dyDescent="0.25">
      <c r="A116" s="47">
        <v>45498</v>
      </c>
      <c r="B116" s="43" t="s">
        <v>6</v>
      </c>
      <c r="C116" s="48" t="s">
        <v>135</v>
      </c>
      <c r="D116" s="55"/>
      <c r="E116" s="61">
        <v>1244829</v>
      </c>
      <c r="G116" s="56">
        <f t="shared" si="7"/>
        <v>137139114</v>
      </c>
      <c r="H116" s="51"/>
      <c r="J116" s="49"/>
      <c r="K116" s="49"/>
      <c r="L116" s="49"/>
      <c r="M116" s="49"/>
    </row>
    <row r="117" spans="1:13" ht="13" customHeight="1" x14ac:dyDescent="0.25">
      <c r="A117" s="47">
        <v>45527</v>
      </c>
      <c r="B117" s="43" t="s">
        <v>6</v>
      </c>
      <c r="C117" s="48" t="s">
        <v>135</v>
      </c>
      <c r="D117" s="55"/>
      <c r="E117" s="61">
        <v>1256240</v>
      </c>
      <c r="G117" s="56">
        <f t="shared" si="7"/>
        <v>135882874</v>
      </c>
      <c r="H117" s="51"/>
      <c r="J117" s="49"/>
      <c r="K117" s="49"/>
      <c r="L117" s="49"/>
      <c r="M117" s="49"/>
    </row>
    <row r="118" spans="1:13" ht="13" customHeight="1" x14ac:dyDescent="0.25">
      <c r="A118" s="47">
        <v>45560</v>
      </c>
      <c r="B118" s="43" t="s">
        <v>6</v>
      </c>
      <c r="C118" s="48" t="s">
        <v>135</v>
      </c>
      <c r="D118" s="55"/>
      <c r="E118" s="61">
        <v>1267755</v>
      </c>
      <c r="G118" s="56">
        <f t="shared" si="7"/>
        <v>134615119</v>
      </c>
      <c r="H118" s="51"/>
      <c r="J118" s="49"/>
      <c r="K118" s="49"/>
      <c r="L118" s="49"/>
      <c r="M118" s="49"/>
    </row>
    <row r="119" spans="1:13" ht="13" customHeight="1" x14ac:dyDescent="0.25">
      <c r="A119" s="47">
        <v>45590</v>
      </c>
      <c r="B119" s="43" t="s">
        <v>6</v>
      </c>
      <c r="C119" s="48" t="s">
        <v>135</v>
      </c>
      <c r="D119" s="55"/>
      <c r="E119" s="61">
        <v>1279376</v>
      </c>
      <c r="G119" s="56">
        <f t="shared" si="7"/>
        <v>133335743</v>
      </c>
      <c r="H119" s="51"/>
      <c r="J119" s="49"/>
      <c r="K119" s="49"/>
      <c r="L119" s="49"/>
      <c r="M119" s="49"/>
    </row>
    <row r="120" spans="1:13" ht="26" x14ac:dyDescent="0.25">
      <c r="A120" s="47">
        <v>45621</v>
      </c>
      <c r="B120" s="43" t="s">
        <v>6</v>
      </c>
      <c r="C120" s="48" t="s">
        <v>135</v>
      </c>
      <c r="E120" s="58">
        <v>1291104</v>
      </c>
      <c r="G120" s="56">
        <f t="shared" si="7"/>
        <v>132044639</v>
      </c>
      <c r="H120" s="51"/>
      <c r="I120" s="51"/>
      <c r="J120" s="51"/>
      <c r="K120" s="51"/>
      <c r="L120" s="51"/>
      <c r="M120" s="51"/>
    </row>
    <row r="121" spans="1:13" ht="26" x14ac:dyDescent="0.25">
      <c r="A121" s="47">
        <v>45649</v>
      </c>
      <c r="B121" s="43" t="s">
        <v>6</v>
      </c>
      <c r="C121" s="48" t="s">
        <v>135</v>
      </c>
      <c r="E121" s="58">
        <v>1302939</v>
      </c>
      <c r="G121" s="56">
        <f t="shared" si="7"/>
        <v>130741700</v>
      </c>
      <c r="H121" s="51"/>
      <c r="I121" s="51"/>
      <c r="J121" s="51"/>
      <c r="K121" s="51"/>
      <c r="L121" s="51"/>
      <c r="M121" s="51"/>
    </row>
    <row r="122" spans="1:13" x14ac:dyDescent="0.25">
      <c r="A122" s="51"/>
      <c r="B122" s="50" t="s">
        <v>9</v>
      </c>
      <c r="C122" s="50"/>
      <c r="D122" s="54"/>
      <c r="E122" s="59"/>
      <c r="H122" s="51"/>
      <c r="I122" s="51"/>
      <c r="J122" s="51"/>
      <c r="K122" s="51"/>
      <c r="L122" s="51"/>
      <c r="M122" s="51"/>
    </row>
    <row r="123" spans="1:13" x14ac:dyDescent="0.25">
      <c r="A123" s="47">
        <v>45292</v>
      </c>
      <c r="B123" s="43" t="s">
        <v>0</v>
      </c>
      <c r="C123" s="48" t="s">
        <v>1</v>
      </c>
      <c r="D123" s="55"/>
      <c r="E123" s="60"/>
      <c r="F123" s="49">
        <v>465541913</v>
      </c>
      <c r="G123" s="56"/>
      <c r="H123" s="49"/>
      <c r="I123" s="51"/>
      <c r="K123" s="49"/>
      <c r="L123" s="49"/>
      <c r="M123" s="49"/>
    </row>
    <row r="124" spans="1:13" ht="13" customHeight="1" x14ac:dyDescent="0.25">
      <c r="A124" s="47">
        <v>45316</v>
      </c>
      <c r="B124" s="43" t="s">
        <v>6</v>
      </c>
      <c r="C124" s="48" t="s">
        <v>136</v>
      </c>
      <c r="D124" s="55"/>
      <c r="E124" s="61">
        <v>3045463</v>
      </c>
      <c r="G124" s="56">
        <f>F123-E124</f>
        <v>462496450</v>
      </c>
      <c r="H124" s="51"/>
      <c r="J124" s="49"/>
      <c r="K124" s="49"/>
      <c r="L124" s="49"/>
      <c r="M124" s="49"/>
    </row>
    <row r="125" spans="1:13" ht="13" customHeight="1" x14ac:dyDescent="0.25">
      <c r="A125" s="47">
        <v>45345</v>
      </c>
      <c r="B125" s="43" t="s">
        <v>6</v>
      </c>
      <c r="C125" s="48" t="s">
        <v>136</v>
      </c>
      <c r="D125" s="55"/>
      <c r="E125" s="61">
        <v>3073380</v>
      </c>
      <c r="G125" s="56">
        <f>G124-E125</f>
        <v>459423070</v>
      </c>
      <c r="H125" s="51"/>
      <c r="J125" s="49"/>
      <c r="K125" s="49"/>
      <c r="L125" s="49"/>
      <c r="M125" s="49"/>
    </row>
    <row r="126" spans="1:13" ht="13" customHeight="1" x14ac:dyDescent="0.25">
      <c r="A126" s="47">
        <v>45376</v>
      </c>
      <c r="B126" s="43" t="s">
        <v>6</v>
      </c>
      <c r="C126" s="48" t="s">
        <v>136</v>
      </c>
      <c r="D126" s="55"/>
      <c r="E126" s="61">
        <v>3101552</v>
      </c>
      <c r="G126" s="56">
        <f t="shared" ref="G126:G135" si="8">G125-E126</f>
        <v>456321518</v>
      </c>
      <c r="H126" s="51"/>
      <c r="J126" s="49"/>
      <c r="K126" s="49"/>
      <c r="L126" s="49"/>
      <c r="M126" s="49"/>
    </row>
    <row r="127" spans="1:13" ht="13" customHeight="1" x14ac:dyDescent="0.25">
      <c r="A127" s="47">
        <v>45407</v>
      </c>
      <c r="B127" s="43" t="s">
        <v>6</v>
      </c>
      <c r="C127" s="48" t="s">
        <v>136</v>
      </c>
      <c r="D127" s="55"/>
      <c r="E127" s="61">
        <v>3129983</v>
      </c>
      <c r="G127" s="56">
        <f t="shared" si="8"/>
        <v>453191535</v>
      </c>
      <c r="H127" s="51"/>
      <c r="J127" s="49"/>
      <c r="K127" s="49"/>
      <c r="L127" s="49"/>
      <c r="M127" s="49"/>
    </row>
    <row r="128" spans="1:13" ht="13" customHeight="1" x14ac:dyDescent="0.25">
      <c r="A128" s="47">
        <v>45434</v>
      </c>
      <c r="B128" s="43" t="s">
        <v>6</v>
      </c>
      <c r="C128" s="48" t="s">
        <v>136</v>
      </c>
      <c r="D128" s="55"/>
      <c r="E128" s="61">
        <v>3158675</v>
      </c>
      <c r="G128" s="56">
        <f t="shared" si="8"/>
        <v>450032860</v>
      </c>
      <c r="H128" s="51"/>
      <c r="J128" s="49"/>
      <c r="K128" s="49"/>
      <c r="L128" s="49"/>
      <c r="M128" s="49"/>
    </row>
    <row r="129" spans="1:13" ht="13" customHeight="1" x14ac:dyDescent="0.25">
      <c r="A129" s="47">
        <v>45468</v>
      </c>
      <c r="B129" s="43" t="s">
        <v>6</v>
      </c>
      <c r="C129" s="48" t="s">
        <v>136</v>
      </c>
      <c r="D129" s="55"/>
      <c r="E129" s="61">
        <v>3187629</v>
      </c>
      <c r="G129" s="56">
        <f t="shared" si="8"/>
        <v>446845231</v>
      </c>
      <c r="H129" s="51"/>
      <c r="J129" s="49"/>
      <c r="K129" s="49"/>
      <c r="L129" s="49"/>
      <c r="M129" s="49"/>
    </row>
    <row r="130" spans="1:13" ht="13" customHeight="1" x14ac:dyDescent="0.25">
      <c r="A130" s="47">
        <v>45498</v>
      </c>
      <c r="B130" s="43" t="s">
        <v>6</v>
      </c>
      <c r="C130" s="48" t="s">
        <v>136</v>
      </c>
      <c r="D130" s="55"/>
      <c r="E130" s="61">
        <v>3216849</v>
      </c>
      <c r="G130" s="56">
        <f t="shared" si="8"/>
        <v>443628382</v>
      </c>
      <c r="H130" s="51"/>
      <c r="J130" s="49"/>
      <c r="K130" s="49"/>
      <c r="L130" s="49"/>
      <c r="M130" s="49"/>
    </row>
    <row r="131" spans="1:13" ht="13" customHeight="1" x14ac:dyDescent="0.25">
      <c r="A131" s="47">
        <v>45527</v>
      </c>
      <c r="B131" s="43" t="s">
        <v>6</v>
      </c>
      <c r="C131" s="48" t="s">
        <v>136</v>
      </c>
      <c r="D131" s="55"/>
      <c r="E131" s="61">
        <v>3246337</v>
      </c>
      <c r="G131" s="56">
        <f t="shared" si="8"/>
        <v>440382045</v>
      </c>
      <c r="H131" s="51"/>
      <c r="J131" s="49"/>
      <c r="K131" s="49"/>
      <c r="L131" s="49"/>
      <c r="M131" s="49"/>
    </row>
    <row r="132" spans="1:13" ht="13" customHeight="1" x14ac:dyDescent="0.25">
      <c r="A132" s="47">
        <v>45560</v>
      </c>
      <c r="B132" s="43" t="s">
        <v>6</v>
      </c>
      <c r="C132" s="48" t="s">
        <v>136</v>
      </c>
      <c r="D132" s="55"/>
      <c r="E132" s="61">
        <v>3276095</v>
      </c>
      <c r="G132" s="56">
        <f t="shared" si="8"/>
        <v>437105950</v>
      </c>
      <c r="H132" s="51"/>
      <c r="J132" s="49"/>
      <c r="K132" s="49"/>
      <c r="L132" s="49"/>
      <c r="M132" s="49"/>
    </row>
    <row r="133" spans="1:13" ht="13" customHeight="1" x14ac:dyDescent="0.25">
      <c r="A133" s="47">
        <v>45590</v>
      </c>
      <c r="B133" s="43" t="s">
        <v>6</v>
      </c>
      <c r="C133" s="48" t="s">
        <v>136</v>
      </c>
      <c r="D133" s="55"/>
      <c r="E133" s="61">
        <v>3306126</v>
      </c>
      <c r="G133" s="56">
        <f t="shared" si="8"/>
        <v>433799824</v>
      </c>
      <c r="H133" s="51"/>
      <c r="J133" s="49"/>
      <c r="K133" s="49"/>
      <c r="L133" s="49"/>
      <c r="M133" s="49"/>
    </row>
    <row r="134" spans="1:13" ht="26" x14ac:dyDescent="0.25">
      <c r="A134" s="57">
        <v>45621</v>
      </c>
      <c r="B134" s="51"/>
      <c r="C134" s="48" t="s">
        <v>136</v>
      </c>
      <c r="E134" s="58">
        <v>3336432</v>
      </c>
      <c r="G134" s="56">
        <f t="shared" si="8"/>
        <v>430463392</v>
      </c>
      <c r="H134" s="51"/>
      <c r="I134" s="51"/>
      <c r="J134" s="51"/>
      <c r="K134" s="51"/>
      <c r="L134" s="51"/>
      <c r="M134" s="51"/>
    </row>
    <row r="135" spans="1:13" ht="26" x14ac:dyDescent="0.25">
      <c r="A135" s="57">
        <v>45649</v>
      </c>
      <c r="B135" s="51"/>
      <c r="C135" s="48" t="s">
        <v>136</v>
      </c>
      <c r="E135" s="58">
        <v>3367016</v>
      </c>
      <c r="G135" s="56">
        <f t="shared" si="8"/>
        <v>427096376</v>
      </c>
      <c r="H135" s="51"/>
      <c r="I135" s="51"/>
      <c r="J135" s="51"/>
      <c r="K135" s="51"/>
      <c r="L135" s="51"/>
      <c r="M135" s="51"/>
    </row>
    <row r="136" spans="1:13" x14ac:dyDescent="0.25">
      <c r="A136" s="51"/>
      <c r="B136" s="50" t="s">
        <v>109</v>
      </c>
      <c r="C136" s="50"/>
      <c r="D136" s="54"/>
      <c r="E136" s="59"/>
      <c r="H136" s="51"/>
      <c r="I136" s="51"/>
      <c r="J136" s="51"/>
      <c r="K136" s="51"/>
      <c r="L136" s="51"/>
      <c r="M136" s="51"/>
    </row>
    <row r="137" spans="1:13" ht="13" customHeight="1" x14ac:dyDescent="0.25">
      <c r="A137" s="47">
        <v>45382</v>
      </c>
      <c r="B137" s="43" t="s">
        <v>0</v>
      </c>
      <c r="C137" s="48" t="s">
        <v>137</v>
      </c>
      <c r="D137" s="49">
        <v>110000000</v>
      </c>
      <c r="E137" s="60"/>
      <c r="G137" s="56"/>
      <c r="H137" s="49"/>
      <c r="I137" s="51"/>
      <c r="K137" s="49"/>
      <c r="L137" s="49"/>
      <c r="M137" s="49"/>
    </row>
    <row r="138" spans="1:13" ht="13" customHeight="1" x14ac:dyDescent="0.25">
      <c r="A138" s="47">
        <v>45407</v>
      </c>
      <c r="B138" s="43" t="s">
        <v>6</v>
      </c>
      <c r="C138" s="48" t="s">
        <v>138</v>
      </c>
      <c r="D138" s="55"/>
      <c r="E138" s="61">
        <v>2781918</v>
      </c>
      <c r="G138" s="56">
        <f>D137-E138</f>
        <v>107218082</v>
      </c>
      <c r="H138" s="51"/>
      <c r="J138" s="49"/>
      <c r="K138" s="49"/>
      <c r="L138" s="49"/>
      <c r="M138" s="49"/>
    </row>
    <row r="139" spans="1:13" ht="13" customHeight="1" x14ac:dyDescent="0.25">
      <c r="A139" s="47">
        <v>45434</v>
      </c>
      <c r="B139" s="43" t="s">
        <v>6</v>
      </c>
      <c r="C139" s="48" t="s">
        <v>138</v>
      </c>
      <c r="D139" s="55"/>
      <c r="E139" s="61">
        <v>2806839</v>
      </c>
      <c r="G139" s="56">
        <f>G138-E139</f>
        <v>104411243</v>
      </c>
      <c r="H139" s="51"/>
      <c r="J139" s="49"/>
      <c r="K139" s="49"/>
      <c r="L139" s="49"/>
      <c r="M139" s="49"/>
    </row>
    <row r="140" spans="1:13" ht="13" customHeight="1" x14ac:dyDescent="0.25">
      <c r="A140" s="47">
        <v>45468</v>
      </c>
      <c r="B140" s="43" t="s">
        <v>6</v>
      </c>
      <c r="C140" s="48" t="s">
        <v>138</v>
      </c>
      <c r="D140" s="55"/>
      <c r="E140" s="61">
        <v>2831984</v>
      </c>
      <c r="G140" s="56">
        <f t="shared" ref="G140:G145" si="9">G139-E140</f>
        <v>101579259</v>
      </c>
      <c r="H140" s="51"/>
      <c r="J140" s="49"/>
      <c r="K140" s="49"/>
      <c r="L140" s="49"/>
      <c r="M140" s="49"/>
    </row>
    <row r="141" spans="1:13" ht="13" customHeight="1" x14ac:dyDescent="0.25">
      <c r="A141" s="47">
        <v>45498</v>
      </c>
      <c r="B141" s="43" t="s">
        <v>6</v>
      </c>
      <c r="C141" s="48" t="s">
        <v>138</v>
      </c>
      <c r="D141" s="55"/>
      <c r="E141" s="61">
        <v>2857354</v>
      </c>
      <c r="G141" s="56">
        <f t="shared" si="9"/>
        <v>98721905</v>
      </c>
      <c r="H141" s="51"/>
      <c r="J141" s="49"/>
      <c r="K141" s="49"/>
      <c r="L141" s="49"/>
      <c r="M141" s="49"/>
    </row>
    <row r="142" spans="1:13" ht="13" customHeight="1" x14ac:dyDescent="0.25">
      <c r="A142" s="47">
        <v>45527</v>
      </c>
      <c r="B142" s="43" t="s">
        <v>6</v>
      </c>
      <c r="C142" s="48" t="s">
        <v>138</v>
      </c>
      <c r="D142" s="55"/>
      <c r="E142" s="61">
        <v>2882951</v>
      </c>
      <c r="G142" s="56">
        <f t="shared" si="9"/>
        <v>95838954</v>
      </c>
      <c r="H142" s="51"/>
      <c r="J142" s="49"/>
      <c r="K142" s="49"/>
      <c r="L142" s="49"/>
      <c r="M142" s="49"/>
    </row>
    <row r="143" spans="1:13" ht="13" customHeight="1" x14ac:dyDescent="0.25">
      <c r="A143" s="47">
        <v>45560</v>
      </c>
      <c r="B143" s="43" t="s">
        <v>6</v>
      </c>
      <c r="C143" s="48" t="s">
        <v>138</v>
      </c>
      <c r="D143" s="55"/>
      <c r="E143" s="61">
        <v>2908777</v>
      </c>
      <c r="G143" s="56">
        <f t="shared" si="9"/>
        <v>92930177</v>
      </c>
      <c r="H143" s="51"/>
      <c r="J143" s="49"/>
      <c r="K143" s="49"/>
      <c r="L143" s="49"/>
      <c r="M143" s="49"/>
    </row>
    <row r="144" spans="1:13" ht="13" customHeight="1" x14ac:dyDescent="0.25">
      <c r="A144" s="47">
        <v>45590</v>
      </c>
      <c r="B144" s="43" t="s">
        <v>6</v>
      </c>
      <c r="C144" s="48" t="s">
        <v>138</v>
      </c>
      <c r="D144" s="55"/>
      <c r="E144" s="61">
        <v>2934835</v>
      </c>
      <c r="G144" s="56">
        <f t="shared" si="9"/>
        <v>89995342</v>
      </c>
      <c r="H144" s="51"/>
      <c r="J144" s="49"/>
      <c r="K144" s="49"/>
      <c r="L144" s="49"/>
      <c r="M144" s="49"/>
    </row>
    <row r="145" spans="1:13" ht="26" x14ac:dyDescent="0.25">
      <c r="A145" s="47">
        <v>45621</v>
      </c>
      <c r="B145" s="43" t="s">
        <v>6</v>
      </c>
      <c r="C145" s="48" t="s">
        <v>138</v>
      </c>
      <c r="E145" s="58">
        <v>2961126</v>
      </c>
      <c r="G145" s="56">
        <f t="shared" si="9"/>
        <v>87034216</v>
      </c>
      <c r="H145" s="51"/>
      <c r="I145" s="51"/>
      <c r="J145" s="51"/>
      <c r="K145" s="51"/>
      <c r="L145" s="51"/>
      <c r="M145" s="51"/>
    </row>
    <row r="146" spans="1:13" ht="26" x14ac:dyDescent="0.25">
      <c r="A146" s="47">
        <v>45649</v>
      </c>
      <c r="B146" s="43" t="s">
        <v>6</v>
      </c>
      <c r="C146" s="48" t="s">
        <v>138</v>
      </c>
      <c r="E146" s="58">
        <v>2987653</v>
      </c>
      <c r="G146" s="56">
        <f>G145-E146</f>
        <v>84046563</v>
      </c>
      <c r="H146" s="51"/>
      <c r="I146" s="51"/>
      <c r="J146" s="51"/>
      <c r="K146" s="51"/>
      <c r="L146" s="51"/>
      <c r="M146" s="51"/>
    </row>
    <row r="147" spans="1:13" x14ac:dyDescent="0.25">
      <c r="A147" s="51"/>
      <c r="B147" s="50" t="s">
        <v>139</v>
      </c>
      <c r="C147" s="50"/>
      <c r="D147" s="54"/>
      <c r="E147" s="59"/>
      <c r="H147" s="51"/>
      <c r="I147" s="51"/>
      <c r="J147" s="51"/>
      <c r="K147" s="51"/>
      <c r="L147" s="51"/>
      <c r="M147" s="51"/>
    </row>
    <row r="148" spans="1:13" x14ac:dyDescent="0.25">
      <c r="A148" s="47">
        <v>45292</v>
      </c>
      <c r="B148" s="43" t="s">
        <v>0</v>
      </c>
      <c r="C148" s="48" t="s">
        <v>1</v>
      </c>
      <c r="D148" s="55"/>
      <c r="E148" s="60"/>
      <c r="F148" s="49">
        <v>94936109</v>
      </c>
      <c r="G148" s="56"/>
      <c r="H148" s="49"/>
      <c r="I148" s="51"/>
      <c r="K148" s="49"/>
      <c r="L148" s="49"/>
      <c r="M148" s="49"/>
    </row>
    <row r="149" spans="1:13" ht="13" customHeight="1" x14ac:dyDescent="0.25">
      <c r="A149" s="47">
        <v>45316</v>
      </c>
      <c r="B149" s="43" t="s">
        <v>6</v>
      </c>
      <c r="C149" s="48" t="s">
        <v>140</v>
      </c>
      <c r="D149" s="55"/>
      <c r="E149" s="61">
        <v>1040158</v>
      </c>
      <c r="G149" s="56">
        <f>F148-E149</f>
        <v>93895951</v>
      </c>
      <c r="H149" s="51"/>
      <c r="J149" s="49"/>
      <c r="K149" s="49"/>
      <c r="L149" s="49"/>
      <c r="M149" s="49"/>
    </row>
    <row r="150" spans="1:13" ht="13" customHeight="1" x14ac:dyDescent="0.25">
      <c r="A150" s="47">
        <v>45345</v>
      </c>
      <c r="B150" s="43" t="s">
        <v>6</v>
      </c>
      <c r="C150" s="48" t="s">
        <v>140</v>
      </c>
      <c r="D150" s="55"/>
      <c r="E150" s="61">
        <v>1049477</v>
      </c>
      <c r="G150" s="56">
        <f>G149-E150</f>
        <v>92846474</v>
      </c>
      <c r="H150" s="51"/>
      <c r="J150" s="49"/>
      <c r="K150" s="49"/>
      <c r="L150" s="49"/>
      <c r="M150" s="49"/>
    </row>
    <row r="151" spans="1:13" ht="13" customHeight="1" x14ac:dyDescent="0.25">
      <c r="A151" s="47">
        <v>45376</v>
      </c>
      <c r="B151" s="43" t="s">
        <v>6</v>
      </c>
      <c r="C151" s="48" t="s">
        <v>140</v>
      </c>
      <c r="D151" s="55"/>
      <c r="E151" s="61">
        <v>1058878</v>
      </c>
      <c r="G151" s="56">
        <f t="shared" ref="G151:G160" si="10">G150-E151</f>
        <v>91787596</v>
      </c>
      <c r="H151" s="51"/>
      <c r="J151" s="49"/>
      <c r="K151" s="49"/>
      <c r="L151" s="49"/>
      <c r="M151" s="49"/>
    </row>
    <row r="152" spans="1:13" ht="13" customHeight="1" x14ac:dyDescent="0.25">
      <c r="A152" s="47">
        <v>45407</v>
      </c>
      <c r="B152" s="43" t="s">
        <v>6</v>
      </c>
      <c r="C152" s="48" t="s">
        <v>140</v>
      </c>
      <c r="D152" s="55"/>
      <c r="E152" s="61">
        <v>1068364</v>
      </c>
      <c r="G152" s="56">
        <f t="shared" si="10"/>
        <v>90719232</v>
      </c>
      <c r="H152" s="51"/>
      <c r="J152" s="49"/>
      <c r="K152" s="49"/>
      <c r="L152" s="49"/>
      <c r="M152" s="49"/>
    </row>
    <row r="153" spans="1:13" ht="13" customHeight="1" x14ac:dyDescent="0.25">
      <c r="A153" s="47">
        <v>45434</v>
      </c>
      <c r="B153" s="43" t="s">
        <v>6</v>
      </c>
      <c r="C153" s="48" t="s">
        <v>140</v>
      </c>
      <c r="D153" s="55"/>
      <c r="E153" s="61">
        <v>1077935</v>
      </c>
      <c r="G153" s="56">
        <f t="shared" si="10"/>
        <v>89641297</v>
      </c>
      <c r="H153" s="51"/>
      <c r="J153" s="49"/>
      <c r="K153" s="49"/>
      <c r="L153" s="49"/>
      <c r="M153" s="49"/>
    </row>
    <row r="154" spans="1:13" ht="13" customHeight="1" x14ac:dyDescent="0.25">
      <c r="A154" s="47">
        <v>45468</v>
      </c>
      <c r="B154" s="43" t="s">
        <v>6</v>
      </c>
      <c r="C154" s="48" t="s">
        <v>140</v>
      </c>
      <c r="D154" s="55"/>
      <c r="E154" s="61">
        <v>1087591</v>
      </c>
      <c r="G154" s="56">
        <f t="shared" si="10"/>
        <v>88553706</v>
      </c>
      <c r="H154" s="51"/>
      <c r="J154" s="49"/>
      <c r="K154" s="49"/>
      <c r="L154" s="49"/>
      <c r="M154" s="49"/>
    </row>
    <row r="155" spans="1:13" ht="13" customHeight="1" x14ac:dyDescent="0.25">
      <c r="A155" s="47">
        <v>45498</v>
      </c>
      <c r="B155" s="43" t="s">
        <v>6</v>
      </c>
      <c r="C155" s="48" t="s">
        <v>140</v>
      </c>
      <c r="D155" s="55"/>
      <c r="E155" s="61">
        <v>1097334</v>
      </c>
      <c r="G155" s="56">
        <f t="shared" si="10"/>
        <v>87456372</v>
      </c>
      <c r="H155" s="51"/>
      <c r="J155" s="49"/>
      <c r="K155" s="49"/>
      <c r="L155" s="49"/>
      <c r="M155" s="49"/>
    </row>
    <row r="156" spans="1:13" ht="13" customHeight="1" x14ac:dyDescent="0.25">
      <c r="A156" s="47">
        <v>45527</v>
      </c>
      <c r="B156" s="43" t="s">
        <v>6</v>
      </c>
      <c r="C156" s="48" t="s">
        <v>140</v>
      </c>
      <c r="D156" s="55"/>
      <c r="E156" s="61">
        <v>1107164</v>
      </c>
      <c r="G156" s="56">
        <f t="shared" si="10"/>
        <v>86349208</v>
      </c>
      <c r="H156" s="51"/>
      <c r="J156" s="49"/>
      <c r="K156" s="49"/>
      <c r="L156" s="49"/>
      <c r="M156" s="49"/>
    </row>
    <row r="157" spans="1:13" ht="13" customHeight="1" x14ac:dyDescent="0.25">
      <c r="A157" s="47">
        <v>45560</v>
      </c>
      <c r="B157" s="43" t="s">
        <v>6</v>
      </c>
      <c r="C157" s="48" t="s">
        <v>140</v>
      </c>
      <c r="D157" s="55"/>
      <c r="E157" s="61">
        <v>1117083</v>
      </c>
      <c r="G157" s="56">
        <f t="shared" si="10"/>
        <v>85232125</v>
      </c>
      <c r="H157" s="51"/>
      <c r="J157" s="49"/>
      <c r="K157" s="49"/>
      <c r="L157" s="49"/>
      <c r="M157" s="49"/>
    </row>
    <row r="158" spans="1:13" ht="13" customHeight="1" x14ac:dyDescent="0.25">
      <c r="A158" s="47">
        <v>45590</v>
      </c>
      <c r="B158" s="43" t="s">
        <v>6</v>
      </c>
      <c r="C158" s="48" t="s">
        <v>140</v>
      </c>
      <c r="D158" s="55"/>
      <c r="E158" s="61">
        <v>1127090</v>
      </c>
      <c r="G158" s="56">
        <f t="shared" si="10"/>
        <v>84105035</v>
      </c>
      <c r="H158" s="51"/>
      <c r="J158" s="49"/>
      <c r="K158" s="49"/>
      <c r="L158" s="49"/>
      <c r="M158" s="49"/>
    </row>
    <row r="159" spans="1:13" ht="26" x14ac:dyDescent="0.25">
      <c r="A159" s="47">
        <v>45621</v>
      </c>
      <c r="B159" s="43" t="s">
        <v>6</v>
      </c>
      <c r="C159" s="48" t="s">
        <v>140</v>
      </c>
      <c r="E159" s="58">
        <v>1137187</v>
      </c>
      <c r="G159" s="56">
        <f t="shared" si="10"/>
        <v>82967848</v>
      </c>
      <c r="H159" s="51"/>
      <c r="I159" s="51"/>
      <c r="J159" s="51"/>
      <c r="K159" s="51"/>
      <c r="L159" s="51"/>
      <c r="M159" s="51"/>
    </row>
    <row r="160" spans="1:13" ht="26" x14ac:dyDescent="0.25">
      <c r="A160" s="47">
        <v>45649</v>
      </c>
      <c r="B160" s="43" t="s">
        <v>6</v>
      </c>
      <c r="C160" s="48" t="s">
        <v>140</v>
      </c>
      <c r="E160" s="58">
        <v>1147374</v>
      </c>
      <c r="G160" s="56">
        <f t="shared" si="10"/>
        <v>81820474</v>
      </c>
      <c r="H160" s="51"/>
      <c r="I160" s="51"/>
      <c r="J160" s="51"/>
      <c r="K160" s="51"/>
      <c r="L160" s="51"/>
      <c r="M160" s="51"/>
    </row>
    <row r="161" spans="1:13" x14ac:dyDescent="0.25">
      <c r="A161" s="51"/>
      <c r="B161" s="50" t="s">
        <v>117</v>
      </c>
      <c r="C161" s="50"/>
      <c r="D161" s="54"/>
      <c r="E161" s="59"/>
      <c r="H161" s="51"/>
      <c r="I161" s="51"/>
      <c r="J161" s="51"/>
      <c r="K161" s="51"/>
      <c r="L161" s="51"/>
      <c r="M161" s="51"/>
    </row>
    <row r="162" spans="1:13" x14ac:dyDescent="0.25">
      <c r="A162" s="47">
        <v>45292</v>
      </c>
      <c r="B162" s="43" t="s">
        <v>0</v>
      </c>
      <c r="C162" s="48" t="s">
        <v>1</v>
      </c>
      <c r="D162" s="55"/>
      <c r="E162" s="60"/>
      <c r="F162" s="49">
        <v>7289444</v>
      </c>
      <c r="G162" s="56"/>
      <c r="H162" s="49"/>
      <c r="I162" s="51"/>
      <c r="K162" s="49"/>
      <c r="L162" s="49"/>
      <c r="M162" s="49"/>
    </row>
    <row r="163" spans="1:13" ht="13" customHeight="1" x14ac:dyDescent="0.25">
      <c r="A163" s="47">
        <v>45316</v>
      </c>
      <c r="B163" s="43" t="s">
        <v>6</v>
      </c>
      <c r="C163" s="48" t="s">
        <v>141</v>
      </c>
      <c r="D163" s="55"/>
      <c r="E163" s="61">
        <v>1797494</v>
      </c>
      <c r="G163" s="56">
        <f>F162-E163</f>
        <v>5491950</v>
      </c>
      <c r="H163" s="51"/>
      <c r="J163" s="49"/>
      <c r="K163" s="49"/>
      <c r="L163" s="49"/>
      <c r="M163" s="49"/>
    </row>
    <row r="164" spans="1:13" ht="13" customHeight="1" x14ac:dyDescent="0.25">
      <c r="A164" s="47">
        <v>45345</v>
      </c>
      <c r="B164" s="43" t="s">
        <v>6</v>
      </c>
      <c r="C164" s="48" t="s">
        <v>141</v>
      </c>
      <c r="D164" s="55"/>
      <c r="E164" s="61">
        <v>1813971</v>
      </c>
      <c r="G164" s="56">
        <f>G163-E164</f>
        <v>3677979</v>
      </c>
      <c r="H164" s="51"/>
      <c r="J164" s="49"/>
      <c r="K164" s="49"/>
      <c r="L164" s="49"/>
      <c r="M164" s="49"/>
    </row>
    <row r="165" spans="1:13" ht="13" customHeight="1" x14ac:dyDescent="0.25">
      <c r="A165" s="47">
        <v>45376</v>
      </c>
      <c r="B165" s="43" t="s">
        <v>6</v>
      </c>
      <c r="C165" s="48" t="s">
        <v>141</v>
      </c>
      <c r="D165" s="55"/>
      <c r="E165" s="61">
        <v>1830599</v>
      </c>
      <c r="G165" s="56">
        <f t="shared" ref="G165:G167" si="11">G164-E165</f>
        <v>1847380</v>
      </c>
      <c r="H165" s="51"/>
      <c r="J165" s="49"/>
      <c r="K165" s="49"/>
      <c r="L165" s="49"/>
      <c r="M165" s="49"/>
    </row>
    <row r="166" spans="1:13" ht="13" customHeight="1" x14ac:dyDescent="0.25">
      <c r="A166" s="47">
        <v>45407</v>
      </c>
      <c r="B166" s="43" t="s">
        <v>6</v>
      </c>
      <c r="C166" s="48" t="s">
        <v>141</v>
      </c>
      <c r="D166" s="55"/>
      <c r="E166" s="61">
        <v>1847379</v>
      </c>
      <c r="G166" s="56">
        <f t="shared" si="11"/>
        <v>1</v>
      </c>
      <c r="H166" s="51"/>
      <c r="J166" s="49"/>
      <c r="K166" s="49"/>
      <c r="L166" s="49"/>
      <c r="M166" s="49"/>
    </row>
    <row r="167" spans="1:13" ht="13" customHeight="1" x14ac:dyDescent="0.25">
      <c r="A167" s="47">
        <v>45504</v>
      </c>
      <c r="B167" s="43" t="s">
        <v>0</v>
      </c>
      <c r="C167" s="48" t="s">
        <v>142</v>
      </c>
      <c r="D167" s="55"/>
      <c r="E167" s="61">
        <v>1</v>
      </c>
      <c r="G167" s="56">
        <f t="shared" si="11"/>
        <v>0</v>
      </c>
      <c r="H167" s="51"/>
      <c r="J167" s="51"/>
      <c r="K167" s="51"/>
      <c r="L167" s="51"/>
      <c r="M167" s="51"/>
    </row>
    <row r="168" spans="1:13" x14ac:dyDescent="0.25">
      <c r="A168" s="51"/>
      <c r="B168" s="51"/>
      <c r="C168" s="51"/>
      <c r="H168" s="51"/>
      <c r="I168" s="51"/>
      <c r="J168" s="51"/>
      <c r="K168" s="51"/>
      <c r="L168" s="51"/>
      <c r="M168" s="51"/>
    </row>
    <row r="169" spans="1:13" x14ac:dyDescent="0.25">
      <c r="A169" s="51"/>
      <c r="B169" s="51"/>
      <c r="C169" s="51"/>
      <c r="H169" s="51"/>
      <c r="I169" s="51"/>
      <c r="J169" s="51"/>
      <c r="K169" s="51"/>
      <c r="L169" s="51"/>
      <c r="M169" s="51"/>
    </row>
    <row r="170" spans="1:13" x14ac:dyDescent="0.25">
      <c r="A170" s="51"/>
      <c r="B170" s="50" t="s">
        <v>108</v>
      </c>
      <c r="C170" s="50"/>
      <c r="D170" s="54"/>
      <c r="E170" s="59"/>
      <c r="H170" s="51"/>
      <c r="I170" s="51"/>
      <c r="J170" s="51"/>
      <c r="K170" s="51"/>
      <c r="L170" s="51"/>
      <c r="M170" s="51"/>
    </row>
    <row r="171" spans="1:13" x14ac:dyDescent="0.25">
      <c r="A171" s="47">
        <v>45292</v>
      </c>
      <c r="B171" s="43" t="s">
        <v>0</v>
      </c>
      <c r="C171" s="48" t="s">
        <v>1</v>
      </c>
      <c r="D171" s="55"/>
      <c r="E171" s="60"/>
      <c r="F171" s="49">
        <v>52857431</v>
      </c>
      <c r="G171" s="56"/>
      <c r="H171" s="49"/>
      <c r="I171" s="51"/>
      <c r="K171" s="49"/>
      <c r="L171" s="49"/>
      <c r="M171" s="49"/>
    </row>
    <row r="172" spans="1:13" ht="13" customHeight="1" x14ac:dyDescent="0.25">
      <c r="A172" s="47">
        <v>45316</v>
      </c>
      <c r="B172" s="43" t="s">
        <v>6</v>
      </c>
      <c r="C172" s="48" t="s">
        <v>143</v>
      </c>
      <c r="D172" s="55"/>
      <c r="E172" s="61">
        <v>1037443</v>
      </c>
      <c r="G172" s="56">
        <f>F171-E172</f>
        <v>51819988</v>
      </c>
      <c r="H172" s="51"/>
      <c r="J172" s="49"/>
      <c r="K172" s="49"/>
      <c r="L172" s="49"/>
      <c r="M172" s="49"/>
    </row>
    <row r="173" spans="1:13" ht="13" customHeight="1" x14ac:dyDescent="0.25">
      <c r="A173" s="47">
        <v>45345</v>
      </c>
      <c r="B173" s="43" t="s">
        <v>6</v>
      </c>
      <c r="C173" s="48" t="s">
        <v>143</v>
      </c>
      <c r="D173" s="55"/>
      <c r="E173" s="61">
        <v>1046953</v>
      </c>
      <c r="G173" s="56">
        <f>G172-E173</f>
        <v>50773035</v>
      </c>
      <c r="H173" s="51"/>
      <c r="J173" s="49"/>
      <c r="K173" s="49"/>
      <c r="L173" s="49"/>
      <c r="M173" s="49"/>
    </row>
    <row r="174" spans="1:13" ht="13" customHeight="1" x14ac:dyDescent="0.25">
      <c r="A174" s="47">
        <v>45376</v>
      </c>
      <c r="B174" s="43" t="s">
        <v>6</v>
      </c>
      <c r="C174" s="48" t="s">
        <v>143</v>
      </c>
      <c r="D174" s="55"/>
      <c r="E174" s="61">
        <v>1056550</v>
      </c>
      <c r="G174" s="56">
        <f t="shared" ref="G174:G183" si="12">G173-E174</f>
        <v>49716485</v>
      </c>
      <c r="H174" s="51"/>
      <c r="J174" s="49"/>
      <c r="K174" s="49"/>
      <c r="L174" s="49"/>
      <c r="M174" s="49"/>
    </row>
    <row r="175" spans="1:13" ht="13" customHeight="1" x14ac:dyDescent="0.25">
      <c r="A175" s="47">
        <v>45407</v>
      </c>
      <c r="B175" s="43" t="s">
        <v>6</v>
      </c>
      <c r="C175" s="48" t="s">
        <v>143</v>
      </c>
      <c r="D175" s="55"/>
      <c r="E175" s="61">
        <v>1066235</v>
      </c>
      <c r="G175" s="56">
        <f t="shared" si="12"/>
        <v>48650250</v>
      </c>
      <c r="H175" s="51"/>
      <c r="J175" s="49"/>
      <c r="K175" s="49"/>
      <c r="L175" s="49"/>
      <c r="M175" s="49"/>
    </row>
    <row r="176" spans="1:13" ht="13" customHeight="1" x14ac:dyDescent="0.25">
      <c r="A176" s="47">
        <v>45434</v>
      </c>
      <c r="B176" s="43" t="s">
        <v>6</v>
      </c>
      <c r="C176" s="48" t="s">
        <v>143</v>
      </c>
      <c r="D176" s="55"/>
      <c r="E176" s="61">
        <v>1076009</v>
      </c>
      <c r="G176" s="56">
        <f t="shared" si="12"/>
        <v>47574241</v>
      </c>
      <c r="H176" s="51"/>
      <c r="J176" s="49"/>
      <c r="K176" s="49"/>
      <c r="L176" s="49"/>
      <c r="M176" s="49"/>
    </row>
    <row r="177" spans="1:13" ht="13" customHeight="1" x14ac:dyDescent="0.25">
      <c r="A177" s="47">
        <v>45468</v>
      </c>
      <c r="B177" s="43" t="s">
        <v>6</v>
      </c>
      <c r="C177" s="48" t="s">
        <v>143</v>
      </c>
      <c r="D177" s="55"/>
      <c r="E177" s="61">
        <v>1085872</v>
      </c>
      <c r="G177" s="56">
        <f t="shared" si="12"/>
        <v>46488369</v>
      </c>
      <c r="H177" s="51"/>
      <c r="J177" s="49"/>
      <c r="K177" s="49"/>
      <c r="L177" s="49"/>
      <c r="M177" s="49"/>
    </row>
    <row r="178" spans="1:13" ht="13" customHeight="1" x14ac:dyDescent="0.25">
      <c r="A178" s="47">
        <v>45498</v>
      </c>
      <c r="B178" s="43" t="s">
        <v>6</v>
      </c>
      <c r="C178" s="48" t="s">
        <v>143</v>
      </c>
      <c r="D178" s="55"/>
      <c r="E178" s="61">
        <v>1095826</v>
      </c>
      <c r="G178" s="56">
        <f t="shared" si="12"/>
        <v>45392543</v>
      </c>
      <c r="H178" s="51"/>
      <c r="J178" s="49"/>
      <c r="K178" s="49"/>
      <c r="L178" s="49"/>
      <c r="M178" s="49"/>
    </row>
    <row r="179" spans="1:13" ht="13" customHeight="1" x14ac:dyDescent="0.25">
      <c r="A179" s="47">
        <v>45527</v>
      </c>
      <c r="B179" s="43" t="s">
        <v>6</v>
      </c>
      <c r="C179" s="48" t="s">
        <v>143</v>
      </c>
      <c r="D179" s="55"/>
      <c r="E179" s="61">
        <v>1105871</v>
      </c>
      <c r="G179" s="56">
        <f t="shared" si="12"/>
        <v>44286672</v>
      </c>
      <c r="H179" s="51"/>
      <c r="J179" s="49"/>
      <c r="K179" s="49"/>
      <c r="L179" s="49"/>
      <c r="M179" s="49"/>
    </row>
    <row r="180" spans="1:13" ht="13" customHeight="1" x14ac:dyDescent="0.25">
      <c r="A180" s="47">
        <v>45560</v>
      </c>
      <c r="B180" s="43" t="s">
        <v>6</v>
      </c>
      <c r="C180" s="48" t="s">
        <v>143</v>
      </c>
      <c r="D180" s="55"/>
      <c r="E180" s="61">
        <v>1116008</v>
      </c>
      <c r="G180" s="56">
        <f t="shared" si="12"/>
        <v>43170664</v>
      </c>
      <c r="H180" s="51"/>
      <c r="J180" s="49"/>
      <c r="K180" s="49"/>
      <c r="L180" s="49"/>
      <c r="M180" s="49"/>
    </row>
    <row r="181" spans="1:13" ht="13" customHeight="1" x14ac:dyDescent="0.25">
      <c r="A181" s="47">
        <v>45590</v>
      </c>
      <c r="B181" s="43" t="s">
        <v>6</v>
      </c>
      <c r="C181" s="48" t="s">
        <v>143</v>
      </c>
      <c r="D181" s="55"/>
      <c r="E181" s="61">
        <v>1126239</v>
      </c>
      <c r="G181" s="56">
        <f t="shared" si="12"/>
        <v>42044425</v>
      </c>
      <c r="H181" s="51"/>
      <c r="J181" s="49"/>
      <c r="K181" s="49"/>
      <c r="L181" s="49"/>
      <c r="M181" s="49"/>
    </row>
    <row r="182" spans="1:13" ht="26" x14ac:dyDescent="0.25">
      <c r="A182" s="47">
        <v>45621</v>
      </c>
      <c r="B182" s="43" t="s">
        <v>6</v>
      </c>
      <c r="C182" s="48" t="s">
        <v>143</v>
      </c>
      <c r="E182" s="58">
        <v>1136562</v>
      </c>
      <c r="G182" s="56">
        <f t="shared" si="12"/>
        <v>40907863</v>
      </c>
      <c r="H182" s="51"/>
      <c r="I182" s="51"/>
      <c r="J182" s="51"/>
      <c r="K182" s="51"/>
      <c r="L182" s="51"/>
      <c r="M182" s="51"/>
    </row>
    <row r="183" spans="1:13" ht="26" x14ac:dyDescent="0.25">
      <c r="A183" s="47">
        <v>45649</v>
      </c>
      <c r="B183" s="43" t="s">
        <v>6</v>
      </c>
      <c r="C183" s="48" t="s">
        <v>143</v>
      </c>
      <c r="E183" s="58">
        <v>1146981</v>
      </c>
      <c r="G183" s="56">
        <f t="shared" si="12"/>
        <v>39760882</v>
      </c>
      <c r="H183" s="51"/>
      <c r="I183" s="51"/>
      <c r="J183" s="51"/>
      <c r="K183" s="51"/>
      <c r="L183" s="51"/>
      <c r="M183" s="51"/>
    </row>
    <row r="184" spans="1:13" x14ac:dyDescent="0.25">
      <c r="A184" s="51"/>
      <c r="B184" s="50" t="s">
        <v>12</v>
      </c>
      <c r="C184" s="50"/>
      <c r="D184" s="54"/>
      <c r="E184" s="59"/>
      <c r="H184" s="51"/>
      <c r="I184" s="51"/>
      <c r="J184" s="51"/>
      <c r="K184" s="51"/>
      <c r="L184" s="51"/>
      <c r="M184" s="51"/>
    </row>
    <row r="185" spans="1:13" x14ac:dyDescent="0.25">
      <c r="A185" s="47">
        <v>45292</v>
      </c>
      <c r="B185" s="43" t="s">
        <v>0</v>
      </c>
      <c r="C185" s="48" t="s">
        <v>1</v>
      </c>
      <c r="D185" s="55"/>
      <c r="E185" s="60"/>
      <c r="F185" s="49">
        <v>81668701</v>
      </c>
      <c r="G185" s="56"/>
      <c r="H185" s="49"/>
      <c r="I185" s="51"/>
      <c r="K185" s="49"/>
      <c r="L185" s="49"/>
      <c r="M185" s="49"/>
    </row>
    <row r="186" spans="1:13" ht="13" customHeight="1" x14ac:dyDescent="0.25">
      <c r="A186" s="47">
        <v>45316</v>
      </c>
      <c r="B186" s="43" t="s">
        <v>6</v>
      </c>
      <c r="C186" s="48" t="s">
        <v>144</v>
      </c>
      <c r="D186" s="55"/>
      <c r="E186" s="61">
        <v>963614</v>
      </c>
      <c r="G186" s="56">
        <f>F185-E186</f>
        <v>80705087</v>
      </c>
      <c r="H186" s="51"/>
      <c r="J186" s="49"/>
      <c r="K186" s="49"/>
      <c r="L186" s="49"/>
      <c r="M186" s="49"/>
    </row>
    <row r="187" spans="1:13" ht="13" customHeight="1" x14ac:dyDescent="0.25">
      <c r="A187" s="47">
        <v>45345</v>
      </c>
      <c r="B187" s="43" t="s">
        <v>6</v>
      </c>
      <c r="C187" s="48" t="s">
        <v>144</v>
      </c>
      <c r="D187" s="55"/>
      <c r="E187" s="61">
        <v>972447</v>
      </c>
      <c r="G187" s="56">
        <f>G186-E187</f>
        <v>79732640</v>
      </c>
      <c r="H187" s="51"/>
      <c r="J187" s="49"/>
      <c r="K187" s="49"/>
      <c r="L187" s="49"/>
      <c r="M187" s="49"/>
    </row>
    <row r="188" spans="1:13" ht="13" customHeight="1" x14ac:dyDescent="0.25">
      <c r="A188" s="47">
        <v>45376</v>
      </c>
      <c r="B188" s="43" t="s">
        <v>6</v>
      </c>
      <c r="C188" s="48" t="s">
        <v>144</v>
      </c>
      <c r="D188" s="55"/>
      <c r="E188" s="61">
        <v>981361</v>
      </c>
      <c r="G188" s="56">
        <f t="shared" ref="G188:G197" si="13">G187-E188</f>
        <v>78751279</v>
      </c>
      <c r="H188" s="51"/>
      <c r="J188" s="49"/>
      <c r="K188" s="49"/>
      <c r="L188" s="49"/>
      <c r="M188" s="49"/>
    </row>
    <row r="189" spans="1:13" ht="13" customHeight="1" x14ac:dyDescent="0.25">
      <c r="A189" s="47">
        <v>45407</v>
      </c>
      <c r="B189" s="43" t="s">
        <v>6</v>
      </c>
      <c r="C189" s="48" t="s">
        <v>144</v>
      </c>
      <c r="D189" s="55"/>
      <c r="E189" s="61">
        <v>990357</v>
      </c>
      <c r="G189" s="56">
        <f t="shared" si="13"/>
        <v>77760922</v>
      </c>
      <c r="H189" s="51"/>
      <c r="J189" s="49"/>
      <c r="K189" s="49"/>
      <c r="L189" s="49"/>
      <c r="M189" s="49"/>
    </row>
    <row r="190" spans="1:13" ht="13" customHeight="1" x14ac:dyDescent="0.25">
      <c r="A190" s="47">
        <v>45434</v>
      </c>
      <c r="B190" s="43" t="s">
        <v>6</v>
      </c>
      <c r="C190" s="48" t="s">
        <v>144</v>
      </c>
      <c r="D190" s="55"/>
      <c r="E190" s="61">
        <v>999435</v>
      </c>
      <c r="G190" s="56">
        <f t="shared" si="13"/>
        <v>76761487</v>
      </c>
      <c r="H190" s="51"/>
      <c r="J190" s="49"/>
      <c r="K190" s="49"/>
      <c r="L190" s="49"/>
      <c r="M190" s="49"/>
    </row>
    <row r="191" spans="1:13" ht="13" customHeight="1" x14ac:dyDescent="0.25">
      <c r="A191" s="47">
        <v>45468</v>
      </c>
      <c r="B191" s="43" t="s">
        <v>6</v>
      </c>
      <c r="C191" s="48" t="s">
        <v>144</v>
      </c>
      <c r="D191" s="55"/>
      <c r="E191" s="61">
        <v>1008597</v>
      </c>
      <c r="G191" s="56">
        <f t="shared" si="13"/>
        <v>75752890</v>
      </c>
      <c r="H191" s="51"/>
      <c r="J191" s="49"/>
      <c r="K191" s="49"/>
      <c r="L191" s="49"/>
      <c r="M191" s="49"/>
    </row>
    <row r="192" spans="1:13" ht="13" customHeight="1" x14ac:dyDescent="0.25">
      <c r="A192" s="47">
        <v>45498</v>
      </c>
      <c r="B192" s="43" t="s">
        <v>6</v>
      </c>
      <c r="C192" s="48" t="s">
        <v>144</v>
      </c>
      <c r="D192" s="55"/>
      <c r="E192" s="61">
        <v>1017172</v>
      </c>
      <c r="G192" s="56">
        <f t="shared" si="13"/>
        <v>74735718</v>
      </c>
      <c r="H192" s="51"/>
      <c r="J192" s="49"/>
      <c r="K192" s="49"/>
      <c r="L192" s="49"/>
      <c r="M192" s="49"/>
    </row>
    <row r="193" spans="1:13" ht="13" customHeight="1" x14ac:dyDescent="0.25">
      <c r="A193" s="47">
        <v>45527</v>
      </c>
      <c r="B193" s="43" t="s">
        <v>6</v>
      </c>
      <c r="C193" s="48" t="s">
        <v>144</v>
      </c>
      <c r="D193" s="55"/>
      <c r="E193" s="61">
        <v>1027172</v>
      </c>
      <c r="G193" s="56">
        <f t="shared" si="13"/>
        <v>73708546</v>
      </c>
      <c r="H193" s="51"/>
      <c r="J193" s="49"/>
      <c r="K193" s="49"/>
      <c r="L193" s="49"/>
      <c r="M193" s="49"/>
    </row>
    <row r="194" spans="1:13" ht="13" customHeight="1" x14ac:dyDescent="0.25">
      <c r="A194" s="47">
        <v>45560</v>
      </c>
      <c r="B194" s="43" t="s">
        <v>6</v>
      </c>
      <c r="C194" s="48" t="s">
        <v>144</v>
      </c>
      <c r="D194" s="55"/>
      <c r="E194" s="61">
        <v>1036588</v>
      </c>
      <c r="G194" s="56">
        <f t="shared" si="13"/>
        <v>72671958</v>
      </c>
      <c r="H194" s="51"/>
      <c r="J194" s="49"/>
      <c r="K194" s="49"/>
      <c r="L194" s="49"/>
      <c r="M194" s="49"/>
    </row>
    <row r="195" spans="1:13" ht="13" customHeight="1" x14ac:dyDescent="0.25">
      <c r="A195" s="47">
        <v>45590</v>
      </c>
      <c r="B195" s="43" t="s">
        <v>6</v>
      </c>
      <c r="C195" s="48" t="s">
        <v>144</v>
      </c>
      <c r="D195" s="55"/>
      <c r="E195" s="61">
        <v>1046090</v>
      </c>
      <c r="G195" s="56">
        <f t="shared" si="13"/>
        <v>71625868</v>
      </c>
      <c r="H195" s="51"/>
      <c r="J195" s="49"/>
      <c r="K195" s="49"/>
      <c r="L195" s="49"/>
      <c r="M195" s="49"/>
    </row>
    <row r="196" spans="1:13" ht="26" x14ac:dyDescent="0.25">
      <c r="A196" s="47">
        <v>45621</v>
      </c>
      <c r="B196" s="43" t="s">
        <v>6</v>
      </c>
      <c r="C196" s="48" t="s">
        <v>144</v>
      </c>
      <c r="E196" s="58">
        <v>1055679</v>
      </c>
      <c r="G196" s="56">
        <f t="shared" si="13"/>
        <v>70570189</v>
      </c>
      <c r="H196" s="51"/>
      <c r="I196" s="51"/>
      <c r="J196" s="51"/>
      <c r="K196" s="51"/>
      <c r="L196" s="51"/>
      <c r="M196" s="51"/>
    </row>
    <row r="197" spans="1:13" ht="26" x14ac:dyDescent="0.25">
      <c r="A197" s="47">
        <v>45649</v>
      </c>
      <c r="B197" s="43" t="s">
        <v>6</v>
      </c>
      <c r="C197" s="48" t="s">
        <v>144</v>
      </c>
      <c r="E197" s="58">
        <v>1065356</v>
      </c>
      <c r="G197" s="56">
        <f t="shared" si="13"/>
        <v>69504833</v>
      </c>
      <c r="H197" s="51"/>
      <c r="I197" s="51"/>
      <c r="J197" s="51"/>
      <c r="K197" s="51"/>
      <c r="L197" s="51"/>
      <c r="M197" s="51"/>
    </row>
    <row r="198" spans="1:13" x14ac:dyDescent="0.25">
      <c r="A198" s="51"/>
      <c r="B198" s="50" t="s">
        <v>18</v>
      </c>
      <c r="C198" s="50"/>
      <c r="D198" s="54"/>
      <c r="E198" s="59"/>
      <c r="H198" s="51"/>
      <c r="I198" s="51"/>
      <c r="J198" s="51"/>
      <c r="K198" s="51"/>
      <c r="L198" s="51"/>
      <c r="M198" s="51"/>
    </row>
    <row r="199" spans="1:13" x14ac:dyDescent="0.25">
      <c r="A199" s="47">
        <v>45292</v>
      </c>
      <c r="B199" s="43" t="s">
        <v>0</v>
      </c>
      <c r="C199" s="48" t="s">
        <v>1</v>
      </c>
      <c r="D199" s="55"/>
      <c r="E199" s="60"/>
      <c r="F199" s="49">
        <v>101419449</v>
      </c>
      <c r="G199" s="56"/>
      <c r="H199" s="49"/>
      <c r="I199" s="51"/>
      <c r="K199" s="49"/>
      <c r="L199" s="49"/>
      <c r="M199" s="49"/>
    </row>
    <row r="200" spans="1:13" ht="13" customHeight="1" x14ac:dyDescent="0.25">
      <c r="A200" s="47">
        <v>45316</v>
      </c>
      <c r="B200" s="43" t="s">
        <v>6</v>
      </c>
      <c r="C200" s="48" t="s">
        <v>145</v>
      </c>
      <c r="D200" s="55"/>
      <c r="E200" s="61">
        <v>3981129</v>
      </c>
      <c r="G200" s="56">
        <f>F199-E200</f>
        <v>97438320</v>
      </c>
      <c r="H200" s="51"/>
      <c r="J200" s="49"/>
      <c r="K200" s="49"/>
      <c r="L200" s="49"/>
      <c r="M200" s="49"/>
    </row>
    <row r="201" spans="1:13" ht="13" customHeight="1" x14ac:dyDescent="0.25">
      <c r="A201" s="47">
        <v>45345</v>
      </c>
      <c r="B201" s="43" t="s">
        <v>6</v>
      </c>
      <c r="C201" s="48" t="s">
        <v>145</v>
      </c>
      <c r="D201" s="55"/>
      <c r="E201" s="61">
        <v>4017623</v>
      </c>
      <c r="G201" s="56">
        <f>G200-E201</f>
        <v>93420697</v>
      </c>
      <c r="H201" s="51"/>
      <c r="J201" s="49"/>
      <c r="K201" s="49"/>
      <c r="L201" s="49"/>
      <c r="M201" s="49"/>
    </row>
    <row r="202" spans="1:13" ht="13" customHeight="1" x14ac:dyDescent="0.25">
      <c r="A202" s="47">
        <v>45376</v>
      </c>
      <c r="B202" s="43" t="s">
        <v>6</v>
      </c>
      <c r="C202" s="48" t="s">
        <v>145</v>
      </c>
      <c r="D202" s="55"/>
      <c r="E202" s="61">
        <v>4054451</v>
      </c>
      <c r="G202" s="56">
        <f t="shared" ref="G202:G211" si="14">G201-E202</f>
        <v>89366246</v>
      </c>
      <c r="H202" s="51"/>
      <c r="J202" s="49"/>
      <c r="K202" s="49"/>
      <c r="L202" s="49"/>
      <c r="M202" s="49"/>
    </row>
    <row r="203" spans="1:13" ht="13" customHeight="1" x14ac:dyDescent="0.25">
      <c r="A203" s="47">
        <v>45407</v>
      </c>
      <c r="B203" s="43" t="s">
        <v>6</v>
      </c>
      <c r="C203" s="48" t="s">
        <v>145</v>
      </c>
      <c r="D203" s="55"/>
      <c r="E203" s="61">
        <v>4091617</v>
      </c>
      <c r="G203" s="56">
        <f t="shared" si="14"/>
        <v>85274629</v>
      </c>
      <c r="H203" s="51"/>
      <c r="J203" s="49"/>
      <c r="K203" s="49"/>
      <c r="L203" s="49"/>
      <c r="M203" s="49"/>
    </row>
    <row r="204" spans="1:13" ht="13" customHeight="1" x14ac:dyDescent="0.25">
      <c r="A204" s="47">
        <v>45434</v>
      </c>
      <c r="B204" s="43" t="s">
        <v>6</v>
      </c>
      <c r="C204" s="48" t="s">
        <v>145</v>
      </c>
      <c r="D204" s="55"/>
      <c r="E204" s="61">
        <v>4129123</v>
      </c>
      <c r="G204" s="56">
        <f t="shared" si="14"/>
        <v>81145506</v>
      </c>
      <c r="H204" s="51"/>
      <c r="J204" s="49"/>
      <c r="K204" s="49"/>
      <c r="L204" s="49"/>
      <c r="M204" s="49"/>
    </row>
    <row r="205" spans="1:13" ht="13" customHeight="1" x14ac:dyDescent="0.25">
      <c r="A205" s="47">
        <v>45468</v>
      </c>
      <c r="B205" s="43" t="s">
        <v>6</v>
      </c>
      <c r="C205" s="48" t="s">
        <v>145</v>
      </c>
      <c r="D205" s="55"/>
      <c r="E205" s="61">
        <v>4166974</v>
      </c>
      <c r="G205" s="56">
        <f t="shared" si="14"/>
        <v>76978532</v>
      </c>
      <c r="H205" s="51"/>
      <c r="J205" s="49"/>
      <c r="K205" s="49"/>
      <c r="L205" s="49"/>
      <c r="M205" s="49"/>
    </row>
    <row r="206" spans="1:13" ht="13" customHeight="1" x14ac:dyDescent="0.25">
      <c r="A206" s="47">
        <v>45498</v>
      </c>
      <c r="B206" s="43" t="s">
        <v>6</v>
      </c>
      <c r="C206" s="48" t="s">
        <v>145</v>
      </c>
      <c r="D206" s="55"/>
      <c r="E206" s="61">
        <v>4205171</v>
      </c>
      <c r="G206" s="56">
        <f t="shared" si="14"/>
        <v>72773361</v>
      </c>
      <c r="H206" s="51"/>
      <c r="J206" s="49"/>
      <c r="K206" s="49"/>
      <c r="L206" s="49"/>
      <c r="M206" s="49"/>
    </row>
    <row r="207" spans="1:13" ht="13" customHeight="1" x14ac:dyDescent="0.25">
      <c r="A207" s="47">
        <v>45527</v>
      </c>
      <c r="B207" s="43" t="s">
        <v>6</v>
      </c>
      <c r="C207" s="48" t="s">
        <v>145</v>
      </c>
      <c r="D207" s="55"/>
      <c r="E207" s="61">
        <v>4243718</v>
      </c>
      <c r="G207" s="56">
        <f t="shared" si="14"/>
        <v>68529643</v>
      </c>
      <c r="H207" s="51"/>
      <c r="J207" s="49"/>
      <c r="K207" s="49"/>
      <c r="L207" s="49"/>
      <c r="M207" s="49"/>
    </row>
    <row r="208" spans="1:13" ht="13" customHeight="1" x14ac:dyDescent="0.25">
      <c r="A208" s="47">
        <v>45560</v>
      </c>
      <c r="B208" s="43" t="s">
        <v>6</v>
      </c>
      <c r="C208" s="48" t="s">
        <v>145</v>
      </c>
      <c r="D208" s="55"/>
      <c r="E208" s="61">
        <v>4282619</v>
      </c>
      <c r="G208" s="56">
        <f t="shared" si="14"/>
        <v>64247024</v>
      </c>
      <c r="H208" s="51"/>
      <c r="J208" s="49"/>
      <c r="K208" s="49"/>
      <c r="L208" s="49"/>
      <c r="M208" s="49"/>
    </row>
    <row r="209" spans="1:13" ht="13" customHeight="1" x14ac:dyDescent="0.25">
      <c r="A209" s="47">
        <v>45590</v>
      </c>
      <c r="B209" s="43" t="s">
        <v>6</v>
      </c>
      <c r="C209" s="48" t="s">
        <v>145</v>
      </c>
      <c r="D209" s="55"/>
      <c r="E209" s="61">
        <v>4321877</v>
      </c>
      <c r="G209" s="56">
        <f t="shared" si="14"/>
        <v>59925147</v>
      </c>
      <c r="H209" s="51"/>
      <c r="J209" s="49"/>
      <c r="K209" s="49"/>
      <c r="L209" s="49"/>
      <c r="M209" s="49"/>
    </row>
    <row r="210" spans="1:13" ht="26" x14ac:dyDescent="0.25">
      <c r="A210" s="47">
        <v>45621</v>
      </c>
      <c r="B210" s="43" t="s">
        <v>6</v>
      </c>
      <c r="C210" s="48" t="s">
        <v>145</v>
      </c>
      <c r="E210" s="58">
        <v>4361494</v>
      </c>
      <c r="G210" s="56">
        <f t="shared" si="14"/>
        <v>55563653</v>
      </c>
      <c r="H210" s="51"/>
      <c r="I210" s="51"/>
      <c r="J210" s="51"/>
      <c r="K210" s="51"/>
      <c r="L210" s="51"/>
      <c r="M210" s="51"/>
    </row>
    <row r="211" spans="1:13" ht="26" x14ac:dyDescent="0.25">
      <c r="A211" s="47">
        <v>45649</v>
      </c>
      <c r="B211" s="43" t="s">
        <v>6</v>
      </c>
      <c r="C211" s="48" t="s">
        <v>145</v>
      </c>
      <c r="E211" s="58">
        <v>4401474</v>
      </c>
      <c r="G211" s="56">
        <f t="shared" si="14"/>
        <v>51162179</v>
      </c>
      <c r="H211" s="51"/>
      <c r="I211" s="51"/>
      <c r="J211" s="51"/>
      <c r="K211" s="51"/>
      <c r="L211" s="51"/>
      <c r="M211" s="51"/>
    </row>
    <row r="212" spans="1:13" x14ac:dyDescent="0.25">
      <c r="A212" s="51"/>
      <c r="B212" s="50" t="s">
        <v>19</v>
      </c>
      <c r="C212" s="50"/>
      <c r="D212" s="54"/>
      <c r="E212" s="59"/>
      <c r="H212" s="51"/>
      <c r="I212" s="51"/>
      <c r="J212" s="51"/>
      <c r="K212" s="51"/>
      <c r="L212" s="51"/>
      <c r="M212" s="51"/>
    </row>
    <row r="213" spans="1:13" x14ac:dyDescent="0.25">
      <c r="A213" s="47">
        <v>45292</v>
      </c>
      <c r="B213" s="43" t="s">
        <v>0</v>
      </c>
      <c r="C213" s="48" t="s">
        <v>1</v>
      </c>
      <c r="D213" s="55"/>
      <c r="E213" s="60"/>
      <c r="F213" s="49">
        <v>353040989</v>
      </c>
      <c r="G213" s="56"/>
      <c r="H213" s="49"/>
      <c r="I213" s="51"/>
      <c r="K213" s="49"/>
      <c r="L213" s="49"/>
      <c r="M213" s="49"/>
    </row>
    <row r="214" spans="1:13" ht="13" customHeight="1" x14ac:dyDescent="0.25">
      <c r="A214" s="47">
        <v>45316</v>
      </c>
      <c r="B214" s="43" t="s">
        <v>6</v>
      </c>
      <c r="C214" s="48" t="s">
        <v>146</v>
      </c>
      <c r="D214" s="55"/>
      <c r="E214" s="61">
        <v>2273791</v>
      </c>
      <c r="G214" s="56">
        <f>F213-E214</f>
        <v>350767198</v>
      </c>
      <c r="H214" s="51"/>
      <c r="J214" s="49"/>
      <c r="K214" s="49"/>
      <c r="L214" s="49"/>
      <c r="M214" s="49"/>
    </row>
    <row r="215" spans="1:13" ht="13" customHeight="1" x14ac:dyDescent="0.25">
      <c r="A215" s="47">
        <v>45345</v>
      </c>
      <c r="B215" s="43" t="s">
        <v>6</v>
      </c>
      <c r="C215" s="48" t="s">
        <v>146</v>
      </c>
      <c r="D215" s="55"/>
      <c r="E215" s="61">
        <v>2294634</v>
      </c>
      <c r="G215" s="56">
        <f>G214-E215</f>
        <v>348472564</v>
      </c>
      <c r="H215" s="51"/>
      <c r="J215" s="49"/>
      <c r="K215" s="49"/>
      <c r="L215" s="49"/>
      <c r="M215" s="49"/>
    </row>
    <row r="216" spans="1:13" ht="13" customHeight="1" x14ac:dyDescent="0.25">
      <c r="A216" s="47">
        <v>45376</v>
      </c>
      <c r="B216" s="43" t="s">
        <v>6</v>
      </c>
      <c r="C216" s="48" t="s">
        <v>146</v>
      </c>
      <c r="D216" s="55"/>
      <c r="E216" s="61">
        <v>2315669</v>
      </c>
      <c r="G216" s="56">
        <f t="shared" ref="G216:G225" si="15">G215-E216</f>
        <v>346156895</v>
      </c>
      <c r="H216" s="51"/>
      <c r="J216" s="49"/>
      <c r="K216" s="49"/>
      <c r="L216" s="49"/>
      <c r="M216" s="49"/>
    </row>
    <row r="217" spans="1:13" ht="13" customHeight="1" x14ac:dyDescent="0.25">
      <c r="A217" s="47">
        <v>45407</v>
      </c>
      <c r="B217" s="43" t="s">
        <v>6</v>
      </c>
      <c r="C217" s="48" t="s">
        <v>146</v>
      </c>
      <c r="D217" s="55"/>
      <c r="E217" s="61">
        <v>2336896</v>
      </c>
      <c r="G217" s="56">
        <f t="shared" si="15"/>
        <v>343819999</v>
      </c>
      <c r="H217" s="51"/>
      <c r="J217" s="49"/>
      <c r="K217" s="49"/>
      <c r="L217" s="49"/>
      <c r="M217" s="49"/>
    </row>
    <row r="218" spans="1:13" ht="13" customHeight="1" x14ac:dyDescent="0.25">
      <c r="A218" s="47">
        <v>45434</v>
      </c>
      <c r="B218" s="43" t="s">
        <v>6</v>
      </c>
      <c r="C218" s="48" t="s">
        <v>146</v>
      </c>
      <c r="D218" s="55"/>
      <c r="E218" s="61">
        <v>2358317</v>
      </c>
      <c r="G218" s="56">
        <f t="shared" si="15"/>
        <v>341461682</v>
      </c>
      <c r="H218" s="51"/>
      <c r="J218" s="49"/>
      <c r="K218" s="49"/>
      <c r="L218" s="49"/>
      <c r="M218" s="49"/>
    </row>
    <row r="219" spans="1:13" ht="13" customHeight="1" x14ac:dyDescent="0.25">
      <c r="A219" s="47">
        <v>45468</v>
      </c>
      <c r="B219" s="43" t="s">
        <v>6</v>
      </c>
      <c r="C219" s="48" t="s">
        <v>146</v>
      </c>
      <c r="D219" s="55"/>
      <c r="E219" s="61">
        <v>2379935</v>
      </c>
      <c r="G219" s="56">
        <f t="shared" si="15"/>
        <v>339081747</v>
      </c>
      <c r="H219" s="51"/>
      <c r="J219" s="49"/>
      <c r="K219" s="49"/>
      <c r="L219" s="49"/>
      <c r="M219" s="49"/>
    </row>
    <row r="220" spans="1:13" ht="13" customHeight="1" x14ac:dyDescent="0.25">
      <c r="A220" s="47">
        <v>45498</v>
      </c>
      <c r="B220" s="43" t="s">
        <v>6</v>
      </c>
      <c r="C220" s="48" t="s">
        <v>146</v>
      </c>
      <c r="D220" s="55"/>
      <c r="E220" s="61">
        <v>2401751</v>
      </c>
      <c r="G220" s="56">
        <f t="shared" si="15"/>
        <v>336679996</v>
      </c>
      <c r="H220" s="51"/>
      <c r="J220" s="49"/>
      <c r="K220" s="49"/>
      <c r="L220" s="49"/>
      <c r="M220" s="49"/>
    </row>
    <row r="221" spans="1:13" ht="13" customHeight="1" x14ac:dyDescent="0.25">
      <c r="A221" s="47">
        <v>45527</v>
      </c>
      <c r="B221" s="43" t="s">
        <v>6</v>
      </c>
      <c r="C221" s="48" t="s">
        <v>146</v>
      </c>
      <c r="D221" s="55"/>
      <c r="E221" s="61">
        <v>2423767</v>
      </c>
      <c r="G221" s="56">
        <f t="shared" si="15"/>
        <v>334256229</v>
      </c>
      <c r="H221" s="51"/>
      <c r="J221" s="49"/>
      <c r="K221" s="49"/>
      <c r="L221" s="49"/>
      <c r="M221" s="49"/>
    </row>
    <row r="222" spans="1:13" ht="13" customHeight="1" x14ac:dyDescent="0.25">
      <c r="A222" s="47">
        <v>45560</v>
      </c>
      <c r="B222" s="43" t="s">
        <v>6</v>
      </c>
      <c r="C222" s="48" t="s">
        <v>146</v>
      </c>
      <c r="D222" s="55"/>
      <c r="E222" s="61">
        <v>2445985</v>
      </c>
      <c r="G222" s="56">
        <f t="shared" si="15"/>
        <v>331810244</v>
      </c>
      <c r="H222" s="51"/>
      <c r="J222" s="49"/>
      <c r="K222" s="49"/>
      <c r="L222" s="49"/>
      <c r="M222" s="49"/>
    </row>
    <row r="223" spans="1:13" ht="13" customHeight="1" x14ac:dyDescent="0.25">
      <c r="A223" s="47">
        <v>45590</v>
      </c>
      <c r="B223" s="43" t="s">
        <v>6</v>
      </c>
      <c r="C223" s="48" t="s">
        <v>146</v>
      </c>
      <c r="D223" s="55"/>
      <c r="E223" s="61">
        <v>2468407</v>
      </c>
      <c r="G223" s="56">
        <f t="shared" si="15"/>
        <v>329341837</v>
      </c>
      <c r="H223" s="51"/>
      <c r="J223" s="49"/>
      <c r="K223" s="49"/>
      <c r="L223" s="49"/>
      <c r="M223" s="49"/>
    </row>
    <row r="224" spans="1:13" ht="26" x14ac:dyDescent="0.25">
      <c r="A224" s="47">
        <v>45621</v>
      </c>
      <c r="B224" s="51"/>
      <c r="C224" s="48" t="s">
        <v>146</v>
      </c>
      <c r="E224" s="58">
        <v>2491034</v>
      </c>
      <c r="G224" s="56">
        <f t="shared" si="15"/>
        <v>326850803</v>
      </c>
      <c r="H224" s="51"/>
      <c r="I224" s="51"/>
      <c r="J224" s="51"/>
      <c r="K224" s="51"/>
      <c r="L224" s="51"/>
      <c r="M224" s="51"/>
    </row>
    <row r="225" spans="1:13" ht="26" x14ac:dyDescent="0.25">
      <c r="A225" s="47">
        <v>45649</v>
      </c>
      <c r="B225" s="51"/>
      <c r="C225" s="48" t="s">
        <v>146</v>
      </c>
      <c r="E225" s="58">
        <v>2513868</v>
      </c>
      <c r="G225" s="56">
        <f t="shared" si="15"/>
        <v>324336935</v>
      </c>
      <c r="H225" s="51"/>
      <c r="I225" s="51"/>
      <c r="J225" s="51"/>
      <c r="K225" s="51"/>
      <c r="L225" s="51"/>
      <c r="M225" s="51"/>
    </row>
    <row r="226" spans="1:13" x14ac:dyDescent="0.25">
      <c r="A226" s="51"/>
      <c r="B226" s="50" t="s">
        <v>113</v>
      </c>
      <c r="C226" s="50"/>
      <c r="D226" s="54"/>
      <c r="E226" s="59"/>
      <c r="H226" s="51"/>
      <c r="I226" s="51"/>
      <c r="J226" s="51"/>
      <c r="K226" s="51"/>
      <c r="L226" s="51"/>
      <c r="M226" s="51"/>
    </row>
    <row r="227" spans="1:13" x14ac:dyDescent="0.25">
      <c r="A227" s="47">
        <v>45292</v>
      </c>
      <c r="B227" s="43" t="s">
        <v>0</v>
      </c>
      <c r="C227" s="48" t="s">
        <v>1</v>
      </c>
      <c r="D227" s="55"/>
      <c r="E227" s="60"/>
      <c r="F227" s="49">
        <v>380809287</v>
      </c>
      <c r="G227" s="56"/>
      <c r="H227" s="49"/>
      <c r="I227" s="51"/>
      <c r="K227" s="49"/>
      <c r="L227" s="49"/>
      <c r="M227" s="49"/>
    </row>
    <row r="228" spans="1:13" ht="13" customHeight="1" x14ac:dyDescent="0.25">
      <c r="A228" s="47">
        <v>45316</v>
      </c>
      <c r="B228" s="43" t="s">
        <v>6</v>
      </c>
      <c r="C228" s="48" t="s">
        <v>147</v>
      </c>
      <c r="D228" s="55"/>
      <c r="E228" s="61">
        <v>7815308</v>
      </c>
      <c r="G228" s="56">
        <f>F227-E228</f>
        <v>372993979</v>
      </c>
      <c r="H228" s="51"/>
      <c r="J228" s="49"/>
      <c r="K228" s="49"/>
      <c r="L228" s="49"/>
      <c r="M228" s="49"/>
    </row>
    <row r="229" spans="1:13" ht="13" customHeight="1" x14ac:dyDescent="0.25">
      <c r="A229" s="47">
        <v>45345</v>
      </c>
      <c r="B229" s="43" t="s">
        <v>6</v>
      </c>
      <c r="C229" s="48" t="s">
        <v>147</v>
      </c>
      <c r="D229" s="55"/>
      <c r="E229" s="61">
        <v>7886948</v>
      </c>
      <c r="G229" s="56">
        <f>G228-E229</f>
        <v>365107031</v>
      </c>
      <c r="H229" s="51"/>
      <c r="J229" s="49"/>
      <c r="K229" s="49"/>
      <c r="L229" s="49"/>
      <c r="M229" s="49"/>
    </row>
    <row r="230" spans="1:13" ht="13" customHeight="1" x14ac:dyDescent="0.25">
      <c r="A230" s="47">
        <v>45376</v>
      </c>
      <c r="B230" s="43" t="s">
        <v>6</v>
      </c>
      <c r="C230" s="48" t="s">
        <v>147</v>
      </c>
      <c r="D230" s="55"/>
      <c r="E230" s="61">
        <v>7959246</v>
      </c>
      <c r="G230" s="56">
        <f t="shared" ref="G230:G239" si="16">G229-E230</f>
        <v>357147785</v>
      </c>
      <c r="H230" s="51"/>
      <c r="J230" s="49"/>
      <c r="K230" s="49"/>
      <c r="L230" s="49"/>
      <c r="M230" s="49"/>
    </row>
    <row r="231" spans="1:13" ht="13" customHeight="1" x14ac:dyDescent="0.25">
      <c r="A231" s="47">
        <v>45407</v>
      </c>
      <c r="B231" s="43" t="s">
        <v>6</v>
      </c>
      <c r="C231" s="48" t="s">
        <v>147</v>
      </c>
      <c r="D231" s="55"/>
      <c r="E231" s="61">
        <v>8032206</v>
      </c>
      <c r="G231" s="56">
        <f t="shared" si="16"/>
        <v>349115579</v>
      </c>
      <c r="H231" s="51"/>
      <c r="J231" s="49"/>
      <c r="K231" s="49"/>
      <c r="L231" s="49"/>
      <c r="M231" s="49"/>
    </row>
    <row r="232" spans="1:13" ht="13" customHeight="1" x14ac:dyDescent="0.25">
      <c r="A232" s="47">
        <v>45434</v>
      </c>
      <c r="B232" s="43" t="s">
        <v>6</v>
      </c>
      <c r="C232" s="48" t="s">
        <v>147</v>
      </c>
      <c r="D232" s="55"/>
      <c r="E232" s="61">
        <v>8105834</v>
      </c>
      <c r="G232" s="56">
        <f t="shared" si="16"/>
        <v>341009745</v>
      </c>
      <c r="H232" s="51"/>
      <c r="J232" s="49"/>
      <c r="K232" s="49"/>
      <c r="L232" s="49"/>
      <c r="M232" s="49"/>
    </row>
    <row r="233" spans="1:13" ht="13" customHeight="1" x14ac:dyDescent="0.25">
      <c r="A233" s="47">
        <v>45468</v>
      </c>
      <c r="B233" s="43" t="s">
        <v>6</v>
      </c>
      <c r="C233" s="48" t="s">
        <v>147</v>
      </c>
      <c r="D233" s="55"/>
      <c r="E233" s="61">
        <v>8180138</v>
      </c>
      <c r="G233" s="56">
        <f t="shared" si="16"/>
        <v>332829607</v>
      </c>
      <c r="H233" s="51"/>
      <c r="J233" s="49"/>
      <c r="K233" s="49"/>
      <c r="L233" s="49"/>
      <c r="M233" s="49"/>
    </row>
    <row r="234" spans="1:13" ht="13" customHeight="1" x14ac:dyDescent="0.25">
      <c r="A234" s="47">
        <v>45498</v>
      </c>
      <c r="B234" s="43" t="s">
        <v>6</v>
      </c>
      <c r="C234" s="48" t="s">
        <v>147</v>
      </c>
      <c r="D234" s="55"/>
      <c r="E234" s="61">
        <v>8255122</v>
      </c>
      <c r="G234" s="56">
        <f t="shared" si="16"/>
        <v>324574485</v>
      </c>
      <c r="H234" s="51"/>
      <c r="J234" s="49"/>
      <c r="K234" s="49"/>
      <c r="L234" s="49"/>
      <c r="M234" s="49"/>
    </row>
    <row r="235" spans="1:13" ht="13" customHeight="1" x14ac:dyDescent="0.25">
      <c r="A235" s="47">
        <v>45527</v>
      </c>
      <c r="B235" s="43" t="s">
        <v>6</v>
      </c>
      <c r="C235" s="48" t="s">
        <v>147</v>
      </c>
      <c r="D235" s="55"/>
      <c r="E235" s="61">
        <v>8330794</v>
      </c>
      <c r="G235" s="56">
        <f t="shared" si="16"/>
        <v>316243691</v>
      </c>
      <c r="H235" s="51"/>
      <c r="J235" s="49"/>
      <c r="K235" s="49"/>
      <c r="L235" s="49"/>
      <c r="M235" s="49"/>
    </row>
    <row r="236" spans="1:13" ht="13" customHeight="1" x14ac:dyDescent="0.25">
      <c r="A236" s="47">
        <v>45560</v>
      </c>
      <c r="B236" s="43" t="s">
        <v>6</v>
      </c>
      <c r="C236" s="48" t="s">
        <v>147</v>
      </c>
      <c r="D236" s="55"/>
      <c r="E236" s="61">
        <v>8407159</v>
      </c>
      <c r="G236" s="56">
        <f t="shared" si="16"/>
        <v>307836532</v>
      </c>
      <c r="H236" s="51"/>
      <c r="J236" s="49"/>
      <c r="K236" s="49"/>
      <c r="L236" s="49"/>
      <c r="M236" s="49"/>
    </row>
    <row r="237" spans="1:13" ht="13" customHeight="1" x14ac:dyDescent="0.25">
      <c r="A237" s="47">
        <v>45590</v>
      </c>
      <c r="B237" s="43" t="s">
        <v>6</v>
      </c>
      <c r="C237" s="48" t="s">
        <v>147</v>
      </c>
      <c r="D237" s="55"/>
      <c r="E237" s="61">
        <v>8484225</v>
      </c>
      <c r="G237" s="56">
        <f t="shared" si="16"/>
        <v>299352307</v>
      </c>
      <c r="H237" s="51"/>
      <c r="J237" s="49"/>
      <c r="K237" s="49"/>
      <c r="L237" s="49"/>
      <c r="M237" s="49"/>
    </row>
    <row r="238" spans="1:13" ht="26" x14ac:dyDescent="0.25">
      <c r="A238" s="57">
        <v>45986</v>
      </c>
      <c r="B238" s="51"/>
      <c r="C238" s="48" t="s">
        <v>147</v>
      </c>
      <c r="E238" s="58">
        <v>8561997</v>
      </c>
      <c r="G238" s="56">
        <f t="shared" si="16"/>
        <v>290790310</v>
      </c>
      <c r="H238" s="51"/>
      <c r="I238" s="51"/>
      <c r="J238" s="51"/>
      <c r="K238" s="51"/>
      <c r="L238" s="51"/>
      <c r="M238" s="51"/>
    </row>
    <row r="239" spans="1:13" ht="26" x14ac:dyDescent="0.25">
      <c r="A239" s="57">
        <v>45649</v>
      </c>
      <c r="B239" s="51"/>
      <c r="C239" s="48" t="s">
        <v>147</v>
      </c>
      <c r="E239" s="58">
        <v>8640482</v>
      </c>
      <c r="G239" s="56">
        <f t="shared" si="16"/>
        <v>282149828</v>
      </c>
      <c r="H239" s="51"/>
      <c r="I239" s="51"/>
      <c r="J239" s="51"/>
      <c r="K239" s="51"/>
      <c r="L239" s="51"/>
      <c r="M239" s="51"/>
    </row>
    <row r="240" spans="1:13" x14ac:dyDescent="0.25">
      <c r="A240" s="51"/>
      <c r="B240" s="50" t="s">
        <v>148</v>
      </c>
      <c r="C240" s="50"/>
      <c r="D240" s="54"/>
      <c r="E240" s="59"/>
      <c r="H240" s="51"/>
      <c r="I240" s="51"/>
      <c r="J240" s="51"/>
      <c r="K240" s="51"/>
      <c r="L240" s="51"/>
      <c r="M240" s="51"/>
    </row>
    <row r="241" spans="1:13" x14ac:dyDescent="0.25">
      <c r="A241" s="47">
        <v>45292</v>
      </c>
      <c r="B241" s="43" t="s">
        <v>0</v>
      </c>
      <c r="C241" s="48" t="s">
        <v>1</v>
      </c>
      <c r="D241" s="55"/>
      <c r="E241" s="60"/>
      <c r="F241" s="49">
        <v>115290084</v>
      </c>
      <c r="G241" s="56"/>
      <c r="H241" s="49"/>
      <c r="I241" s="51"/>
      <c r="K241" s="49"/>
      <c r="L241" s="49"/>
      <c r="M241" s="49"/>
    </row>
    <row r="242" spans="1:13" ht="13" customHeight="1" x14ac:dyDescent="0.25">
      <c r="A242" s="47">
        <v>45316</v>
      </c>
      <c r="B242" s="43" t="s">
        <v>6</v>
      </c>
      <c r="C242" s="48" t="s">
        <v>149</v>
      </c>
      <c r="D242" s="55"/>
      <c r="E242" s="61">
        <v>1669437</v>
      </c>
      <c r="G242" s="56">
        <f>F241-E242</f>
        <v>113620647</v>
      </c>
      <c r="H242" s="51"/>
      <c r="J242" s="49"/>
      <c r="K242" s="49"/>
      <c r="L242" s="49"/>
      <c r="M242" s="49"/>
    </row>
    <row r="243" spans="1:13" ht="13" customHeight="1" x14ac:dyDescent="0.25">
      <c r="A243" s="47">
        <v>45345</v>
      </c>
      <c r="B243" s="43" t="s">
        <v>6</v>
      </c>
      <c r="C243" s="48" t="s">
        <v>149</v>
      </c>
      <c r="D243" s="55"/>
      <c r="E243" s="61">
        <v>1684393</v>
      </c>
      <c r="G243" s="56">
        <f>G242-E243</f>
        <v>111936254</v>
      </c>
      <c r="H243" s="51"/>
      <c r="J243" s="49"/>
      <c r="K243" s="49"/>
      <c r="L243" s="49"/>
      <c r="M243" s="49"/>
    </row>
    <row r="244" spans="1:13" ht="13" customHeight="1" x14ac:dyDescent="0.25">
      <c r="A244" s="47">
        <v>45376</v>
      </c>
      <c r="B244" s="43" t="s">
        <v>6</v>
      </c>
      <c r="C244" s="48" t="s">
        <v>149</v>
      </c>
      <c r="D244" s="55"/>
      <c r="E244" s="61">
        <v>1699482</v>
      </c>
      <c r="G244" s="56">
        <f t="shared" ref="G244:G253" si="17">G243-E244</f>
        <v>110236772</v>
      </c>
      <c r="H244" s="51"/>
      <c r="J244" s="49"/>
      <c r="K244" s="49"/>
      <c r="L244" s="49"/>
      <c r="M244" s="49"/>
    </row>
    <row r="245" spans="1:13" ht="13" customHeight="1" x14ac:dyDescent="0.25">
      <c r="A245" s="47">
        <v>45407</v>
      </c>
      <c r="B245" s="43" t="s">
        <v>6</v>
      </c>
      <c r="C245" s="48" t="s">
        <v>149</v>
      </c>
      <c r="D245" s="55"/>
      <c r="E245" s="61">
        <v>1714706</v>
      </c>
      <c r="G245" s="56">
        <f t="shared" si="17"/>
        <v>108522066</v>
      </c>
      <c r="H245" s="51"/>
      <c r="J245" s="49"/>
      <c r="K245" s="49"/>
      <c r="L245" s="49"/>
      <c r="M245" s="49"/>
    </row>
    <row r="246" spans="1:13" ht="13" customHeight="1" x14ac:dyDescent="0.25">
      <c r="A246" s="47">
        <v>45434</v>
      </c>
      <c r="B246" s="43" t="s">
        <v>6</v>
      </c>
      <c r="C246" s="48" t="s">
        <v>149</v>
      </c>
      <c r="D246" s="55"/>
      <c r="E246" s="61">
        <v>1730067</v>
      </c>
      <c r="G246" s="56">
        <f t="shared" si="17"/>
        <v>106791999</v>
      </c>
      <c r="H246" s="51"/>
      <c r="J246" s="49"/>
      <c r="K246" s="49"/>
      <c r="L246" s="49"/>
      <c r="M246" s="49"/>
    </row>
    <row r="247" spans="1:13" ht="13" customHeight="1" x14ac:dyDescent="0.25">
      <c r="A247" s="47">
        <v>45468</v>
      </c>
      <c r="B247" s="43" t="s">
        <v>6</v>
      </c>
      <c r="C247" s="48" t="s">
        <v>149</v>
      </c>
      <c r="D247" s="55"/>
      <c r="E247" s="61">
        <v>1745566</v>
      </c>
      <c r="G247" s="56">
        <f t="shared" si="17"/>
        <v>105046433</v>
      </c>
      <c r="H247" s="51"/>
      <c r="J247" s="49"/>
      <c r="K247" s="49"/>
      <c r="L247" s="49"/>
      <c r="M247" s="49"/>
    </row>
    <row r="248" spans="1:13" ht="13" customHeight="1" x14ac:dyDescent="0.25">
      <c r="A248" s="47">
        <v>45498</v>
      </c>
      <c r="B248" s="43" t="s">
        <v>6</v>
      </c>
      <c r="C248" s="48" t="s">
        <v>149</v>
      </c>
      <c r="D248" s="55"/>
      <c r="E248" s="61">
        <v>1761203</v>
      </c>
      <c r="G248" s="56">
        <f t="shared" si="17"/>
        <v>103285230</v>
      </c>
      <c r="H248" s="51"/>
      <c r="J248" s="49"/>
      <c r="K248" s="49"/>
      <c r="L248" s="49"/>
      <c r="M248" s="49"/>
    </row>
    <row r="249" spans="1:13" ht="13" customHeight="1" x14ac:dyDescent="0.25">
      <c r="A249" s="47">
        <v>45527</v>
      </c>
      <c r="B249" s="43" t="s">
        <v>6</v>
      </c>
      <c r="C249" s="48" t="s">
        <v>149</v>
      </c>
      <c r="D249" s="55"/>
      <c r="E249" s="61">
        <v>1776981</v>
      </c>
      <c r="G249" s="56">
        <f t="shared" si="17"/>
        <v>101508249</v>
      </c>
      <c r="H249" s="51"/>
      <c r="J249" s="49"/>
      <c r="K249" s="49"/>
      <c r="L249" s="49"/>
      <c r="M249" s="49"/>
    </row>
    <row r="250" spans="1:13" ht="13" customHeight="1" x14ac:dyDescent="0.25">
      <c r="A250" s="47">
        <v>45560</v>
      </c>
      <c r="B250" s="43" t="s">
        <v>6</v>
      </c>
      <c r="C250" s="48" t="s">
        <v>149</v>
      </c>
      <c r="D250" s="55"/>
      <c r="E250" s="61">
        <v>1792899</v>
      </c>
      <c r="G250" s="56">
        <f t="shared" si="17"/>
        <v>99715350</v>
      </c>
      <c r="H250" s="51"/>
      <c r="J250" s="49"/>
      <c r="K250" s="49"/>
      <c r="L250" s="49"/>
      <c r="M250" s="49"/>
    </row>
    <row r="251" spans="1:13" ht="13" customHeight="1" x14ac:dyDescent="0.25">
      <c r="A251" s="47">
        <v>45590</v>
      </c>
      <c r="B251" s="43" t="s">
        <v>6</v>
      </c>
      <c r="C251" s="48" t="s">
        <v>149</v>
      </c>
      <c r="D251" s="55"/>
      <c r="E251" s="61">
        <v>1808961</v>
      </c>
      <c r="G251" s="56">
        <f t="shared" si="17"/>
        <v>97906389</v>
      </c>
      <c r="H251" s="51"/>
      <c r="J251" s="49"/>
      <c r="K251" s="49"/>
      <c r="L251" s="49"/>
      <c r="M251" s="49"/>
    </row>
    <row r="252" spans="1:13" ht="26" x14ac:dyDescent="0.25">
      <c r="A252" s="47">
        <v>45621</v>
      </c>
      <c r="B252" s="43" t="s">
        <v>6</v>
      </c>
      <c r="C252" s="48" t="s">
        <v>149</v>
      </c>
      <c r="E252" s="58">
        <v>1825166</v>
      </c>
      <c r="G252" s="56">
        <f t="shared" si="17"/>
        <v>96081223</v>
      </c>
      <c r="H252" s="51"/>
      <c r="I252" s="51"/>
      <c r="J252" s="51"/>
      <c r="K252" s="51"/>
      <c r="L252" s="51"/>
      <c r="M252" s="51"/>
    </row>
    <row r="253" spans="1:13" ht="26" x14ac:dyDescent="0.25">
      <c r="A253" s="47">
        <v>45649</v>
      </c>
      <c r="B253" s="43" t="s">
        <v>6</v>
      </c>
      <c r="C253" s="48" t="s">
        <v>149</v>
      </c>
      <c r="E253" s="58">
        <v>1841517</v>
      </c>
      <c r="G253" s="56">
        <f t="shared" si="17"/>
        <v>94239706</v>
      </c>
      <c r="H253" s="51"/>
      <c r="I253" s="51"/>
      <c r="J253" s="51"/>
      <c r="K253" s="51"/>
      <c r="L253" s="51"/>
      <c r="M253" s="51"/>
    </row>
    <row r="254" spans="1:13" x14ac:dyDescent="0.25">
      <c r="A254" s="51"/>
      <c r="B254" s="50" t="s">
        <v>20</v>
      </c>
      <c r="C254" s="50"/>
      <c r="D254" s="54"/>
      <c r="E254" s="59"/>
      <c r="H254" s="51"/>
      <c r="I254" s="51"/>
      <c r="J254" s="51"/>
      <c r="K254" s="51"/>
      <c r="L254" s="51"/>
      <c r="M254" s="51"/>
    </row>
    <row r="255" spans="1:13" x14ac:dyDescent="0.25">
      <c r="A255" s="47">
        <v>45292</v>
      </c>
      <c r="B255" s="43" t="s">
        <v>0</v>
      </c>
      <c r="C255" s="48" t="s">
        <v>1</v>
      </c>
      <c r="D255" s="55"/>
      <c r="E255" s="60"/>
      <c r="F255" s="49">
        <v>443628382</v>
      </c>
      <c r="G255" s="56"/>
      <c r="H255" s="49"/>
      <c r="I255" s="51"/>
      <c r="K255" s="49"/>
      <c r="L255" s="49"/>
      <c r="M255" s="49"/>
    </row>
    <row r="256" spans="1:13" ht="13" customHeight="1" x14ac:dyDescent="0.25">
      <c r="A256" s="47">
        <v>45316</v>
      </c>
      <c r="B256" s="43" t="s">
        <v>6</v>
      </c>
      <c r="C256" s="48" t="s">
        <v>150</v>
      </c>
      <c r="D256" s="55"/>
      <c r="E256" s="61">
        <v>3246337</v>
      </c>
      <c r="G256" s="56">
        <f>F255-E256</f>
        <v>440382045</v>
      </c>
      <c r="H256" s="51"/>
      <c r="J256" s="49"/>
      <c r="K256" s="49"/>
      <c r="L256" s="49"/>
      <c r="M256" s="49"/>
    </row>
    <row r="257" spans="1:13" ht="13" customHeight="1" x14ac:dyDescent="0.25">
      <c r="A257" s="47">
        <v>45345</v>
      </c>
      <c r="B257" s="43" t="s">
        <v>6</v>
      </c>
      <c r="C257" s="48" t="s">
        <v>150</v>
      </c>
      <c r="D257" s="55"/>
      <c r="E257" s="61">
        <v>3276095</v>
      </c>
      <c r="G257" s="56">
        <f>G256-E257</f>
        <v>437105950</v>
      </c>
      <c r="H257" s="51"/>
      <c r="J257" s="49"/>
      <c r="K257" s="49"/>
      <c r="L257" s="49"/>
      <c r="M257" s="49"/>
    </row>
    <row r="258" spans="1:13" ht="13" customHeight="1" x14ac:dyDescent="0.25">
      <c r="A258" s="47">
        <v>45376</v>
      </c>
      <c r="B258" s="43" t="s">
        <v>6</v>
      </c>
      <c r="C258" s="48" t="s">
        <v>150</v>
      </c>
      <c r="D258" s="55"/>
      <c r="E258" s="61">
        <v>3306126</v>
      </c>
      <c r="G258" s="56">
        <f t="shared" ref="G258:G267" si="18">G257-E258</f>
        <v>433799824</v>
      </c>
      <c r="H258" s="51"/>
      <c r="J258" s="49"/>
      <c r="K258" s="49"/>
      <c r="L258" s="49"/>
      <c r="M258" s="49"/>
    </row>
    <row r="259" spans="1:13" ht="13" customHeight="1" x14ac:dyDescent="0.25">
      <c r="A259" s="47">
        <v>45407</v>
      </c>
      <c r="B259" s="43" t="s">
        <v>6</v>
      </c>
      <c r="C259" s="48" t="s">
        <v>150</v>
      </c>
      <c r="D259" s="55"/>
      <c r="E259" s="61">
        <v>3336432</v>
      </c>
      <c r="G259" s="56">
        <f t="shared" si="18"/>
        <v>430463392</v>
      </c>
      <c r="H259" s="51"/>
      <c r="J259" s="49"/>
      <c r="K259" s="49"/>
      <c r="L259" s="49"/>
      <c r="M259" s="49"/>
    </row>
    <row r="260" spans="1:13" ht="13" customHeight="1" x14ac:dyDescent="0.25">
      <c r="A260" s="47">
        <v>45434</v>
      </c>
      <c r="B260" s="43" t="s">
        <v>6</v>
      </c>
      <c r="C260" s="48" t="s">
        <v>150</v>
      </c>
      <c r="D260" s="55"/>
      <c r="E260" s="61">
        <v>3367016</v>
      </c>
      <c r="G260" s="56">
        <f t="shared" si="18"/>
        <v>427096376</v>
      </c>
      <c r="H260" s="51"/>
      <c r="J260" s="49"/>
      <c r="K260" s="49"/>
      <c r="L260" s="49"/>
      <c r="M260" s="49"/>
    </row>
    <row r="261" spans="1:13" ht="13" customHeight="1" x14ac:dyDescent="0.25">
      <c r="A261" s="47">
        <v>45468</v>
      </c>
      <c r="B261" s="43" t="s">
        <v>6</v>
      </c>
      <c r="C261" s="48" t="s">
        <v>150</v>
      </c>
      <c r="D261" s="55"/>
      <c r="E261" s="61">
        <v>3397880</v>
      </c>
      <c r="G261" s="56">
        <f t="shared" si="18"/>
        <v>423698496</v>
      </c>
      <c r="H261" s="51"/>
      <c r="J261" s="49"/>
      <c r="K261" s="49"/>
      <c r="L261" s="49"/>
      <c r="M261" s="49"/>
    </row>
    <row r="262" spans="1:13" ht="13" customHeight="1" x14ac:dyDescent="0.25">
      <c r="A262" s="47">
        <v>45498</v>
      </c>
      <c r="B262" s="43" t="s">
        <v>6</v>
      </c>
      <c r="C262" s="48" t="s">
        <v>150</v>
      </c>
      <c r="D262" s="55"/>
      <c r="E262" s="61">
        <v>3429028</v>
      </c>
      <c r="G262" s="56">
        <f t="shared" si="18"/>
        <v>420269468</v>
      </c>
      <c r="H262" s="51"/>
      <c r="J262" s="49"/>
      <c r="K262" s="49"/>
      <c r="L262" s="49"/>
      <c r="M262" s="49"/>
    </row>
    <row r="263" spans="1:13" ht="13" customHeight="1" x14ac:dyDescent="0.25">
      <c r="A263" s="47">
        <v>45527</v>
      </c>
      <c r="B263" s="43" t="s">
        <v>6</v>
      </c>
      <c r="C263" s="48" t="s">
        <v>150</v>
      </c>
      <c r="D263" s="55"/>
      <c r="E263" s="61">
        <v>3460460</v>
      </c>
      <c r="G263" s="56">
        <f t="shared" si="18"/>
        <v>416809008</v>
      </c>
      <c r="H263" s="51"/>
      <c r="J263" s="49"/>
      <c r="K263" s="49"/>
      <c r="L263" s="49"/>
      <c r="M263" s="49"/>
    </row>
    <row r="264" spans="1:13" ht="13" customHeight="1" x14ac:dyDescent="0.25">
      <c r="A264" s="47">
        <v>45560</v>
      </c>
      <c r="B264" s="43" t="s">
        <v>6</v>
      </c>
      <c r="C264" s="48" t="s">
        <v>150</v>
      </c>
      <c r="D264" s="55"/>
      <c r="E264" s="61">
        <v>3492181</v>
      </c>
      <c r="G264" s="56">
        <f t="shared" si="18"/>
        <v>413316827</v>
      </c>
      <c r="H264" s="51"/>
      <c r="J264" s="49"/>
      <c r="K264" s="49"/>
      <c r="L264" s="49"/>
      <c r="M264" s="49"/>
    </row>
    <row r="265" spans="1:13" ht="13" customHeight="1" x14ac:dyDescent="0.25">
      <c r="A265" s="47">
        <v>45590</v>
      </c>
      <c r="B265" s="43" t="s">
        <v>6</v>
      </c>
      <c r="C265" s="48" t="s">
        <v>150</v>
      </c>
      <c r="D265" s="55"/>
      <c r="E265" s="61">
        <v>3524193</v>
      </c>
      <c r="G265" s="56">
        <f t="shared" si="18"/>
        <v>409792634</v>
      </c>
      <c r="H265" s="51"/>
      <c r="J265" s="49"/>
      <c r="K265" s="49"/>
      <c r="L265" s="49"/>
      <c r="M265" s="49"/>
    </row>
    <row r="266" spans="1:13" ht="26" x14ac:dyDescent="0.25">
      <c r="A266" s="47">
        <v>45621</v>
      </c>
      <c r="B266" s="43" t="s">
        <v>6</v>
      </c>
      <c r="C266" s="48" t="s">
        <v>150</v>
      </c>
      <c r="E266" s="58">
        <v>3556498</v>
      </c>
      <c r="G266" s="56">
        <f t="shared" si="18"/>
        <v>406236136</v>
      </c>
      <c r="H266" s="51"/>
      <c r="I266" s="51"/>
      <c r="J266" s="51"/>
      <c r="K266" s="51"/>
      <c r="L266" s="51"/>
      <c r="M266" s="51"/>
    </row>
    <row r="267" spans="1:13" ht="26" x14ac:dyDescent="0.25">
      <c r="A267" s="47">
        <v>45649</v>
      </c>
      <c r="B267" s="43" t="s">
        <v>6</v>
      </c>
      <c r="C267" s="48" t="s">
        <v>150</v>
      </c>
      <c r="E267" s="58">
        <v>3589099</v>
      </c>
      <c r="G267" s="56">
        <f t="shared" si="18"/>
        <v>402647037</v>
      </c>
      <c r="H267" s="51"/>
      <c r="I267" s="51"/>
      <c r="J267" s="51"/>
      <c r="K267" s="51"/>
      <c r="L267" s="51"/>
      <c r="M267" s="51"/>
    </row>
    <row r="268" spans="1:13" x14ac:dyDescent="0.25">
      <c r="A268" s="51"/>
      <c r="B268" s="50" t="s">
        <v>25</v>
      </c>
      <c r="C268" s="50"/>
      <c r="D268" s="54"/>
      <c r="E268" s="59"/>
      <c r="H268" s="51"/>
      <c r="I268" s="51"/>
      <c r="J268" s="51"/>
      <c r="K268" s="51"/>
      <c r="L268" s="51"/>
      <c r="M268" s="51"/>
    </row>
    <row r="269" spans="1:13" x14ac:dyDescent="0.25">
      <c r="A269" s="47">
        <v>45292</v>
      </c>
      <c r="B269" s="43" t="s">
        <v>0</v>
      </c>
      <c r="C269" s="48" t="s">
        <v>1</v>
      </c>
      <c r="D269" s="55"/>
      <c r="E269" s="60"/>
      <c r="F269" s="49">
        <v>31952791</v>
      </c>
      <c r="G269" s="56"/>
      <c r="H269" s="49"/>
      <c r="I269" s="51"/>
      <c r="K269" s="49"/>
      <c r="L269" s="49"/>
      <c r="M269" s="49"/>
    </row>
    <row r="270" spans="1:13" ht="13" customHeight="1" x14ac:dyDescent="0.25">
      <c r="A270" s="47">
        <v>45316</v>
      </c>
      <c r="B270" s="43" t="s">
        <v>6</v>
      </c>
      <c r="C270" s="48" t="s">
        <v>151</v>
      </c>
      <c r="D270" s="55"/>
      <c r="E270" s="61">
        <v>2313856</v>
      </c>
      <c r="G270" s="56">
        <f>F269-E270</f>
        <v>29638935</v>
      </c>
      <c r="H270" s="51"/>
      <c r="J270" s="49"/>
      <c r="K270" s="49"/>
      <c r="L270" s="49"/>
      <c r="M270" s="49"/>
    </row>
    <row r="271" spans="1:13" ht="13" customHeight="1" x14ac:dyDescent="0.25">
      <c r="A271" s="47">
        <v>45345</v>
      </c>
      <c r="B271" s="43" t="s">
        <v>6</v>
      </c>
      <c r="C271" s="48" t="s">
        <v>151</v>
      </c>
      <c r="D271" s="55"/>
      <c r="E271" s="61">
        <v>2336994</v>
      </c>
      <c r="G271" s="56">
        <f>G270-E271</f>
        <v>27301941</v>
      </c>
      <c r="H271" s="51"/>
      <c r="J271" s="49"/>
      <c r="K271" s="49"/>
      <c r="L271" s="49"/>
      <c r="M271" s="49"/>
    </row>
    <row r="272" spans="1:13" ht="13" customHeight="1" x14ac:dyDescent="0.25">
      <c r="A272" s="47">
        <v>45376</v>
      </c>
      <c r="B272" s="43" t="s">
        <v>6</v>
      </c>
      <c r="C272" s="48" t="s">
        <v>151</v>
      </c>
      <c r="D272" s="55"/>
      <c r="E272" s="61">
        <v>2360364</v>
      </c>
      <c r="G272" s="56">
        <f t="shared" ref="G272:G279" si="19">G271-E272</f>
        <v>24941577</v>
      </c>
      <c r="H272" s="51"/>
      <c r="J272" s="49"/>
      <c r="K272" s="49"/>
      <c r="L272" s="49"/>
      <c r="M272" s="49"/>
    </row>
    <row r="273" spans="1:13" ht="13" customHeight="1" x14ac:dyDescent="0.25">
      <c r="A273" s="47">
        <v>45407</v>
      </c>
      <c r="B273" s="43" t="s">
        <v>6</v>
      </c>
      <c r="C273" s="48" t="s">
        <v>151</v>
      </c>
      <c r="D273" s="55"/>
      <c r="E273" s="61">
        <v>2383968</v>
      </c>
      <c r="G273" s="56">
        <f t="shared" si="19"/>
        <v>22557609</v>
      </c>
      <c r="H273" s="51"/>
      <c r="J273" s="49"/>
      <c r="K273" s="49"/>
      <c r="L273" s="49"/>
      <c r="M273" s="49"/>
    </row>
    <row r="274" spans="1:13" ht="13" customHeight="1" x14ac:dyDescent="0.25">
      <c r="A274" s="47">
        <v>45434</v>
      </c>
      <c r="B274" s="43" t="s">
        <v>6</v>
      </c>
      <c r="C274" s="48" t="s">
        <v>151</v>
      </c>
      <c r="D274" s="55"/>
      <c r="E274" s="61">
        <v>2407807</v>
      </c>
      <c r="G274" s="56">
        <f t="shared" si="19"/>
        <v>20149802</v>
      </c>
      <c r="H274" s="51"/>
      <c r="J274" s="49"/>
      <c r="K274" s="49"/>
      <c r="L274" s="49"/>
      <c r="M274" s="49"/>
    </row>
    <row r="275" spans="1:13" ht="13" customHeight="1" x14ac:dyDescent="0.25">
      <c r="A275" s="47">
        <v>45468</v>
      </c>
      <c r="B275" s="43" t="s">
        <v>6</v>
      </c>
      <c r="C275" s="48" t="s">
        <v>151</v>
      </c>
      <c r="D275" s="55"/>
      <c r="E275" s="61">
        <v>2431885</v>
      </c>
      <c r="G275" s="56">
        <f t="shared" si="19"/>
        <v>17717917</v>
      </c>
      <c r="H275" s="51"/>
      <c r="J275" s="49"/>
      <c r="K275" s="49"/>
      <c r="L275" s="49"/>
      <c r="M275" s="49"/>
    </row>
    <row r="276" spans="1:13" ht="13" customHeight="1" x14ac:dyDescent="0.25">
      <c r="A276" s="47">
        <v>45498</v>
      </c>
      <c r="B276" s="43" t="s">
        <v>6</v>
      </c>
      <c r="C276" s="48" t="s">
        <v>151</v>
      </c>
      <c r="D276" s="55"/>
      <c r="E276" s="61">
        <v>2456204</v>
      </c>
      <c r="G276" s="56">
        <f t="shared" si="19"/>
        <v>15261713</v>
      </c>
      <c r="H276" s="51"/>
      <c r="J276" s="49"/>
      <c r="K276" s="49"/>
      <c r="L276" s="49"/>
      <c r="M276" s="49"/>
    </row>
    <row r="277" spans="1:13" ht="13" customHeight="1" x14ac:dyDescent="0.25">
      <c r="A277" s="47">
        <v>45527</v>
      </c>
      <c r="B277" s="43" t="s">
        <v>6</v>
      </c>
      <c r="C277" s="48" t="s">
        <v>151</v>
      </c>
      <c r="D277" s="55"/>
      <c r="E277" s="61">
        <v>2480766</v>
      </c>
      <c r="G277" s="56">
        <f t="shared" si="19"/>
        <v>12780947</v>
      </c>
      <c r="H277" s="51"/>
      <c r="J277" s="49"/>
      <c r="K277" s="49"/>
      <c r="L277" s="49"/>
      <c r="M277" s="49"/>
    </row>
    <row r="278" spans="1:13" ht="13" customHeight="1" x14ac:dyDescent="0.25">
      <c r="A278" s="47">
        <v>45576</v>
      </c>
      <c r="B278" s="43" t="s">
        <v>6</v>
      </c>
      <c r="C278" s="48" t="s">
        <v>152</v>
      </c>
      <c r="D278" s="55"/>
      <c r="E278" s="61">
        <v>12780947</v>
      </c>
      <c r="G278" s="56">
        <f t="shared" si="19"/>
        <v>0</v>
      </c>
      <c r="H278" s="51"/>
      <c r="J278" s="51"/>
      <c r="K278" s="51"/>
      <c r="L278" s="51"/>
      <c r="M278" s="51"/>
    </row>
    <row r="279" spans="1:13" x14ac:dyDescent="0.25">
      <c r="A279" s="51"/>
      <c r="B279" s="51"/>
      <c r="C279" s="51"/>
      <c r="G279" s="56">
        <f t="shared" si="19"/>
        <v>0</v>
      </c>
      <c r="H279" s="51"/>
      <c r="I279" s="51"/>
      <c r="J279" s="51"/>
      <c r="K279" s="51"/>
      <c r="L279" s="51"/>
      <c r="M279" s="51"/>
    </row>
    <row r="280" spans="1:13" x14ac:dyDescent="0.25">
      <c r="A280" s="51"/>
      <c r="B280" s="51"/>
      <c r="C280" s="51"/>
      <c r="H280" s="51"/>
      <c r="I280" s="51"/>
      <c r="J280" s="51"/>
      <c r="K280" s="51"/>
      <c r="L280" s="51"/>
      <c r="M280" s="51"/>
    </row>
    <row r="281" spans="1:13" x14ac:dyDescent="0.25">
      <c r="A281" s="51"/>
      <c r="B281" s="50" t="s">
        <v>31</v>
      </c>
      <c r="C281" s="50"/>
      <c r="D281" s="54"/>
      <c r="E281" s="59"/>
      <c r="H281" s="51"/>
      <c r="I281" s="51"/>
      <c r="J281" s="51"/>
      <c r="K281" s="51"/>
      <c r="L281" s="51"/>
      <c r="M281" s="51"/>
    </row>
    <row r="282" spans="1:13" x14ac:dyDescent="0.25">
      <c r="A282" s="47">
        <v>45292</v>
      </c>
      <c r="B282" s="43" t="s">
        <v>0</v>
      </c>
      <c r="C282" s="48" t="s">
        <v>1</v>
      </c>
      <c r="D282" s="55"/>
      <c r="E282" s="60"/>
      <c r="F282" s="49">
        <v>142920230</v>
      </c>
      <c r="G282" s="56"/>
      <c r="H282" s="49"/>
      <c r="I282" s="51"/>
      <c r="K282" s="49"/>
      <c r="L282" s="49"/>
      <c r="M282" s="49"/>
    </row>
    <row r="283" spans="1:13" ht="13" customHeight="1" x14ac:dyDescent="0.25">
      <c r="A283" s="47">
        <v>45316</v>
      </c>
      <c r="B283" s="43" t="s">
        <v>6</v>
      </c>
      <c r="C283" s="48" t="s">
        <v>153</v>
      </c>
      <c r="D283" s="55"/>
      <c r="E283" s="61">
        <v>1686324</v>
      </c>
      <c r="G283" s="56">
        <f>F282-E283</f>
        <v>141233906</v>
      </c>
      <c r="H283" s="51"/>
      <c r="J283" s="49"/>
      <c r="K283" s="49"/>
      <c r="L283" s="49"/>
      <c r="M283" s="49"/>
    </row>
    <row r="284" spans="1:13" ht="13" customHeight="1" x14ac:dyDescent="0.25">
      <c r="A284" s="47">
        <v>45345</v>
      </c>
      <c r="B284" s="43" t="s">
        <v>6</v>
      </c>
      <c r="C284" s="48" t="s">
        <v>153</v>
      </c>
      <c r="D284" s="55"/>
      <c r="E284" s="61">
        <v>1701782</v>
      </c>
      <c r="G284" s="56">
        <f>G283-E284</f>
        <v>139532124</v>
      </c>
      <c r="H284" s="51"/>
      <c r="J284" s="49"/>
      <c r="K284" s="49"/>
      <c r="L284" s="49"/>
      <c r="M284" s="49"/>
    </row>
    <row r="285" spans="1:13" ht="13" customHeight="1" x14ac:dyDescent="0.25">
      <c r="A285" s="47">
        <v>45376</v>
      </c>
      <c r="B285" s="43" t="s">
        <v>6</v>
      </c>
      <c r="C285" s="48" t="s">
        <v>153</v>
      </c>
      <c r="D285" s="55"/>
      <c r="E285" s="61">
        <v>1717382</v>
      </c>
      <c r="G285" s="56">
        <f t="shared" ref="G285:G294" si="20">G284-E285</f>
        <v>137814742</v>
      </c>
      <c r="H285" s="51"/>
      <c r="J285" s="49"/>
      <c r="K285" s="49"/>
      <c r="L285" s="49"/>
      <c r="M285" s="49"/>
    </row>
    <row r="286" spans="1:13" ht="13" customHeight="1" x14ac:dyDescent="0.25">
      <c r="A286" s="47">
        <v>45407</v>
      </c>
      <c r="B286" s="43" t="s">
        <v>6</v>
      </c>
      <c r="C286" s="48" t="s">
        <v>153</v>
      </c>
      <c r="D286" s="55"/>
      <c r="E286" s="61">
        <v>1733125</v>
      </c>
      <c r="G286" s="56">
        <f t="shared" si="20"/>
        <v>136081617</v>
      </c>
      <c r="H286" s="51"/>
      <c r="J286" s="49"/>
      <c r="K286" s="49"/>
      <c r="L286" s="49"/>
      <c r="M286" s="49"/>
    </row>
    <row r="287" spans="1:13" ht="13" customHeight="1" x14ac:dyDescent="0.25">
      <c r="A287" s="47">
        <v>45434</v>
      </c>
      <c r="B287" s="43" t="s">
        <v>6</v>
      </c>
      <c r="C287" s="48" t="s">
        <v>153</v>
      </c>
      <c r="D287" s="55"/>
      <c r="E287" s="61">
        <v>1749012</v>
      </c>
      <c r="G287" s="56">
        <f t="shared" si="20"/>
        <v>134332605</v>
      </c>
      <c r="H287" s="51"/>
      <c r="J287" s="49"/>
      <c r="K287" s="49"/>
      <c r="L287" s="49"/>
      <c r="M287" s="49"/>
    </row>
    <row r="288" spans="1:13" ht="13" customHeight="1" x14ac:dyDescent="0.25">
      <c r="A288" s="47">
        <v>45468</v>
      </c>
      <c r="B288" s="43" t="s">
        <v>6</v>
      </c>
      <c r="C288" s="48" t="s">
        <v>153</v>
      </c>
      <c r="D288" s="55"/>
      <c r="E288" s="61">
        <v>1765044</v>
      </c>
      <c r="G288" s="56">
        <f t="shared" si="20"/>
        <v>132567561</v>
      </c>
      <c r="H288" s="51"/>
      <c r="J288" s="49"/>
      <c r="K288" s="49"/>
      <c r="L288" s="49"/>
      <c r="M288" s="49"/>
    </row>
    <row r="289" spans="1:13" ht="13" customHeight="1" x14ac:dyDescent="0.25">
      <c r="A289" s="47">
        <v>45498</v>
      </c>
      <c r="B289" s="43" t="s">
        <v>6</v>
      </c>
      <c r="C289" s="48" t="s">
        <v>153</v>
      </c>
      <c r="D289" s="55"/>
      <c r="E289" s="61">
        <v>1781224</v>
      </c>
      <c r="G289" s="56">
        <f t="shared" si="20"/>
        <v>130786337</v>
      </c>
      <c r="H289" s="51"/>
      <c r="J289" s="49"/>
      <c r="K289" s="49"/>
      <c r="L289" s="49"/>
      <c r="M289" s="49"/>
    </row>
    <row r="290" spans="1:13" ht="13" customHeight="1" x14ac:dyDescent="0.25">
      <c r="A290" s="47">
        <v>45527</v>
      </c>
      <c r="B290" s="43" t="s">
        <v>6</v>
      </c>
      <c r="C290" s="48" t="s">
        <v>153</v>
      </c>
      <c r="D290" s="55"/>
      <c r="E290" s="61">
        <v>1797552</v>
      </c>
      <c r="G290" s="56">
        <f t="shared" si="20"/>
        <v>128988785</v>
      </c>
      <c r="H290" s="51"/>
      <c r="J290" s="49"/>
      <c r="K290" s="49"/>
      <c r="L290" s="49"/>
      <c r="M290" s="49"/>
    </row>
    <row r="291" spans="1:13" ht="13" customHeight="1" x14ac:dyDescent="0.25">
      <c r="A291" s="47">
        <v>45560</v>
      </c>
      <c r="B291" s="43" t="s">
        <v>6</v>
      </c>
      <c r="C291" s="48" t="s">
        <v>153</v>
      </c>
      <c r="D291" s="55"/>
      <c r="E291" s="61">
        <v>1814029</v>
      </c>
      <c r="G291" s="56">
        <f t="shared" si="20"/>
        <v>127174756</v>
      </c>
      <c r="H291" s="51"/>
      <c r="J291" s="49"/>
      <c r="K291" s="49"/>
      <c r="L291" s="49"/>
      <c r="M291" s="49"/>
    </row>
    <row r="292" spans="1:13" ht="13" customHeight="1" x14ac:dyDescent="0.25">
      <c r="A292" s="47">
        <v>45590</v>
      </c>
      <c r="B292" s="43" t="s">
        <v>6</v>
      </c>
      <c r="C292" s="48" t="s">
        <v>153</v>
      </c>
      <c r="D292" s="55"/>
      <c r="E292" s="61">
        <v>1830658</v>
      </c>
      <c r="G292" s="56">
        <f t="shared" si="20"/>
        <v>125344098</v>
      </c>
      <c r="H292" s="51"/>
      <c r="J292" s="49"/>
      <c r="K292" s="49"/>
      <c r="L292" s="49"/>
      <c r="M292" s="49"/>
    </row>
    <row r="293" spans="1:13" x14ac:dyDescent="0.25">
      <c r="A293" s="47">
        <v>45621</v>
      </c>
      <c r="B293" s="43" t="s">
        <v>6</v>
      </c>
      <c r="C293" s="48" t="s">
        <v>153</v>
      </c>
      <c r="E293" s="58">
        <v>1847439</v>
      </c>
      <c r="G293" s="56">
        <f t="shared" si="20"/>
        <v>123496659</v>
      </c>
      <c r="H293" s="51"/>
      <c r="I293" s="51"/>
      <c r="J293" s="51"/>
      <c r="K293" s="51"/>
      <c r="L293" s="51"/>
      <c r="M293" s="51"/>
    </row>
    <row r="294" spans="1:13" x14ac:dyDescent="0.25">
      <c r="A294" s="47">
        <v>45649</v>
      </c>
      <c r="B294" s="43" t="s">
        <v>6</v>
      </c>
      <c r="C294" s="48" t="s">
        <v>153</v>
      </c>
      <c r="E294" s="58">
        <v>1864374</v>
      </c>
      <c r="G294" s="56">
        <f t="shared" si="20"/>
        <v>121632285</v>
      </c>
      <c r="H294" s="51"/>
      <c r="I294" s="51"/>
      <c r="J294" s="51"/>
      <c r="K294" s="51"/>
      <c r="L294" s="51"/>
      <c r="M294" s="51"/>
    </row>
    <row r="295" spans="1:13" x14ac:dyDescent="0.25">
      <c r="A295" s="51"/>
      <c r="B295" s="50" t="s">
        <v>114</v>
      </c>
      <c r="C295" s="50"/>
      <c r="D295" s="54"/>
      <c r="E295" s="59"/>
      <c r="H295" s="51"/>
      <c r="I295" s="51"/>
      <c r="J295" s="51"/>
      <c r="K295" s="51"/>
      <c r="L295" s="51"/>
      <c r="M295" s="51"/>
    </row>
    <row r="296" spans="1:13" x14ac:dyDescent="0.25">
      <c r="A296" s="47">
        <v>45292</v>
      </c>
      <c r="B296" s="43" t="s">
        <v>0</v>
      </c>
      <c r="C296" s="48" t="s">
        <v>1</v>
      </c>
      <c r="D296" s="55"/>
      <c r="E296" s="60"/>
      <c r="F296" s="49">
        <v>292705397</v>
      </c>
      <c r="G296" s="56"/>
      <c r="H296" s="49"/>
      <c r="I296" s="51"/>
      <c r="K296" s="49"/>
      <c r="L296" s="49"/>
      <c r="M296" s="49"/>
    </row>
    <row r="297" spans="1:13" ht="13" customHeight="1" x14ac:dyDescent="0.25">
      <c r="A297" s="47">
        <v>45316</v>
      </c>
      <c r="B297" s="43" t="s">
        <v>6</v>
      </c>
      <c r="C297" s="48" t="s">
        <v>154</v>
      </c>
      <c r="D297" s="55"/>
      <c r="E297" s="61">
        <v>2475229</v>
      </c>
      <c r="G297" s="56">
        <f>F296-E297</f>
        <v>290230168</v>
      </c>
      <c r="H297" s="51"/>
      <c r="J297" s="49"/>
      <c r="K297" s="49"/>
      <c r="L297" s="49"/>
      <c r="M297" s="49"/>
    </row>
    <row r="298" spans="1:13" ht="13" customHeight="1" x14ac:dyDescent="0.25">
      <c r="A298" s="47">
        <v>45345</v>
      </c>
      <c r="B298" s="43" t="s">
        <v>6</v>
      </c>
      <c r="C298" s="48" t="s">
        <v>154</v>
      </c>
      <c r="D298" s="55"/>
      <c r="E298" s="61">
        <v>2497403</v>
      </c>
      <c r="G298" s="56">
        <f>G297-E298</f>
        <v>287732765</v>
      </c>
      <c r="H298" s="51"/>
      <c r="J298" s="49"/>
      <c r="K298" s="49"/>
      <c r="L298" s="49"/>
      <c r="M298" s="49"/>
    </row>
    <row r="299" spans="1:13" ht="13" customHeight="1" x14ac:dyDescent="0.25">
      <c r="A299" s="47">
        <v>45376</v>
      </c>
      <c r="B299" s="43" t="s">
        <v>6</v>
      </c>
      <c r="C299" s="48" t="s">
        <v>154</v>
      </c>
      <c r="D299" s="55"/>
      <c r="E299" s="61">
        <v>2519775</v>
      </c>
      <c r="G299" s="56">
        <f t="shared" ref="G299:G308" si="21">G298-E299</f>
        <v>285212990</v>
      </c>
      <c r="H299" s="51"/>
      <c r="J299" s="49"/>
      <c r="K299" s="49"/>
      <c r="L299" s="49"/>
      <c r="M299" s="49"/>
    </row>
    <row r="300" spans="1:13" ht="13" customHeight="1" x14ac:dyDescent="0.25">
      <c r="A300" s="47">
        <v>45407</v>
      </c>
      <c r="B300" s="43" t="s">
        <v>6</v>
      </c>
      <c r="C300" s="48" t="s">
        <v>154</v>
      </c>
      <c r="D300" s="55"/>
      <c r="E300" s="61">
        <v>2542348</v>
      </c>
      <c r="G300" s="56">
        <f t="shared" si="21"/>
        <v>282670642</v>
      </c>
      <c r="H300" s="51"/>
      <c r="J300" s="49"/>
      <c r="K300" s="49"/>
      <c r="L300" s="49"/>
      <c r="M300" s="49"/>
    </row>
    <row r="301" spans="1:13" ht="13" customHeight="1" x14ac:dyDescent="0.25">
      <c r="A301" s="47">
        <v>45434</v>
      </c>
      <c r="B301" s="43" t="s">
        <v>6</v>
      </c>
      <c r="C301" s="48" t="s">
        <v>154</v>
      </c>
      <c r="D301" s="55"/>
      <c r="E301" s="61">
        <v>2565124</v>
      </c>
      <c r="G301" s="56">
        <f t="shared" si="21"/>
        <v>280105518</v>
      </c>
      <c r="H301" s="51"/>
      <c r="J301" s="49"/>
      <c r="K301" s="49"/>
      <c r="L301" s="49"/>
      <c r="M301" s="49"/>
    </row>
    <row r="302" spans="1:13" ht="13" customHeight="1" x14ac:dyDescent="0.25">
      <c r="A302" s="47">
        <v>45468</v>
      </c>
      <c r="B302" s="43" t="s">
        <v>6</v>
      </c>
      <c r="C302" s="48" t="s">
        <v>154</v>
      </c>
      <c r="D302" s="55"/>
      <c r="E302" s="61">
        <v>2588103</v>
      </c>
      <c r="G302" s="56">
        <f t="shared" si="21"/>
        <v>277517415</v>
      </c>
      <c r="H302" s="51"/>
      <c r="J302" s="49"/>
      <c r="K302" s="49"/>
      <c r="L302" s="49"/>
      <c r="M302" s="49"/>
    </row>
    <row r="303" spans="1:13" ht="13" customHeight="1" x14ac:dyDescent="0.25">
      <c r="A303" s="47">
        <v>45498</v>
      </c>
      <c r="B303" s="43" t="s">
        <v>6</v>
      </c>
      <c r="C303" s="48" t="s">
        <v>154</v>
      </c>
      <c r="D303" s="55"/>
      <c r="E303" s="61">
        <v>2611288</v>
      </c>
      <c r="G303" s="56">
        <f t="shared" si="21"/>
        <v>274906127</v>
      </c>
      <c r="H303" s="51"/>
      <c r="J303" s="49"/>
      <c r="K303" s="49"/>
      <c r="L303" s="49"/>
      <c r="M303" s="49"/>
    </row>
    <row r="304" spans="1:13" ht="13" customHeight="1" x14ac:dyDescent="0.25">
      <c r="A304" s="47">
        <v>45527</v>
      </c>
      <c r="B304" s="43" t="s">
        <v>6</v>
      </c>
      <c r="C304" s="48" t="s">
        <v>154</v>
      </c>
      <c r="D304" s="55"/>
      <c r="E304" s="61">
        <v>2634681</v>
      </c>
      <c r="G304" s="56">
        <f t="shared" si="21"/>
        <v>272271446</v>
      </c>
      <c r="H304" s="51"/>
      <c r="J304" s="49"/>
      <c r="K304" s="49"/>
      <c r="L304" s="49"/>
      <c r="M304" s="49"/>
    </row>
    <row r="305" spans="1:13" ht="13" customHeight="1" x14ac:dyDescent="0.25">
      <c r="A305" s="47">
        <v>45560</v>
      </c>
      <c r="B305" s="43" t="s">
        <v>6</v>
      </c>
      <c r="C305" s="48" t="s">
        <v>155</v>
      </c>
      <c r="D305" s="55"/>
      <c r="E305" s="61">
        <v>2658283</v>
      </c>
      <c r="G305" s="56">
        <f t="shared" si="21"/>
        <v>269613163</v>
      </c>
      <c r="H305" s="51"/>
      <c r="J305" s="49"/>
      <c r="K305" s="49"/>
      <c r="L305" s="49"/>
      <c r="M305" s="49"/>
    </row>
    <row r="306" spans="1:13" ht="13" customHeight="1" x14ac:dyDescent="0.25">
      <c r="A306" s="47">
        <v>45590</v>
      </c>
      <c r="B306" s="43" t="s">
        <v>6</v>
      </c>
      <c r="C306" s="48" t="s">
        <v>154</v>
      </c>
      <c r="D306" s="55"/>
      <c r="E306" s="61">
        <v>2682097</v>
      </c>
      <c r="G306" s="56">
        <f t="shared" si="21"/>
        <v>266931066</v>
      </c>
      <c r="H306" s="51"/>
      <c r="J306" s="49"/>
      <c r="K306" s="49"/>
      <c r="L306" s="49"/>
      <c r="M306" s="49"/>
    </row>
    <row r="307" spans="1:13" ht="26" x14ac:dyDescent="0.25">
      <c r="A307" s="47">
        <v>45621</v>
      </c>
      <c r="B307" s="43" t="s">
        <v>6</v>
      </c>
      <c r="C307" s="48" t="s">
        <v>154</v>
      </c>
      <c r="E307" s="58">
        <v>2706124</v>
      </c>
      <c r="G307" s="56">
        <f t="shared" si="21"/>
        <v>264224942</v>
      </c>
      <c r="H307" s="51"/>
      <c r="I307" s="51"/>
      <c r="J307" s="51"/>
      <c r="K307" s="51"/>
      <c r="L307" s="51"/>
      <c r="M307" s="51"/>
    </row>
    <row r="308" spans="1:13" ht="26" x14ac:dyDescent="0.25">
      <c r="A308" s="47">
        <v>45649</v>
      </c>
      <c r="B308" s="43" t="s">
        <v>6</v>
      </c>
      <c r="C308" s="48" t="s">
        <v>154</v>
      </c>
      <c r="E308" s="58">
        <v>2730366</v>
      </c>
      <c r="G308" s="56">
        <f t="shared" si="21"/>
        <v>261494576</v>
      </c>
      <c r="H308" s="51"/>
      <c r="I308" s="51"/>
      <c r="J308" s="51"/>
      <c r="K308" s="51"/>
      <c r="L308" s="51"/>
      <c r="M308" s="51"/>
    </row>
    <row r="309" spans="1:13" x14ac:dyDescent="0.25">
      <c r="A309" s="51"/>
      <c r="B309" s="50" t="s">
        <v>112</v>
      </c>
      <c r="C309" s="50"/>
      <c r="D309" s="54"/>
      <c r="E309" s="59"/>
      <c r="H309" s="51"/>
      <c r="I309" s="51"/>
      <c r="J309" s="51"/>
      <c r="K309" s="51"/>
      <c r="L309" s="51"/>
      <c r="M309" s="51"/>
    </row>
    <row r="310" spans="1:13" x14ac:dyDescent="0.25">
      <c r="A310" s="47">
        <v>45292</v>
      </c>
      <c r="B310" s="43" t="s">
        <v>0</v>
      </c>
      <c r="C310" s="48" t="s">
        <v>1</v>
      </c>
      <c r="D310" s="55"/>
      <c r="E310" s="60"/>
      <c r="F310" s="49">
        <v>48557359</v>
      </c>
      <c r="G310" s="56"/>
      <c r="H310" s="49"/>
      <c r="I310" s="51"/>
      <c r="K310" s="49"/>
      <c r="L310" s="49"/>
      <c r="M310" s="49"/>
    </row>
    <row r="311" spans="1:13" ht="13" customHeight="1" x14ac:dyDescent="0.25">
      <c r="A311" s="47">
        <v>45316</v>
      </c>
      <c r="B311" s="43" t="s">
        <v>6</v>
      </c>
      <c r="C311" s="48" t="s">
        <v>156</v>
      </c>
      <c r="D311" s="55"/>
      <c r="E311" s="61">
        <v>4215675</v>
      </c>
      <c r="G311" s="56">
        <f>F310-E311</f>
        <v>44341684</v>
      </c>
      <c r="H311" s="51"/>
      <c r="J311" s="49"/>
      <c r="K311" s="49"/>
      <c r="L311" s="49"/>
      <c r="M311" s="49"/>
    </row>
    <row r="312" spans="1:13" ht="13" customHeight="1" x14ac:dyDescent="0.25">
      <c r="A312" s="47">
        <v>45345</v>
      </c>
      <c r="B312" s="43" t="s">
        <v>6</v>
      </c>
      <c r="C312" s="48" t="s">
        <v>156</v>
      </c>
      <c r="D312" s="55"/>
      <c r="E312" s="61">
        <v>4254318</v>
      </c>
      <c r="G312" s="56">
        <f>G311-E312</f>
        <v>40087366</v>
      </c>
      <c r="H312" s="51"/>
      <c r="J312" s="49"/>
      <c r="K312" s="49"/>
      <c r="L312" s="49"/>
      <c r="M312" s="49"/>
    </row>
    <row r="313" spans="1:13" ht="13" customHeight="1" x14ac:dyDescent="0.25">
      <c r="A313" s="47">
        <v>45376</v>
      </c>
      <c r="B313" s="43" t="s">
        <v>6</v>
      </c>
      <c r="C313" s="48" t="s">
        <v>156</v>
      </c>
      <c r="D313" s="55"/>
      <c r="E313" s="61">
        <v>4293316</v>
      </c>
      <c r="G313" s="56">
        <f t="shared" ref="G313:G321" si="22">G312-E313</f>
        <v>35794050</v>
      </c>
      <c r="H313" s="51"/>
      <c r="J313" s="49"/>
      <c r="K313" s="49"/>
      <c r="L313" s="49"/>
      <c r="M313" s="49"/>
    </row>
    <row r="314" spans="1:13" ht="13" customHeight="1" x14ac:dyDescent="0.25">
      <c r="A314" s="47">
        <v>45407</v>
      </c>
      <c r="B314" s="43" t="s">
        <v>6</v>
      </c>
      <c r="C314" s="48" t="s">
        <v>156</v>
      </c>
      <c r="D314" s="55"/>
      <c r="E314" s="61">
        <v>4332672</v>
      </c>
      <c r="G314" s="56">
        <f t="shared" si="22"/>
        <v>31461378</v>
      </c>
      <c r="H314" s="51"/>
      <c r="J314" s="49"/>
      <c r="K314" s="49"/>
      <c r="L314" s="49"/>
      <c r="M314" s="49"/>
    </row>
    <row r="315" spans="1:13" ht="13" customHeight="1" x14ac:dyDescent="0.25">
      <c r="A315" s="47">
        <v>45434</v>
      </c>
      <c r="B315" s="43" t="s">
        <v>6</v>
      </c>
      <c r="C315" s="48" t="s">
        <v>156</v>
      </c>
      <c r="D315" s="55"/>
      <c r="E315" s="61">
        <v>4372388</v>
      </c>
      <c r="G315" s="56">
        <f t="shared" si="22"/>
        <v>27088990</v>
      </c>
      <c r="H315" s="51"/>
      <c r="J315" s="49"/>
      <c r="K315" s="49"/>
      <c r="L315" s="49"/>
      <c r="M315" s="49"/>
    </row>
    <row r="316" spans="1:13" ht="13" customHeight="1" x14ac:dyDescent="0.25">
      <c r="A316" s="47">
        <v>45468</v>
      </c>
      <c r="B316" s="43" t="s">
        <v>6</v>
      </c>
      <c r="C316" s="48" t="s">
        <v>156</v>
      </c>
      <c r="D316" s="55"/>
      <c r="E316" s="61">
        <v>4412468</v>
      </c>
      <c r="G316" s="56">
        <f t="shared" si="22"/>
        <v>22676522</v>
      </c>
      <c r="H316" s="51"/>
      <c r="J316" s="49"/>
      <c r="K316" s="49"/>
      <c r="L316" s="49"/>
      <c r="M316" s="49"/>
    </row>
    <row r="317" spans="1:13" ht="13" customHeight="1" x14ac:dyDescent="0.25">
      <c r="A317" s="47">
        <v>45498</v>
      </c>
      <c r="B317" s="43" t="s">
        <v>6</v>
      </c>
      <c r="C317" s="48" t="s">
        <v>156</v>
      </c>
      <c r="D317" s="55"/>
      <c r="E317" s="61">
        <v>4452916</v>
      </c>
      <c r="G317" s="56">
        <f t="shared" si="22"/>
        <v>18223606</v>
      </c>
      <c r="H317" s="51"/>
      <c r="J317" s="49"/>
      <c r="K317" s="49"/>
      <c r="L317" s="49"/>
      <c r="M317" s="49"/>
    </row>
    <row r="318" spans="1:13" ht="13" customHeight="1" x14ac:dyDescent="0.25">
      <c r="A318" s="47">
        <v>45527</v>
      </c>
      <c r="B318" s="43" t="s">
        <v>6</v>
      </c>
      <c r="C318" s="48" t="s">
        <v>156</v>
      </c>
      <c r="D318" s="55"/>
      <c r="E318" s="61">
        <v>4493734</v>
      </c>
      <c r="G318" s="56">
        <f t="shared" si="22"/>
        <v>13729872</v>
      </c>
      <c r="H318" s="51"/>
      <c r="J318" s="49"/>
      <c r="K318" s="49"/>
      <c r="L318" s="49"/>
      <c r="M318" s="49"/>
    </row>
    <row r="319" spans="1:13" ht="13" customHeight="1" x14ac:dyDescent="0.25">
      <c r="A319" s="47">
        <v>45560</v>
      </c>
      <c r="B319" s="43" t="s">
        <v>6</v>
      </c>
      <c r="C319" s="48" t="s">
        <v>156</v>
      </c>
      <c r="D319" s="55"/>
      <c r="E319" s="61">
        <v>4534927</v>
      </c>
      <c r="G319" s="56">
        <f t="shared" si="22"/>
        <v>9194945</v>
      </c>
      <c r="H319" s="51"/>
      <c r="J319" s="49"/>
      <c r="K319" s="49"/>
      <c r="L319" s="49"/>
      <c r="M319" s="49"/>
    </row>
    <row r="320" spans="1:13" ht="13" customHeight="1" x14ac:dyDescent="0.25">
      <c r="A320" s="47">
        <v>45590</v>
      </c>
      <c r="B320" s="43" t="s">
        <v>6</v>
      </c>
      <c r="C320" s="48" t="s">
        <v>156</v>
      </c>
      <c r="D320" s="55"/>
      <c r="E320" s="61">
        <v>4576497</v>
      </c>
      <c r="G320" s="56">
        <f t="shared" si="22"/>
        <v>4618448</v>
      </c>
      <c r="H320" s="51"/>
      <c r="J320" s="49"/>
      <c r="K320" s="49"/>
      <c r="L320" s="49"/>
      <c r="M320" s="49"/>
    </row>
    <row r="321" spans="1:13" ht="26" x14ac:dyDescent="0.25">
      <c r="A321" s="47">
        <v>45621</v>
      </c>
      <c r="B321" s="43" t="s">
        <v>6</v>
      </c>
      <c r="C321" s="48" t="s">
        <v>156</v>
      </c>
      <c r="E321" s="58">
        <v>4618448</v>
      </c>
      <c r="G321" s="56">
        <f t="shared" si="22"/>
        <v>0</v>
      </c>
      <c r="H321" s="51"/>
      <c r="I321" s="51"/>
      <c r="J321" s="51"/>
      <c r="K321" s="51"/>
      <c r="L321" s="51"/>
      <c r="M321" s="51"/>
    </row>
    <row r="322" spans="1:13" x14ac:dyDescent="0.25">
      <c r="A322" s="51"/>
      <c r="B322" s="51"/>
      <c r="C322" s="51"/>
      <c r="H322" s="51"/>
      <c r="I322" s="51"/>
      <c r="J322" s="51"/>
      <c r="K322" s="51"/>
      <c r="L322" s="51"/>
      <c r="M322" s="51"/>
    </row>
    <row r="323" spans="1:13" x14ac:dyDescent="0.25">
      <c r="A323" s="51"/>
      <c r="B323" s="50" t="s">
        <v>35</v>
      </c>
      <c r="C323" s="50"/>
      <c r="D323" s="54"/>
      <c r="E323" s="59"/>
      <c r="H323" s="51"/>
      <c r="I323" s="51"/>
      <c r="J323" s="51"/>
      <c r="K323" s="51"/>
      <c r="L323" s="51"/>
      <c r="M323" s="51"/>
    </row>
    <row r="324" spans="1:13" x14ac:dyDescent="0.25">
      <c r="A324" s="47">
        <v>45292</v>
      </c>
      <c r="B324" s="43" t="s">
        <v>0</v>
      </c>
      <c r="C324" s="48" t="s">
        <v>1</v>
      </c>
      <c r="D324" s="55"/>
      <c r="E324" s="60"/>
      <c r="F324" s="49">
        <v>343005247</v>
      </c>
      <c r="G324" s="56"/>
      <c r="H324" s="49"/>
      <c r="I324" s="51"/>
      <c r="K324" s="49"/>
      <c r="L324" s="49"/>
      <c r="M324" s="49"/>
    </row>
    <row r="325" spans="1:13" ht="13" customHeight="1" x14ac:dyDescent="0.25">
      <c r="A325" s="47">
        <v>45316</v>
      </c>
      <c r="B325" s="43" t="s">
        <v>6</v>
      </c>
      <c r="C325" s="48" t="s">
        <v>157</v>
      </c>
      <c r="D325" s="55"/>
      <c r="E325" s="61">
        <v>3544442</v>
      </c>
      <c r="G325" s="56">
        <f>F324-E325</f>
        <v>339460805</v>
      </c>
      <c r="H325" s="51"/>
      <c r="J325" s="49"/>
      <c r="K325" s="49"/>
      <c r="L325" s="49"/>
      <c r="M325" s="49"/>
    </row>
    <row r="326" spans="1:13" ht="13" customHeight="1" x14ac:dyDescent="0.25">
      <c r="A326" s="47">
        <v>45345</v>
      </c>
      <c r="B326" s="43" t="s">
        <v>6</v>
      </c>
      <c r="C326" s="48" t="s">
        <v>157</v>
      </c>
      <c r="D326" s="55"/>
      <c r="E326" s="61">
        <v>3576194</v>
      </c>
      <c r="G326" s="56">
        <f>G325-E326</f>
        <v>335884611</v>
      </c>
      <c r="H326" s="51"/>
      <c r="J326" s="49"/>
      <c r="K326" s="49"/>
      <c r="L326" s="49"/>
      <c r="M326" s="49"/>
    </row>
    <row r="327" spans="1:13" ht="13" customHeight="1" x14ac:dyDescent="0.25">
      <c r="A327" s="47">
        <v>45376</v>
      </c>
      <c r="B327" s="43" t="s">
        <v>6</v>
      </c>
      <c r="C327" s="48" t="s">
        <v>157</v>
      </c>
      <c r="D327" s="55"/>
      <c r="E327" s="61">
        <v>3608231</v>
      </c>
      <c r="G327" s="56">
        <f t="shared" ref="G327:G336" si="23">G326-E327</f>
        <v>332276380</v>
      </c>
      <c r="H327" s="51"/>
      <c r="J327" s="49"/>
      <c r="K327" s="49"/>
      <c r="L327" s="49"/>
      <c r="M327" s="49"/>
    </row>
    <row r="328" spans="1:13" ht="13" customHeight="1" x14ac:dyDescent="0.25">
      <c r="A328" s="47">
        <v>45407</v>
      </c>
      <c r="B328" s="43" t="s">
        <v>6</v>
      </c>
      <c r="C328" s="48" t="s">
        <v>157</v>
      </c>
      <c r="D328" s="55"/>
      <c r="E328" s="61">
        <v>3640555</v>
      </c>
      <c r="G328" s="56">
        <f t="shared" si="23"/>
        <v>328635825</v>
      </c>
      <c r="H328" s="51"/>
      <c r="J328" s="49"/>
      <c r="K328" s="49"/>
      <c r="L328" s="49"/>
      <c r="M328" s="49"/>
    </row>
    <row r="329" spans="1:13" ht="13" customHeight="1" x14ac:dyDescent="0.25">
      <c r="A329" s="47">
        <v>45434</v>
      </c>
      <c r="B329" s="43" t="s">
        <v>6</v>
      </c>
      <c r="C329" s="48" t="s">
        <v>157</v>
      </c>
      <c r="D329" s="55"/>
      <c r="E329" s="61">
        <v>3673168</v>
      </c>
      <c r="G329" s="56">
        <f t="shared" si="23"/>
        <v>324962657</v>
      </c>
      <c r="H329" s="51"/>
      <c r="J329" s="49"/>
      <c r="K329" s="49"/>
      <c r="L329" s="49"/>
      <c r="M329" s="49"/>
    </row>
    <row r="330" spans="1:13" ht="13" customHeight="1" x14ac:dyDescent="0.25">
      <c r="A330" s="47">
        <v>45468</v>
      </c>
      <c r="B330" s="43" t="s">
        <v>6</v>
      </c>
      <c r="C330" s="48" t="s">
        <v>157</v>
      </c>
      <c r="D330" s="55"/>
      <c r="E330" s="61">
        <v>3706073</v>
      </c>
      <c r="G330" s="56">
        <f t="shared" si="23"/>
        <v>321256584</v>
      </c>
      <c r="H330" s="51"/>
      <c r="J330" s="49"/>
      <c r="K330" s="49"/>
      <c r="L330" s="49"/>
      <c r="M330" s="49"/>
    </row>
    <row r="331" spans="1:13" ht="13" customHeight="1" x14ac:dyDescent="0.25">
      <c r="A331" s="47">
        <v>45498</v>
      </c>
      <c r="B331" s="43" t="s">
        <v>6</v>
      </c>
      <c r="C331" s="48" t="s">
        <v>157</v>
      </c>
      <c r="D331" s="55"/>
      <c r="E331" s="61">
        <v>3739274</v>
      </c>
      <c r="G331" s="56">
        <f t="shared" si="23"/>
        <v>317517310</v>
      </c>
      <c r="H331" s="51"/>
      <c r="J331" s="49"/>
      <c r="K331" s="49"/>
      <c r="L331" s="49"/>
      <c r="M331" s="49"/>
    </row>
    <row r="332" spans="1:13" ht="13" customHeight="1" x14ac:dyDescent="0.25">
      <c r="A332" s="47">
        <v>45527</v>
      </c>
      <c r="B332" s="43" t="s">
        <v>6</v>
      </c>
      <c r="C332" s="48" t="s">
        <v>157</v>
      </c>
      <c r="D332" s="55"/>
      <c r="E332" s="61">
        <v>3772771</v>
      </c>
      <c r="G332" s="56">
        <f t="shared" si="23"/>
        <v>313744539</v>
      </c>
      <c r="H332" s="51"/>
      <c r="J332" s="49"/>
      <c r="K332" s="49"/>
      <c r="L332" s="49"/>
      <c r="M332" s="49"/>
    </row>
    <row r="333" spans="1:13" ht="13" customHeight="1" x14ac:dyDescent="0.25">
      <c r="A333" s="47">
        <v>45560</v>
      </c>
      <c r="B333" s="43" t="s">
        <v>6</v>
      </c>
      <c r="C333" s="48" t="s">
        <v>157</v>
      </c>
      <c r="D333" s="55"/>
      <c r="E333" s="61">
        <v>3806569</v>
      </c>
      <c r="G333" s="56">
        <f t="shared" si="23"/>
        <v>309937970</v>
      </c>
      <c r="H333" s="51"/>
      <c r="J333" s="49"/>
      <c r="K333" s="49"/>
      <c r="L333" s="49"/>
      <c r="M333" s="49"/>
    </row>
    <row r="334" spans="1:13" ht="13" customHeight="1" x14ac:dyDescent="0.25">
      <c r="A334" s="47">
        <v>45590</v>
      </c>
      <c r="B334" s="43" t="s">
        <v>6</v>
      </c>
      <c r="C334" s="48" t="s">
        <v>157</v>
      </c>
      <c r="D334" s="55"/>
      <c r="E334" s="61">
        <v>3840670</v>
      </c>
      <c r="G334" s="56">
        <f t="shared" si="23"/>
        <v>306097300</v>
      </c>
      <c r="H334" s="51"/>
      <c r="J334" s="49"/>
      <c r="K334" s="49"/>
      <c r="L334" s="49"/>
      <c r="M334" s="49"/>
    </row>
    <row r="335" spans="1:13" ht="26" x14ac:dyDescent="0.25">
      <c r="A335" s="47">
        <v>45621</v>
      </c>
      <c r="B335" s="43" t="s">
        <v>6</v>
      </c>
      <c r="C335" s="48" t="s">
        <v>157</v>
      </c>
      <c r="E335" s="58">
        <v>3875076</v>
      </c>
      <c r="G335" s="56">
        <f t="shared" si="23"/>
        <v>302222224</v>
      </c>
      <c r="H335" s="51"/>
      <c r="I335" s="51"/>
      <c r="J335" s="51"/>
      <c r="K335" s="51"/>
      <c r="L335" s="51"/>
      <c r="M335" s="51"/>
    </row>
    <row r="336" spans="1:13" ht="26" x14ac:dyDescent="0.25">
      <c r="A336" s="47">
        <v>45649</v>
      </c>
      <c r="B336" s="43" t="s">
        <v>6</v>
      </c>
      <c r="C336" s="48" t="s">
        <v>157</v>
      </c>
      <c r="E336" s="58">
        <v>3909790</v>
      </c>
      <c r="G336" s="56">
        <f t="shared" si="23"/>
        <v>298312434</v>
      </c>
      <c r="H336" s="51"/>
      <c r="I336" s="51"/>
      <c r="J336" s="51"/>
      <c r="K336" s="51"/>
      <c r="L336" s="51"/>
      <c r="M336" s="51"/>
    </row>
    <row r="337" spans="1:13" x14ac:dyDescent="0.25">
      <c r="A337" s="51"/>
      <c r="B337" s="50" t="s">
        <v>42</v>
      </c>
      <c r="C337" s="50"/>
      <c r="D337" s="54"/>
      <c r="E337" s="59"/>
      <c r="H337" s="51"/>
      <c r="I337" s="51"/>
      <c r="J337" s="51"/>
      <c r="K337" s="51"/>
      <c r="L337" s="51"/>
      <c r="M337" s="51"/>
    </row>
    <row r="338" spans="1:13" x14ac:dyDescent="0.25">
      <c r="A338" s="47">
        <v>45292</v>
      </c>
      <c r="B338" s="43" t="s">
        <v>0</v>
      </c>
      <c r="C338" s="48" t="s">
        <v>1</v>
      </c>
      <c r="D338" s="55"/>
      <c r="E338" s="60"/>
      <c r="F338" s="49">
        <v>59401080</v>
      </c>
      <c r="G338" s="56"/>
      <c r="H338" s="49"/>
      <c r="I338" s="51"/>
      <c r="J338" s="49"/>
      <c r="K338" s="49"/>
      <c r="L338" s="49"/>
      <c r="M338" s="49"/>
    </row>
    <row r="339" spans="1:13" ht="13" customHeight="1" x14ac:dyDescent="0.25">
      <c r="A339" s="47">
        <v>45316</v>
      </c>
      <c r="B339" s="43" t="s">
        <v>6</v>
      </c>
      <c r="C339" s="48" t="s">
        <v>158</v>
      </c>
      <c r="D339" s="55"/>
      <c r="E339" s="61">
        <v>2697719</v>
      </c>
      <c r="G339" s="56">
        <f>F338-E339</f>
        <v>56703361</v>
      </c>
      <c r="H339" s="51"/>
      <c r="J339" s="49"/>
      <c r="K339" s="49"/>
      <c r="L339" s="49"/>
      <c r="M339" s="49"/>
    </row>
    <row r="340" spans="1:13" ht="13" customHeight="1" x14ac:dyDescent="0.25">
      <c r="A340" s="47">
        <v>45345</v>
      </c>
      <c r="B340" s="43" t="s">
        <v>6</v>
      </c>
      <c r="C340" s="48" t="s">
        <v>158</v>
      </c>
      <c r="D340" s="55"/>
      <c r="E340" s="61">
        <v>2724696</v>
      </c>
      <c r="G340" s="56">
        <f>G339-E340</f>
        <v>53978665</v>
      </c>
      <c r="H340" s="51"/>
      <c r="J340" s="49"/>
      <c r="K340" s="49"/>
      <c r="L340" s="49"/>
      <c r="M340" s="49"/>
    </row>
    <row r="341" spans="1:13" ht="13" customHeight="1" x14ac:dyDescent="0.25">
      <c r="A341" s="47">
        <v>45376</v>
      </c>
      <c r="B341" s="43" t="s">
        <v>6</v>
      </c>
      <c r="C341" s="48" t="s">
        <v>158</v>
      </c>
      <c r="D341" s="55"/>
      <c r="E341" s="61">
        <v>2751943</v>
      </c>
      <c r="G341" s="56">
        <f t="shared" ref="G341:G350" si="24">G340-E341</f>
        <v>51226722</v>
      </c>
      <c r="H341" s="51"/>
      <c r="J341" s="49"/>
      <c r="K341" s="49"/>
      <c r="L341" s="49"/>
      <c r="M341" s="49"/>
    </row>
    <row r="342" spans="1:13" ht="13" customHeight="1" x14ac:dyDescent="0.25">
      <c r="A342" s="47">
        <v>45407</v>
      </c>
      <c r="B342" s="43" t="s">
        <v>6</v>
      </c>
      <c r="C342" s="48" t="s">
        <v>158</v>
      </c>
      <c r="D342" s="55"/>
      <c r="E342" s="61">
        <v>2779462</v>
      </c>
      <c r="G342" s="56">
        <f t="shared" si="24"/>
        <v>48447260</v>
      </c>
      <c r="H342" s="51"/>
      <c r="J342" s="49"/>
      <c r="K342" s="49"/>
      <c r="L342" s="49"/>
      <c r="M342" s="49"/>
    </row>
    <row r="343" spans="1:13" ht="13" customHeight="1" x14ac:dyDescent="0.25">
      <c r="A343" s="47">
        <v>45434</v>
      </c>
      <c r="B343" s="43" t="s">
        <v>6</v>
      </c>
      <c r="C343" s="48" t="s">
        <v>158</v>
      </c>
      <c r="D343" s="55"/>
      <c r="E343" s="61">
        <v>2807257</v>
      </c>
      <c r="G343" s="56">
        <f t="shared" si="24"/>
        <v>45640003</v>
      </c>
      <c r="H343" s="51"/>
      <c r="J343" s="49"/>
      <c r="K343" s="49"/>
      <c r="L343" s="49"/>
      <c r="M343" s="49"/>
    </row>
    <row r="344" spans="1:13" ht="13" customHeight="1" x14ac:dyDescent="0.25">
      <c r="A344" s="47">
        <v>45468</v>
      </c>
      <c r="B344" s="43" t="s">
        <v>6</v>
      </c>
      <c r="C344" s="48" t="s">
        <v>158</v>
      </c>
      <c r="D344" s="55"/>
      <c r="E344" s="61">
        <v>2835329</v>
      </c>
      <c r="G344" s="56">
        <f t="shared" si="24"/>
        <v>42804674</v>
      </c>
      <c r="H344" s="51"/>
      <c r="J344" s="49"/>
      <c r="K344" s="49"/>
      <c r="L344" s="49"/>
      <c r="M344" s="49"/>
    </row>
    <row r="345" spans="1:13" ht="13" customHeight="1" x14ac:dyDescent="0.25">
      <c r="A345" s="47">
        <v>45498</v>
      </c>
      <c r="B345" s="43" t="s">
        <v>6</v>
      </c>
      <c r="C345" s="48" t="s">
        <v>158</v>
      </c>
      <c r="D345" s="55"/>
      <c r="E345" s="61">
        <v>2863683</v>
      </c>
      <c r="G345" s="56">
        <f t="shared" si="24"/>
        <v>39940991</v>
      </c>
      <c r="H345" s="51"/>
      <c r="J345" s="49"/>
      <c r="K345" s="49"/>
      <c r="L345" s="49"/>
      <c r="M345" s="49"/>
    </row>
    <row r="346" spans="1:13" ht="13" customHeight="1" x14ac:dyDescent="0.25">
      <c r="A346" s="47">
        <v>45527</v>
      </c>
      <c r="B346" s="43" t="s">
        <v>6</v>
      </c>
      <c r="C346" s="48" t="s">
        <v>158</v>
      </c>
      <c r="D346" s="55"/>
      <c r="E346" s="61">
        <v>2892320</v>
      </c>
      <c r="G346" s="56">
        <f t="shared" si="24"/>
        <v>37048671</v>
      </c>
      <c r="H346" s="51"/>
      <c r="J346" s="49"/>
      <c r="K346" s="49"/>
      <c r="L346" s="49"/>
      <c r="M346" s="49"/>
    </row>
    <row r="347" spans="1:13" ht="13" customHeight="1" x14ac:dyDescent="0.25">
      <c r="A347" s="47">
        <v>45560</v>
      </c>
      <c r="B347" s="43" t="s">
        <v>6</v>
      </c>
      <c r="C347" s="48" t="s">
        <v>158</v>
      </c>
      <c r="D347" s="55"/>
      <c r="E347" s="61">
        <v>2921243</v>
      </c>
      <c r="G347" s="56">
        <f t="shared" si="24"/>
        <v>34127428</v>
      </c>
      <c r="H347" s="51"/>
      <c r="J347" s="49"/>
      <c r="K347" s="49"/>
      <c r="L347" s="49"/>
      <c r="M347" s="49"/>
    </row>
    <row r="348" spans="1:13" ht="13" customHeight="1" x14ac:dyDescent="0.25">
      <c r="A348" s="47">
        <v>45590</v>
      </c>
      <c r="B348" s="43" t="s">
        <v>6</v>
      </c>
      <c r="C348" s="48" t="s">
        <v>158</v>
      </c>
      <c r="D348" s="55"/>
      <c r="E348" s="61">
        <v>2950455</v>
      </c>
      <c r="G348" s="56">
        <f t="shared" si="24"/>
        <v>31176973</v>
      </c>
      <c r="H348" s="51"/>
      <c r="J348" s="49"/>
      <c r="K348" s="49"/>
      <c r="L348" s="49"/>
      <c r="M348" s="49"/>
    </row>
    <row r="349" spans="1:13" ht="26" x14ac:dyDescent="0.25">
      <c r="A349" s="47">
        <v>45621</v>
      </c>
      <c r="B349" s="43" t="s">
        <v>6</v>
      </c>
      <c r="C349" s="48" t="s">
        <v>158</v>
      </c>
      <c r="E349" s="58">
        <v>2979960</v>
      </c>
      <c r="G349" s="56">
        <f t="shared" si="24"/>
        <v>28197013</v>
      </c>
      <c r="H349" s="51"/>
      <c r="I349" s="51"/>
      <c r="J349" s="51"/>
      <c r="K349" s="51"/>
      <c r="L349" s="51"/>
      <c r="M349" s="51"/>
    </row>
    <row r="350" spans="1:13" ht="26" x14ac:dyDescent="0.25">
      <c r="A350" s="47">
        <v>45649</v>
      </c>
      <c r="B350" s="43" t="s">
        <v>6</v>
      </c>
      <c r="C350" s="48" t="s">
        <v>158</v>
      </c>
      <c r="E350" s="58">
        <v>3009759</v>
      </c>
      <c r="G350" s="56">
        <f t="shared" si="24"/>
        <v>25187254</v>
      </c>
      <c r="H350" s="51"/>
      <c r="I350" s="51"/>
      <c r="J350" s="51"/>
      <c r="K350" s="51"/>
      <c r="L350" s="51"/>
      <c r="M350" s="51"/>
    </row>
    <row r="351" spans="1:13" x14ac:dyDescent="0.25">
      <c r="A351" s="51"/>
      <c r="B351" s="50" t="s">
        <v>46</v>
      </c>
      <c r="C351" s="50"/>
      <c r="D351" s="54"/>
      <c r="E351" s="59"/>
      <c r="H351" s="51"/>
      <c r="I351" s="51"/>
      <c r="J351" s="51"/>
      <c r="K351" s="51"/>
      <c r="L351" s="51"/>
      <c r="M351" s="51"/>
    </row>
    <row r="352" spans="1:13" x14ac:dyDescent="0.25">
      <c r="A352" s="47">
        <v>45292</v>
      </c>
      <c r="B352" s="43" t="s">
        <v>0</v>
      </c>
      <c r="C352" s="48" t="s">
        <v>1</v>
      </c>
      <c r="D352" s="55"/>
      <c r="E352" s="60"/>
      <c r="F352" s="49">
        <v>277497870</v>
      </c>
      <c r="G352" s="56"/>
      <c r="H352" s="49"/>
      <c r="I352" s="51"/>
      <c r="K352" s="49"/>
      <c r="L352" s="49"/>
      <c r="M352" s="49"/>
    </row>
    <row r="353" spans="1:13" ht="13" customHeight="1" x14ac:dyDescent="0.25">
      <c r="A353" s="47">
        <v>45316</v>
      </c>
      <c r="B353" s="43" t="s">
        <v>6</v>
      </c>
      <c r="C353" s="48" t="s">
        <v>159</v>
      </c>
      <c r="D353" s="55"/>
      <c r="E353" s="61">
        <v>1844028</v>
      </c>
      <c r="G353" s="56">
        <f>F352-E353</f>
        <v>275653842</v>
      </c>
      <c r="H353" s="51"/>
      <c r="J353" s="49"/>
      <c r="K353" s="49"/>
      <c r="L353" s="49"/>
      <c r="M353" s="49"/>
    </row>
    <row r="354" spans="1:13" ht="13" customHeight="1" x14ac:dyDescent="0.25">
      <c r="A354" s="47">
        <v>45345</v>
      </c>
      <c r="B354" s="43" t="s">
        <v>6</v>
      </c>
      <c r="C354" s="48" t="s">
        <v>159</v>
      </c>
      <c r="D354" s="55"/>
      <c r="E354" s="61">
        <v>1860931</v>
      </c>
      <c r="G354" s="56">
        <f>G353-E354</f>
        <v>273792911</v>
      </c>
      <c r="H354" s="51"/>
      <c r="J354" s="49"/>
      <c r="K354" s="49"/>
      <c r="L354" s="49"/>
      <c r="M354" s="49"/>
    </row>
    <row r="355" spans="1:13" ht="13" customHeight="1" x14ac:dyDescent="0.25">
      <c r="A355" s="47">
        <v>45376</v>
      </c>
      <c r="B355" s="43" t="s">
        <v>6</v>
      </c>
      <c r="C355" s="48" t="s">
        <v>159</v>
      </c>
      <c r="D355" s="55"/>
      <c r="E355" s="61">
        <v>1877990</v>
      </c>
      <c r="G355" s="56">
        <f t="shared" ref="G355:G364" si="25">G354-E355</f>
        <v>271914921</v>
      </c>
      <c r="H355" s="51"/>
      <c r="J355" s="49"/>
      <c r="K355" s="49"/>
      <c r="L355" s="49"/>
      <c r="M355" s="49"/>
    </row>
    <row r="356" spans="1:13" ht="13" customHeight="1" x14ac:dyDescent="0.25">
      <c r="A356" s="47">
        <v>45407</v>
      </c>
      <c r="B356" s="43" t="s">
        <v>6</v>
      </c>
      <c r="C356" s="48" t="s">
        <v>159</v>
      </c>
      <c r="D356" s="55"/>
      <c r="E356" s="61">
        <v>1895205</v>
      </c>
      <c r="G356" s="56">
        <f t="shared" si="25"/>
        <v>270019716</v>
      </c>
      <c r="H356" s="51"/>
      <c r="J356" s="49"/>
      <c r="K356" s="49"/>
      <c r="L356" s="49"/>
      <c r="M356" s="49"/>
    </row>
    <row r="357" spans="1:13" ht="13" customHeight="1" x14ac:dyDescent="0.25">
      <c r="A357" s="47">
        <v>45434</v>
      </c>
      <c r="B357" s="43" t="s">
        <v>6</v>
      </c>
      <c r="C357" s="48" t="s">
        <v>159</v>
      </c>
      <c r="D357" s="55"/>
      <c r="E357" s="61">
        <v>1912578</v>
      </c>
      <c r="G357" s="56">
        <f t="shared" si="25"/>
        <v>268107138</v>
      </c>
      <c r="H357" s="51"/>
      <c r="J357" s="49"/>
      <c r="K357" s="49"/>
      <c r="L357" s="49"/>
      <c r="M357" s="49"/>
    </row>
    <row r="358" spans="1:13" ht="13" customHeight="1" x14ac:dyDescent="0.25">
      <c r="A358" s="47">
        <v>45468</v>
      </c>
      <c r="B358" s="43" t="s">
        <v>6</v>
      </c>
      <c r="C358" s="48" t="s">
        <v>159</v>
      </c>
      <c r="D358" s="55"/>
      <c r="E358" s="61">
        <v>1930110</v>
      </c>
      <c r="G358" s="56">
        <f t="shared" si="25"/>
        <v>266177028</v>
      </c>
      <c r="H358" s="51"/>
      <c r="J358" s="49"/>
      <c r="K358" s="49"/>
      <c r="L358" s="49"/>
      <c r="M358" s="49"/>
    </row>
    <row r="359" spans="1:13" ht="13" customHeight="1" x14ac:dyDescent="0.25">
      <c r="A359" s="47">
        <v>45498</v>
      </c>
      <c r="B359" s="43" t="s">
        <v>6</v>
      </c>
      <c r="C359" s="48" t="s">
        <v>159</v>
      </c>
      <c r="D359" s="55"/>
      <c r="E359" s="61">
        <v>1947802</v>
      </c>
      <c r="G359" s="56">
        <f t="shared" si="25"/>
        <v>264229226</v>
      </c>
      <c r="H359" s="51"/>
      <c r="J359" s="49"/>
      <c r="K359" s="49"/>
      <c r="L359" s="49"/>
      <c r="M359" s="49"/>
    </row>
    <row r="360" spans="1:13" ht="13" customHeight="1" x14ac:dyDescent="0.25">
      <c r="A360" s="47">
        <v>45527</v>
      </c>
      <c r="B360" s="43" t="s">
        <v>6</v>
      </c>
      <c r="C360" s="48" t="s">
        <v>159</v>
      </c>
      <c r="D360" s="55"/>
      <c r="E360" s="61">
        <v>1965657</v>
      </c>
      <c r="G360" s="56">
        <f t="shared" si="25"/>
        <v>262263569</v>
      </c>
      <c r="H360" s="51"/>
      <c r="J360" s="49"/>
      <c r="K360" s="49"/>
      <c r="L360" s="49"/>
      <c r="M360" s="49"/>
    </row>
    <row r="361" spans="1:13" ht="13" customHeight="1" x14ac:dyDescent="0.25">
      <c r="A361" s="47">
        <v>45560</v>
      </c>
      <c r="B361" s="43" t="s">
        <v>6</v>
      </c>
      <c r="C361" s="48" t="s">
        <v>159</v>
      </c>
      <c r="D361" s="55"/>
      <c r="E361" s="61">
        <v>1983676</v>
      </c>
      <c r="G361" s="56">
        <f t="shared" si="25"/>
        <v>260279893</v>
      </c>
      <c r="H361" s="51"/>
      <c r="J361" s="49"/>
      <c r="K361" s="49"/>
      <c r="L361" s="49"/>
      <c r="M361" s="49"/>
    </row>
    <row r="362" spans="1:13" ht="13" customHeight="1" x14ac:dyDescent="0.25">
      <c r="A362" s="47">
        <v>45590</v>
      </c>
      <c r="B362" s="43" t="s">
        <v>6</v>
      </c>
      <c r="C362" s="48" t="s">
        <v>159</v>
      </c>
      <c r="D362" s="55"/>
      <c r="E362" s="61">
        <v>2001859</v>
      </c>
      <c r="G362" s="56">
        <f t="shared" si="25"/>
        <v>258278034</v>
      </c>
      <c r="H362" s="51"/>
      <c r="J362" s="49"/>
      <c r="K362" s="49"/>
      <c r="L362" s="49"/>
      <c r="M362" s="49"/>
    </row>
    <row r="363" spans="1:13" x14ac:dyDescent="0.25">
      <c r="A363" s="47">
        <v>45621</v>
      </c>
      <c r="B363" s="43" t="s">
        <v>6</v>
      </c>
      <c r="C363" s="48" t="s">
        <v>159</v>
      </c>
      <c r="E363" s="58">
        <v>2020210</v>
      </c>
      <c r="G363" s="56">
        <f t="shared" si="25"/>
        <v>256257824</v>
      </c>
      <c r="H363" s="51"/>
      <c r="I363" s="51"/>
      <c r="J363" s="51"/>
      <c r="K363" s="51"/>
      <c r="L363" s="51"/>
      <c r="M363" s="51"/>
    </row>
    <row r="364" spans="1:13" x14ac:dyDescent="0.25">
      <c r="A364" s="47">
        <v>45649</v>
      </c>
      <c r="B364" s="43" t="s">
        <v>6</v>
      </c>
      <c r="C364" s="48" t="s">
        <v>159</v>
      </c>
      <c r="E364" s="58">
        <v>2038728</v>
      </c>
      <c r="G364" s="56">
        <f t="shared" si="25"/>
        <v>254219096</v>
      </c>
      <c r="H364" s="51"/>
      <c r="I364" s="51"/>
      <c r="J364" s="51"/>
      <c r="K364" s="51"/>
      <c r="L364" s="51"/>
      <c r="M364" s="51"/>
    </row>
    <row r="365" spans="1:13" x14ac:dyDescent="0.25">
      <c r="A365" s="51"/>
      <c r="B365" s="50" t="s">
        <v>47</v>
      </c>
      <c r="C365" s="50"/>
      <c r="D365" s="54"/>
      <c r="E365" s="59"/>
      <c r="H365" s="51"/>
      <c r="I365" s="51"/>
      <c r="J365" s="51"/>
      <c r="K365" s="51"/>
      <c r="L365" s="51"/>
      <c r="M365" s="51"/>
    </row>
    <row r="366" spans="1:13" x14ac:dyDescent="0.25">
      <c r="A366" s="47">
        <v>45292</v>
      </c>
      <c r="B366" s="43" t="s">
        <v>0</v>
      </c>
      <c r="C366" s="48" t="s">
        <v>1</v>
      </c>
      <c r="D366" s="55"/>
      <c r="E366" s="60"/>
      <c r="F366" s="49">
        <v>417417876</v>
      </c>
      <c r="G366" s="56"/>
      <c r="H366" s="49"/>
      <c r="I366" s="51"/>
      <c r="K366" s="49"/>
      <c r="L366" s="49"/>
      <c r="M366" s="49"/>
    </row>
    <row r="367" spans="1:13" ht="13" customHeight="1" x14ac:dyDescent="0.25">
      <c r="A367" s="47">
        <v>45316</v>
      </c>
      <c r="B367" s="43" t="s">
        <v>6</v>
      </c>
      <c r="C367" s="48" t="s">
        <v>160</v>
      </c>
      <c r="D367" s="55"/>
      <c r="E367" s="61">
        <v>5772531</v>
      </c>
      <c r="G367" s="56">
        <f>F366-E367</f>
        <v>411645345</v>
      </c>
      <c r="H367" s="51"/>
      <c r="J367" s="49"/>
      <c r="K367" s="49"/>
      <c r="L367" s="49"/>
      <c r="M367" s="49"/>
    </row>
    <row r="368" spans="1:13" ht="13" customHeight="1" x14ac:dyDescent="0.25">
      <c r="A368" s="47">
        <v>45345</v>
      </c>
      <c r="B368" s="43" t="s">
        <v>6</v>
      </c>
      <c r="C368" s="48" t="s">
        <v>160</v>
      </c>
      <c r="D368" s="55"/>
      <c r="E368" s="61">
        <v>5824243</v>
      </c>
      <c r="G368" s="56">
        <f>G367-E368</f>
        <v>405821102</v>
      </c>
      <c r="H368" s="51"/>
      <c r="J368" s="49"/>
      <c r="K368" s="49"/>
      <c r="L368" s="49"/>
      <c r="M368" s="49"/>
    </row>
    <row r="369" spans="1:13" ht="13" customHeight="1" x14ac:dyDescent="0.25">
      <c r="A369" s="47">
        <v>45376</v>
      </c>
      <c r="B369" s="43" t="s">
        <v>6</v>
      </c>
      <c r="C369" s="48" t="s">
        <v>160</v>
      </c>
      <c r="D369" s="55"/>
      <c r="E369" s="61">
        <v>5876419</v>
      </c>
      <c r="G369" s="56">
        <f t="shared" ref="G369:G378" si="26">G368-E369</f>
        <v>399944683</v>
      </c>
      <c r="H369" s="51"/>
      <c r="J369" s="49"/>
      <c r="K369" s="49"/>
      <c r="L369" s="49"/>
      <c r="M369" s="49"/>
    </row>
    <row r="370" spans="1:13" ht="13" customHeight="1" x14ac:dyDescent="0.25">
      <c r="A370" s="47">
        <v>45407</v>
      </c>
      <c r="B370" s="43" t="s">
        <v>6</v>
      </c>
      <c r="C370" s="48" t="s">
        <v>160</v>
      </c>
      <c r="D370" s="55"/>
      <c r="E370" s="61">
        <v>5929062</v>
      </c>
      <c r="G370" s="56">
        <f t="shared" si="26"/>
        <v>394015621</v>
      </c>
      <c r="H370" s="51"/>
      <c r="J370" s="49"/>
      <c r="K370" s="49"/>
      <c r="L370" s="49"/>
      <c r="M370" s="49"/>
    </row>
    <row r="371" spans="1:13" ht="13" customHeight="1" x14ac:dyDescent="0.25">
      <c r="A371" s="47">
        <v>45434</v>
      </c>
      <c r="B371" s="43" t="s">
        <v>6</v>
      </c>
      <c r="C371" s="48" t="s">
        <v>161</v>
      </c>
      <c r="D371" s="55"/>
      <c r="E371" s="61">
        <v>5982176</v>
      </c>
      <c r="G371" s="56">
        <f t="shared" si="26"/>
        <v>388033445</v>
      </c>
      <c r="H371" s="51"/>
      <c r="J371" s="49"/>
      <c r="K371" s="49"/>
      <c r="L371" s="49"/>
      <c r="M371" s="49"/>
    </row>
    <row r="372" spans="1:13" ht="13" customHeight="1" x14ac:dyDescent="0.25">
      <c r="A372" s="47">
        <v>45468</v>
      </c>
      <c r="B372" s="43" t="s">
        <v>6</v>
      </c>
      <c r="C372" s="48" t="s">
        <v>160</v>
      </c>
      <c r="D372" s="55"/>
      <c r="E372" s="61">
        <v>6035767</v>
      </c>
      <c r="G372" s="56">
        <f t="shared" si="26"/>
        <v>381997678</v>
      </c>
      <c r="H372" s="51"/>
      <c r="J372" s="49"/>
      <c r="K372" s="49"/>
      <c r="L372" s="49"/>
      <c r="M372" s="49"/>
    </row>
    <row r="373" spans="1:13" ht="13" customHeight="1" x14ac:dyDescent="0.25">
      <c r="A373" s="47">
        <v>45498</v>
      </c>
      <c r="B373" s="43" t="s">
        <v>6</v>
      </c>
      <c r="C373" s="48" t="s">
        <v>160</v>
      </c>
      <c r="D373" s="55"/>
      <c r="E373" s="61">
        <v>6089837</v>
      </c>
      <c r="G373" s="56">
        <f t="shared" si="26"/>
        <v>375907841</v>
      </c>
      <c r="H373" s="51"/>
      <c r="J373" s="49"/>
      <c r="K373" s="49"/>
      <c r="L373" s="49"/>
      <c r="M373" s="49"/>
    </row>
    <row r="374" spans="1:13" ht="13" customHeight="1" x14ac:dyDescent="0.25">
      <c r="A374" s="47">
        <v>45527</v>
      </c>
      <c r="B374" s="43" t="s">
        <v>6</v>
      </c>
      <c r="C374" s="48" t="s">
        <v>160</v>
      </c>
      <c r="D374" s="55"/>
      <c r="E374" s="61">
        <v>6144392</v>
      </c>
      <c r="G374" s="56">
        <f t="shared" si="26"/>
        <v>369763449</v>
      </c>
      <c r="H374" s="51"/>
      <c r="J374" s="49"/>
      <c r="K374" s="49"/>
      <c r="L374" s="49"/>
      <c r="M374" s="49"/>
    </row>
    <row r="375" spans="1:13" ht="13" customHeight="1" x14ac:dyDescent="0.25">
      <c r="A375" s="47">
        <v>45560</v>
      </c>
      <c r="B375" s="43" t="s">
        <v>6</v>
      </c>
      <c r="C375" s="48" t="s">
        <v>160</v>
      </c>
      <c r="D375" s="55"/>
      <c r="E375" s="61">
        <v>6199435</v>
      </c>
      <c r="G375" s="56">
        <f t="shared" si="26"/>
        <v>363564014</v>
      </c>
      <c r="H375" s="51"/>
      <c r="J375" s="49"/>
      <c r="K375" s="49"/>
      <c r="L375" s="49"/>
      <c r="M375" s="49"/>
    </row>
    <row r="376" spans="1:13" ht="13" customHeight="1" x14ac:dyDescent="0.25">
      <c r="A376" s="47">
        <v>45590</v>
      </c>
      <c r="B376" s="43" t="s">
        <v>6</v>
      </c>
      <c r="C376" s="48" t="s">
        <v>160</v>
      </c>
      <c r="D376" s="55"/>
      <c r="E376" s="61">
        <v>6254972</v>
      </c>
      <c r="G376" s="56">
        <f t="shared" si="26"/>
        <v>357309042</v>
      </c>
      <c r="H376" s="51"/>
      <c r="J376" s="49"/>
      <c r="K376" s="49"/>
      <c r="L376" s="49"/>
      <c r="M376" s="49"/>
    </row>
    <row r="377" spans="1:13" ht="26" x14ac:dyDescent="0.25">
      <c r="A377" s="47">
        <v>45621</v>
      </c>
      <c r="B377" s="43" t="s">
        <v>6</v>
      </c>
      <c r="C377" s="48" t="s">
        <v>160</v>
      </c>
      <c r="E377" s="58">
        <v>6311006</v>
      </c>
      <c r="G377" s="56">
        <f t="shared" si="26"/>
        <v>350998036</v>
      </c>
      <c r="H377" s="51"/>
      <c r="I377" s="51"/>
      <c r="J377" s="51"/>
      <c r="K377" s="51"/>
      <c r="L377" s="51"/>
      <c r="M377" s="51"/>
    </row>
    <row r="378" spans="1:13" ht="26" x14ac:dyDescent="0.25">
      <c r="A378" s="47">
        <v>45649</v>
      </c>
      <c r="B378" s="43" t="s">
        <v>6</v>
      </c>
      <c r="C378" s="48" t="s">
        <v>160</v>
      </c>
      <c r="E378" s="58">
        <v>6367542</v>
      </c>
      <c r="G378" s="56">
        <f t="shared" si="26"/>
        <v>344630494</v>
      </c>
      <c r="H378" s="51"/>
      <c r="I378" s="51"/>
      <c r="J378" s="51"/>
      <c r="K378" s="51"/>
      <c r="L378" s="51"/>
      <c r="M378" s="51"/>
    </row>
    <row r="379" spans="1:13" x14ac:dyDescent="0.25">
      <c r="A379" s="51"/>
      <c r="B379" s="50" t="s">
        <v>162</v>
      </c>
      <c r="C379" s="50"/>
      <c r="D379" s="54"/>
      <c r="E379" s="59"/>
      <c r="H379" s="51"/>
      <c r="I379" s="51"/>
      <c r="J379" s="51"/>
      <c r="K379" s="51"/>
      <c r="L379" s="51"/>
      <c r="M379" s="51"/>
    </row>
    <row r="380" spans="1:13" x14ac:dyDescent="0.25">
      <c r="A380" s="47">
        <v>45292</v>
      </c>
      <c r="B380" s="43" t="s">
        <v>0</v>
      </c>
      <c r="C380" s="48" t="s">
        <v>1</v>
      </c>
      <c r="D380" s="55"/>
      <c r="E380" s="60"/>
      <c r="F380" s="49">
        <v>295046812</v>
      </c>
      <c r="G380" s="56"/>
      <c r="H380" s="49"/>
      <c r="I380" s="51"/>
      <c r="K380" s="49"/>
      <c r="L380" s="49"/>
      <c r="M380" s="49"/>
    </row>
    <row r="381" spans="1:13" ht="13" customHeight="1" x14ac:dyDescent="0.25">
      <c r="A381" s="47">
        <v>45316</v>
      </c>
      <c r="B381" s="43" t="s">
        <v>6</v>
      </c>
      <c r="C381" s="48" t="s">
        <v>163</v>
      </c>
      <c r="D381" s="55"/>
      <c r="E381" s="61">
        <v>6629126</v>
      </c>
      <c r="G381" s="56">
        <f>F380-E381</f>
        <v>288417686</v>
      </c>
      <c r="H381" s="51"/>
      <c r="J381" s="49"/>
      <c r="K381" s="49"/>
      <c r="L381" s="49"/>
      <c r="M381" s="49"/>
    </row>
    <row r="382" spans="1:13" ht="13" customHeight="1" x14ac:dyDescent="0.25">
      <c r="A382" s="47">
        <v>45345</v>
      </c>
      <c r="B382" s="43" t="s">
        <v>6</v>
      </c>
      <c r="C382" s="48" t="s">
        <v>163</v>
      </c>
      <c r="D382" s="55"/>
      <c r="E382" s="61">
        <v>6695417</v>
      </c>
      <c r="G382" s="56">
        <f>G381-E382</f>
        <v>281722269</v>
      </c>
      <c r="H382" s="51"/>
      <c r="J382" s="49"/>
      <c r="K382" s="49"/>
      <c r="L382" s="49"/>
      <c r="M382" s="49"/>
    </row>
    <row r="383" spans="1:13" ht="13" customHeight="1" x14ac:dyDescent="0.25">
      <c r="A383" s="47">
        <v>45376</v>
      </c>
      <c r="B383" s="43" t="s">
        <v>6</v>
      </c>
      <c r="C383" s="48" t="s">
        <v>163</v>
      </c>
      <c r="D383" s="55"/>
      <c r="E383" s="61">
        <v>6762372</v>
      </c>
      <c r="G383" s="56">
        <f t="shared" ref="G383:G392" si="27">G382-E383</f>
        <v>274959897</v>
      </c>
      <c r="H383" s="51"/>
      <c r="J383" s="49"/>
      <c r="K383" s="49"/>
      <c r="L383" s="49"/>
      <c r="M383" s="49"/>
    </row>
    <row r="384" spans="1:13" ht="13" customHeight="1" x14ac:dyDescent="0.25">
      <c r="A384" s="47">
        <v>45407</v>
      </c>
      <c r="B384" s="43" t="s">
        <v>6</v>
      </c>
      <c r="C384" s="48" t="s">
        <v>163</v>
      </c>
      <c r="D384" s="55"/>
      <c r="E384" s="61">
        <v>6829995</v>
      </c>
      <c r="G384" s="56">
        <f t="shared" si="27"/>
        <v>268129902</v>
      </c>
      <c r="H384" s="51"/>
      <c r="J384" s="49"/>
      <c r="K384" s="49"/>
      <c r="L384" s="49"/>
      <c r="M384" s="49"/>
    </row>
    <row r="385" spans="1:13" ht="13" customHeight="1" x14ac:dyDescent="0.25">
      <c r="A385" s="47">
        <v>45434</v>
      </c>
      <c r="B385" s="43" t="s">
        <v>6</v>
      </c>
      <c r="C385" s="48" t="s">
        <v>163</v>
      </c>
      <c r="D385" s="55"/>
      <c r="E385" s="61">
        <v>6898295</v>
      </c>
      <c r="G385" s="56">
        <f t="shared" si="27"/>
        <v>261231607</v>
      </c>
      <c r="H385" s="51"/>
      <c r="J385" s="49"/>
      <c r="K385" s="49"/>
      <c r="L385" s="49"/>
      <c r="M385" s="49"/>
    </row>
    <row r="386" spans="1:13" ht="13" customHeight="1" x14ac:dyDescent="0.25">
      <c r="A386" s="47">
        <v>45468</v>
      </c>
      <c r="B386" s="43" t="s">
        <v>6</v>
      </c>
      <c r="C386" s="48" t="s">
        <v>163</v>
      </c>
      <c r="D386" s="55"/>
      <c r="E386" s="61">
        <v>6967278</v>
      </c>
      <c r="G386" s="56">
        <f t="shared" si="27"/>
        <v>254264329</v>
      </c>
      <c r="H386" s="51"/>
      <c r="J386" s="49"/>
      <c r="K386" s="49"/>
      <c r="L386" s="49"/>
      <c r="M386" s="49"/>
    </row>
    <row r="387" spans="1:13" ht="13" customHeight="1" x14ac:dyDescent="0.25">
      <c r="A387" s="47">
        <v>45498</v>
      </c>
      <c r="B387" s="43" t="s">
        <v>6</v>
      </c>
      <c r="C387" s="48" t="s">
        <v>163</v>
      </c>
      <c r="D387" s="55"/>
      <c r="E387" s="61">
        <v>7036951</v>
      </c>
      <c r="G387" s="56">
        <f t="shared" si="27"/>
        <v>247227378</v>
      </c>
      <c r="H387" s="51"/>
      <c r="J387" s="49"/>
      <c r="K387" s="49"/>
      <c r="L387" s="49"/>
      <c r="M387" s="49"/>
    </row>
    <row r="388" spans="1:13" ht="13" customHeight="1" x14ac:dyDescent="0.25">
      <c r="A388" s="47">
        <v>45527</v>
      </c>
      <c r="B388" s="43" t="s">
        <v>6</v>
      </c>
      <c r="C388" s="48" t="s">
        <v>163</v>
      </c>
      <c r="D388" s="55"/>
      <c r="E388" s="61">
        <v>7107321</v>
      </c>
      <c r="G388" s="56">
        <f t="shared" si="27"/>
        <v>240120057</v>
      </c>
      <c r="H388" s="51"/>
      <c r="J388" s="49"/>
      <c r="K388" s="49"/>
      <c r="L388" s="49"/>
      <c r="M388" s="49"/>
    </row>
    <row r="389" spans="1:13" ht="13" customHeight="1" x14ac:dyDescent="0.25">
      <c r="A389" s="47">
        <v>45560</v>
      </c>
      <c r="B389" s="43" t="s">
        <v>6</v>
      </c>
      <c r="C389" s="48" t="s">
        <v>163</v>
      </c>
      <c r="D389" s="55"/>
      <c r="E389" s="61">
        <v>7178394</v>
      </c>
      <c r="G389" s="56">
        <f t="shared" si="27"/>
        <v>232941663</v>
      </c>
      <c r="H389" s="51"/>
      <c r="J389" s="49"/>
      <c r="K389" s="49"/>
      <c r="L389" s="49"/>
      <c r="M389" s="49"/>
    </row>
    <row r="390" spans="1:13" ht="13" customHeight="1" x14ac:dyDescent="0.25">
      <c r="A390" s="47">
        <v>45590</v>
      </c>
      <c r="B390" s="43" t="s">
        <v>6</v>
      </c>
      <c r="C390" s="48" t="s">
        <v>163</v>
      </c>
      <c r="D390" s="55"/>
      <c r="E390" s="61">
        <v>7250178</v>
      </c>
      <c r="G390" s="56">
        <f t="shared" si="27"/>
        <v>225691485</v>
      </c>
      <c r="H390" s="51"/>
      <c r="J390" s="49"/>
      <c r="K390" s="49"/>
      <c r="L390" s="49"/>
      <c r="M390" s="49"/>
    </row>
    <row r="391" spans="1:13" ht="26" x14ac:dyDescent="0.25">
      <c r="A391" s="57">
        <v>45621</v>
      </c>
      <c r="B391" s="51"/>
      <c r="C391" s="48" t="s">
        <v>163</v>
      </c>
      <c r="E391" s="58">
        <v>7322679</v>
      </c>
      <c r="G391" s="56">
        <f t="shared" si="27"/>
        <v>218368806</v>
      </c>
      <c r="H391" s="51"/>
      <c r="I391" s="51"/>
      <c r="J391" s="51"/>
      <c r="K391" s="51"/>
      <c r="L391" s="51"/>
      <c r="M391" s="51"/>
    </row>
    <row r="392" spans="1:13" ht="26" x14ac:dyDescent="0.25">
      <c r="A392" s="57">
        <v>45649</v>
      </c>
      <c r="B392" s="51"/>
      <c r="C392" s="48" t="s">
        <v>163</v>
      </c>
      <c r="G392" s="56">
        <f t="shared" si="27"/>
        <v>218368806</v>
      </c>
      <c r="H392" s="51"/>
      <c r="I392" s="51"/>
      <c r="J392" s="51"/>
      <c r="K392" s="51"/>
      <c r="L392" s="51"/>
      <c r="M392" s="51"/>
    </row>
    <row r="393" spans="1:13" x14ac:dyDescent="0.25">
      <c r="A393" s="51"/>
      <c r="B393" s="50" t="s">
        <v>164</v>
      </c>
      <c r="C393" s="50"/>
      <c r="D393" s="54"/>
      <c r="E393" s="59"/>
      <c r="H393" s="51"/>
      <c r="I393" s="51"/>
      <c r="J393" s="51"/>
      <c r="K393" s="51"/>
      <c r="L393" s="51"/>
      <c r="M393" s="51"/>
    </row>
    <row r="394" spans="1:13" x14ac:dyDescent="0.25">
      <c r="A394" s="47">
        <v>45292</v>
      </c>
      <c r="B394" s="43" t="s">
        <v>0</v>
      </c>
      <c r="C394" s="48" t="s">
        <v>1</v>
      </c>
      <c r="D394" s="55"/>
      <c r="E394" s="60"/>
      <c r="F394" s="49">
        <v>98386216</v>
      </c>
      <c r="G394" s="56"/>
      <c r="H394" s="49"/>
      <c r="I394" s="51"/>
      <c r="K394" s="49"/>
      <c r="L394" s="49"/>
      <c r="M394" s="49"/>
    </row>
    <row r="395" spans="1:13" ht="13" customHeight="1" x14ac:dyDescent="0.25">
      <c r="A395" s="47">
        <v>45316</v>
      </c>
      <c r="B395" s="43" t="s">
        <v>6</v>
      </c>
      <c r="C395" s="48" t="s">
        <v>165</v>
      </c>
      <c r="D395" s="55"/>
      <c r="E395" s="61">
        <v>817751</v>
      </c>
      <c r="G395" s="56">
        <f>F394-E395</f>
        <v>97568465</v>
      </c>
      <c r="H395" s="51"/>
      <c r="J395" s="49"/>
      <c r="K395" s="49"/>
      <c r="L395" s="49"/>
      <c r="M395" s="49"/>
    </row>
    <row r="396" spans="1:13" ht="13" customHeight="1" x14ac:dyDescent="0.25">
      <c r="A396" s="47">
        <v>45345</v>
      </c>
      <c r="B396" s="43" t="s">
        <v>6</v>
      </c>
      <c r="C396" s="48" t="s">
        <v>165</v>
      </c>
      <c r="D396" s="55"/>
      <c r="E396" s="61">
        <v>825076</v>
      </c>
      <c r="G396" s="56">
        <f>G395-E396</f>
        <v>96743389</v>
      </c>
      <c r="H396" s="51"/>
      <c r="J396" s="49"/>
      <c r="K396" s="49"/>
      <c r="L396" s="49"/>
      <c r="M396" s="49"/>
    </row>
    <row r="397" spans="1:13" ht="13" customHeight="1" x14ac:dyDescent="0.25">
      <c r="A397" s="47">
        <v>45376</v>
      </c>
      <c r="B397" s="43" t="s">
        <v>6</v>
      </c>
      <c r="C397" s="48" t="s">
        <v>165</v>
      </c>
      <c r="D397" s="55"/>
      <c r="E397" s="61">
        <v>832468</v>
      </c>
      <c r="G397" s="56">
        <f t="shared" ref="G397:G406" si="28">G396-E397</f>
        <v>95910921</v>
      </c>
      <c r="H397" s="51"/>
      <c r="J397" s="49"/>
      <c r="K397" s="49"/>
      <c r="L397" s="49"/>
      <c r="M397" s="49"/>
    </row>
    <row r="398" spans="1:13" ht="13" customHeight="1" x14ac:dyDescent="0.25">
      <c r="A398" s="47">
        <v>45407</v>
      </c>
      <c r="B398" s="43" t="s">
        <v>6</v>
      </c>
      <c r="C398" s="48" t="s">
        <v>165</v>
      </c>
      <c r="D398" s="55"/>
      <c r="E398" s="61">
        <v>839925</v>
      </c>
      <c r="G398" s="56">
        <f t="shared" si="28"/>
        <v>95070996</v>
      </c>
      <c r="H398" s="51"/>
      <c r="J398" s="49"/>
      <c r="K398" s="49"/>
      <c r="L398" s="49"/>
      <c r="M398" s="49"/>
    </row>
    <row r="399" spans="1:13" ht="13" customHeight="1" x14ac:dyDescent="0.25">
      <c r="A399" s="47">
        <v>45434</v>
      </c>
      <c r="B399" s="43" t="s">
        <v>6</v>
      </c>
      <c r="C399" s="48" t="s">
        <v>165</v>
      </c>
      <c r="D399" s="55"/>
      <c r="E399" s="61">
        <v>847449</v>
      </c>
      <c r="G399" s="56">
        <f t="shared" si="28"/>
        <v>94223547</v>
      </c>
      <c r="H399" s="51"/>
      <c r="J399" s="49"/>
      <c r="K399" s="49"/>
      <c r="L399" s="49"/>
      <c r="M399" s="49"/>
    </row>
    <row r="400" spans="1:13" ht="13" customHeight="1" x14ac:dyDescent="0.25">
      <c r="A400" s="47">
        <v>45468</v>
      </c>
      <c r="B400" s="43" t="s">
        <v>6</v>
      </c>
      <c r="C400" s="48" t="s">
        <v>165</v>
      </c>
      <c r="D400" s="55"/>
      <c r="E400" s="61">
        <v>855041</v>
      </c>
      <c r="G400" s="56">
        <f t="shared" si="28"/>
        <v>93368506</v>
      </c>
      <c r="H400" s="51"/>
      <c r="J400" s="49"/>
      <c r="K400" s="49"/>
      <c r="L400" s="49"/>
      <c r="M400" s="49"/>
    </row>
    <row r="401" spans="1:13" ht="13" customHeight="1" x14ac:dyDescent="0.25">
      <c r="A401" s="47">
        <v>45498</v>
      </c>
      <c r="B401" s="43" t="s">
        <v>6</v>
      </c>
      <c r="C401" s="48" t="s">
        <v>165</v>
      </c>
      <c r="D401" s="55"/>
      <c r="E401" s="61">
        <v>862701</v>
      </c>
      <c r="G401" s="56">
        <f t="shared" si="28"/>
        <v>92505805</v>
      </c>
      <c r="H401" s="51"/>
      <c r="J401" s="49"/>
      <c r="K401" s="49"/>
      <c r="L401" s="49"/>
      <c r="M401" s="49"/>
    </row>
    <row r="402" spans="1:13" ht="13" customHeight="1" x14ac:dyDescent="0.25">
      <c r="A402" s="47">
        <v>45527</v>
      </c>
      <c r="B402" s="43" t="s">
        <v>6</v>
      </c>
      <c r="C402" s="48" t="s">
        <v>165</v>
      </c>
      <c r="D402" s="55"/>
      <c r="E402" s="61">
        <v>870429</v>
      </c>
      <c r="G402" s="56">
        <f t="shared" si="28"/>
        <v>91635376</v>
      </c>
      <c r="H402" s="51"/>
      <c r="J402" s="49"/>
      <c r="K402" s="49"/>
      <c r="L402" s="49"/>
      <c r="M402" s="49"/>
    </row>
    <row r="403" spans="1:13" ht="13" customHeight="1" x14ac:dyDescent="0.25">
      <c r="A403" s="47">
        <v>45560</v>
      </c>
      <c r="B403" s="43" t="s">
        <v>6</v>
      </c>
      <c r="C403" s="48" t="s">
        <v>165</v>
      </c>
      <c r="D403" s="55"/>
      <c r="E403" s="61">
        <v>878227</v>
      </c>
      <c r="G403" s="56">
        <f t="shared" si="28"/>
        <v>90757149</v>
      </c>
      <c r="H403" s="51"/>
      <c r="J403" s="49"/>
      <c r="K403" s="49"/>
      <c r="L403" s="49"/>
      <c r="M403" s="49"/>
    </row>
    <row r="404" spans="1:13" ht="13" customHeight="1" x14ac:dyDescent="0.25">
      <c r="A404" s="47">
        <v>45590</v>
      </c>
      <c r="B404" s="43" t="s">
        <v>6</v>
      </c>
      <c r="C404" s="48" t="s">
        <v>165</v>
      </c>
      <c r="D404" s="55"/>
      <c r="E404" s="61">
        <v>886094</v>
      </c>
      <c r="G404" s="56">
        <f t="shared" si="28"/>
        <v>89871055</v>
      </c>
      <c r="H404" s="51"/>
      <c r="J404" s="49"/>
      <c r="K404" s="49"/>
      <c r="L404" s="49"/>
      <c r="M404" s="49"/>
    </row>
    <row r="405" spans="1:13" ht="26" x14ac:dyDescent="0.25">
      <c r="A405" s="47">
        <v>45621</v>
      </c>
      <c r="B405" s="43" t="s">
        <v>6</v>
      </c>
      <c r="C405" s="48" t="s">
        <v>165</v>
      </c>
      <c r="E405" s="58">
        <v>894032</v>
      </c>
      <c r="G405" s="56">
        <f t="shared" si="28"/>
        <v>88977023</v>
      </c>
      <c r="H405" s="51"/>
      <c r="I405" s="51"/>
      <c r="J405" s="51"/>
      <c r="K405" s="51"/>
      <c r="L405" s="51"/>
      <c r="M405" s="51"/>
    </row>
    <row r="406" spans="1:13" ht="26" x14ac:dyDescent="0.25">
      <c r="A406" s="47">
        <v>45649</v>
      </c>
      <c r="B406" s="43" t="s">
        <v>6</v>
      </c>
      <c r="C406" s="48" t="s">
        <v>165</v>
      </c>
      <c r="E406" s="58">
        <v>902041</v>
      </c>
      <c r="G406" s="56">
        <f t="shared" si="28"/>
        <v>88074982</v>
      </c>
      <c r="H406" s="51"/>
      <c r="I406" s="51"/>
      <c r="J406" s="51"/>
      <c r="K406" s="51"/>
      <c r="L406" s="51"/>
      <c r="M406" s="51"/>
    </row>
    <row r="407" spans="1:13" x14ac:dyDescent="0.25">
      <c r="A407" s="51"/>
      <c r="B407" s="50" t="s">
        <v>166</v>
      </c>
      <c r="C407" s="50"/>
      <c r="D407" s="54"/>
      <c r="E407" s="59"/>
      <c r="H407" s="51"/>
      <c r="I407" s="51"/>
      <c r="J407" s="51"/>
      <c r="K407" s="51"/>
      <c r="L407" s="51"/>
      <c r="M407" s="51"/>
    </row>
    <row r="408" spans="1:13" x14ac:dyDescent="0.25">
      <c r="A408" s="47">
        <v>45292</v>
      </c>
      <c r="B408" s="43" t="s">
        <v>0</v>
      </c>
      <c r="C408" s="48" t="s">
        <v>1</v>
      </c>
      <c r="D408" s="55"/>
      <c r="E408" s="60"/>
      <c r="F408" s="49">
        <v>353040989</v>
      </c>
      <c r="G408" s="56"/>
      <c r="H408" s="49"/>
      <c r="I408" s="51"/>
      <c r="K408" s="49"/>
      <c r="L408" s="49"/>
      <c r="M408" s="49"/>
    </row>
    <row r="409" spans="1:13" ht="13" customHeight="1" x14ac:dyDescent="0.25">
      <c r="A409" s="47">
        <v>45316</v>
      </c>
      <c r="B409" s="43" t="s">
        <v>6</v>
      </c>
      <c r="C409" s="48" t="s">
        <v>167</v>
      </c>
      <c r="D409" s="55"/>
      <c r="E409" s="61">
        <v>2273791</v>
      </c>
      <c r="G409" s="56">
        <f>F408-E409</f>
        <v>350767198</v>
      </c>
      <c r="H409" s="51"/>
      <c r="J409" s="49"/>
      <c r="K409" s="49"/>
      <c r="L409" s="49"/>
      <c r="M409" s="49"/>
    </row>
    <row r="410" spans="1:13" ht="13" customHeight="1" x14ac:dyDescent="0.25">
      <c r="A410" s="47">
        <v>45345</v>
      </c>
      <c r="B410" s="43" t="s">
        <v>6</v>
      </c>
      <c r="C410" s="48" t="s">
        <v>167</v>
      </c>
      <c r="D410" s="55"/>
      <c r="E410" s="61">
        <v>2294634</v>
      </c>
      <c r="G410" s="56">
        <f>G409-E410</f>
        <v>348472564</v>
      </c>
      <c r="H410" s="51"/>
      <c r="J410" s="49"/>
      <c r="K410" s="49"/>
      <c r="L410" s="49"/>
      <c r="M410" s="49"/>
    </row>
    <row r="411" spans="1:13" ht="13" customHeight="1" x14ac:dyDescent="0.25">
      <c r="A411" s="47">
        <v>45376</v>
      </c>
      <c r="B411" s="43" t="s">
        <v>6</v>
      </c>
      <c r="C411" s="48" t="s">
        <v>167</v>
      </c>
      <c r="D411" s="55"/>
      <c r="E411" s="61">
        <v>2315669</v>
      </c>
      <c r="G411" s="56">
        <f t="shared" ref="G411:G420" si="29">G410-E411</f>
        <v>346156895</v>
      </c>
      <c r="H411" s="51"/>
      <c r="J411" s="49"/>
      <c r="K411" s="49"/>
      <c r="L411" s="49"/>
      <c r="M411" s="49"/>
    </row>
    <row r="412" spans="1:13" ht="13" customHeight="1" x14ac:dyDescent="0.25">
      <c r="A412" s="47">
        <v>45407</v>
      </c>
      <c r="B412" s="43" t="s">
        <v>6</v>
      </c>
      <c r="C412" s="48" t="s">
        <v>167</v>
      </c>
      <c r="D412" s="55"/>
      <c r="E412" s="61">
        <v>2336896</v>
      </c>
      <c r="G412" s="56">
        <f t="shared" si="29"/>
        <v>343819999</v>
      </c>
      <c r="H412" s="51"/>
      <c r="J412" s="49"/>
      <c r="K412" s="49"/>
      <c r="L412" s="49"/>
      <c r="M412" s="49"/>
    </row>
    <row r="413" spans="1:13" ht="13" customHeight="1" x14ac:dyDescent="0.25">
      <c r="A413" s="47">
        <v>45434</v>
      </c>
      <c r="B413" s="43" t="s">
        <v>6</v>
      </c>
      <c r="C413" s="48" t="s">
        <v>167</v>
      </c>
      <c r="D413" s="55"/>
      <c r="E413" s="61">
        <v>2358317</v>
      </c>
      <c r="G413" s="56">
        <f t="shared" si="29"/>
        <v>341461682</v>
      </c>
      <c r="H413" s="51"/>
      <c r="J413" s="49"/>
      <c r="K413" s="49"/>
      <c r="L413" s="49"/>
      <c r="M413" s="49"/>
    </row>
    <row r="414" spans="1:13" ht="13" customHeight="1" x14ac:dyDescent="0.25">
      <c r="A414" s="47">
        <v>45468</v>
      </c>
      <c r="B414" s="43" t="s">
        <v>6</v>
      </c>
      <c r="C414" s="48" t="s">
        <v>167</v>
      </c>
      <c r="D414" s="55"/>
      <c r="E414" s="61">
        <v>2379935</v>
      </c>
      <c r="G414" s="56">
        <f t="shared" si="29"/>
        <v>339081747</v>
      </c>
      <c r="H414" s="51"/>
      <c r="J414" s="49"/>
      <c r="K414" s="49"/>
      <c r="L414" s="49"/>
      <c r="M414" s="49"/>
    </row>
    <row r="415" spans="1:13" ht="13" customHeight="1" x14ac:dyDescent="0.25">
      <c r="A415" s="47">
        <v>45498</v>
      </c>
      <c r="B415" s="43" t="s">
        <v>6</v>
      </c>
      <c r="C415" s="48" t="s">
        <v>167</v>
      </c>
      <c r="D415" s="55"/>
      <c r="E415" s="61">
        <v>2401751</v>
      </c>
      <c r="G415" s="56">
        <f t="shared" si="29"/>
        <v>336679996</v>
      </c>
      <c r="H415" s="51"/>
      <c r="J415" s="49"/>
      <c r="K415" s="49"/>
      <c r="L415" s="49"/>
      <c r="M415" s="49"/>
    </row>
    <row r="416" spans="1:13" ht="13" customHeight="1" x14ac:dyDescent="0.25">
      <c r="A416" s="47">
        <v>45527</v>
      </c>
      <c r="B416" s="43" t="s">
        <v>6</v>
      </c>
      <c r="C416" s="48" t="s">
        <v>167</v>
      </c>
      <c r="D416" s="55"/>
      <c r="E416" s="61">
        <v>2423767</v>
      </c>
      <c r="G416" s="56">
        <f t="shared" si="29"/>
        <v>334256229</v>
      </c>
      <c r="H416" s="51"/>
      <c r="J416" s="49"/>
      <c r="K416" s="49"/>
      <c r="L416" s="49"/>
      <c r="M416" s="49"/>
    </row>
    <row r="417" spans="1:13" ht="13" customHeight="1" x14ac:dyDescent="0.25">
      <c r="A417" s="47">
        <v>45560</v>
      </c>
      <c r="B417" s="43" t="s">
        <v>6</v>
      </c>
      <c r="C417" s="48" t="s">
        <v>167</v>
      </c>
      <c r="D417" s="55"/>
      <c r="E417" s="61">
        <v>2445985</v>
      </c>
      <c r="G417" s="56">
        <f t="shared" si="29"/>
        <v>331810244</v>
      </c>
      <c r="H417" s="51"/>
      <c r="J417" s="49"/>
      <c r="K417" s="49"/>
      <c r="L417" s="49"/>
      <c r="M417" s="49"/>
    </row>
    <row r="418" spans="1:13" ht="13" customHeight="1" x14ac:dyDescent="0.25">
      <c r="A418" s="47">
        <v>45590</v>
      </c>
      <c r="B418" s="43" t="s">
        <v>6</v>
      </c>
      <c r="C418" s="48" t="s">
        <v>167</v>
      </c>
      <c r="D418" s="55"/>
      <c r="E418" s="61">
        <v>2468407</v>
      </c>
      <c r="G418" s="56">
        <f t="shared" si="29"/>
        <v>329341837</v>
      </c>
      <c r="H418" s="51"/>
      <c r="J418" s="49"/>
      <c r="K418" s="49"/>
      <c r="L418" s="49"/>
      <c r="M418" s="49"/>
    </row>
    <row r="419" spans="1:13" ht="26" x14ac:dyDescent="0.25">
      <c r="A419" s="57">
        <v>45621</v>
      </c>
      <c r="B419" s="51"/>
      <c r="C419" s="48" t="s">
        <v>167</v>
      </c>
      <c r="E419" s="58">
        <v>2491034</v>
      </c>
      <c r="G419" s="56">
        <f t="shared" si="29"/>
        <v>326850803</v>
      </c>
      <c r="H419" s="51"/>
      <c r="I419" s="51"/>
      <c r="J419" s="51"/>
      <c r="K419" s="51"/>
      <c r="L419" s="51"/>
      <c r="M419" s="51"/>
    </row>
    <row r="420" spans="1:13" ht="26" x14ac:dyDescent="0.25">
      <c r="A420" s="57">
        <v>45649</v>
      </c>
      <c r="B420" s="51"/>
      <c r="C420" s="48" t="s">
        <v>167</v>
      </c>
      <c r="E420" s="58">
        <v>2513868</v>
      </c>
      <c r="G420" s="56">
        <f t="shared" si="29"/>
        <v>324336935</v>
      </c>
      <c r="H420" s="51"/>
      <c r="I420" s="51"/>
      <c r="J420" s="51"/>
      <c r="K420" s="51"/>
      <c r="L420" s="51"/>
      <c r="M420" s="51"/>
    </row>
    <row r="421" spans="1:13" x14ac:dyDescent="0.25">
      <c r="A421" s="51"/>
      <c r="B421" s="50" t="s">
        <v>168</v>
      </c>
      <c r="C421" s="50"/>
      <c r="D421" s="54"/>
      <c r="E421" s="59"/>
      <c r="H421" s="51"/>
      <c r="I421" s="51"/>
      <c r="J421" s="51"/>
      <c r="K421" s="51"/>
      <c r="L421" s="51"/>
      <c r="M421" s="51"/>
    </row>
    <row r="422" spans="1:13" x14ac:dyDescent="0.25">
      <c r="A422" s="47">
        <v>45292</v>
      </c>
      <c r="B422" s="43" t="s">
        <v>0</v>
      </c>
      <c r="C422" s="48" t="s">
        <v>1</v>
      </c>
      <c r="D422" s="55"/>
      <c r="E422" s="60"/>
      <c r="F422" s="49">
        <v>148101057</v>
      </c>
      <c r="G422" s="56"/>
      <c r="H422" s="49"/>
      <c r="I422" s="51"/>
      <c r="K422" s="49"/>
      <c r="L422" s="49"/>
      <c r="M422" s="49"/>
    </row>
    <row r="423" spans="1:13" ht="13" customHeight="1" x14ac:dyDescent="0.25">
      <c r="A423" s="47">
        <v>45316</v>
      </c>
      <c r="B423" s="43" t="s">
        <v>6</v>
      </c>
      <c r="C423" s="48" t="s">
        <v>169</v>
      </c>
      <c r="D423" s="55"/>
      <c r="E423" s="61">
        <v>1915954</v>
      </c>
      <c r="G423" s="56">
        <f>F422-E423</f>
        <v>146185103</v>
      </c>
      <c r="H423" s="51"/>
      <c r="J423" s="49"/>
      <c r="K423" s="49"/>
      <c r="L423" s="49"/>
      <c r="M423" s="49"/>
    </row>
    <row r="424" spans="1:13" ht="13" customHeight="1" x14ac:dyDescent="0.25">
      <c r="A424" s="47">
        <v>45345</v>
      </c>
      <c r="B424" s="43" t="s">
        <v>6</v>
      </c>
      <c r="C424" s="48" t="s">
        <v>169</v>
      </c>
      <c r="D424" s="55"/>
      <c r="E424" s="61">
        <v>1933118</v>
      </c>
      <c r="G424" s="56">
        <f>G423-E424</f>
        <v>144251985</v>
      </c>
      <c r="H424" s="51"/>
      <c r="J424" s="49"/>
      <c r="K424" s="49"/>
      <c r="L424" s="49"/>
      <c r="M424" s="49"/>
    </row>
    <row r="425" spans="1:13" ht="13" customHeight="1" x14ac:dyDescent="0.25">
      <c r="A425" s="47">
        <v>45376</v>
      </c>
      <c r="B425" s="43" t="s">
        <v>6</v>
      </c>
      <c r="C425" s="48" t="s">
        <v>169</v>
      </c>
      <c r="D425" s="55"/>
      <c r="E425" s="61">
        <v>1950436</v>
      </c>
      <c r="G425" s="56">
        <f t="shared" ref="G425:G434" si="30">G424-E425</f>
        <v>142301549</v>
      </c>
      <c r="H425" s="51"/>
      <c r="J425" s="49"/>
      <c r="K425" s="49"/>
      <c r="L425" s="49"/>
      <c r="M425" s="49"/>
    </row>
    <row r="426" spans="1:13" ht="13" customHeight="1" x14ac:dyDescent="0.25">
      <c r="A426" s="47">
        <v>45407</v>
      </c>
      <c r="B426" s="43" t="s">
        <v>6</v>
      </c>
      <c r="C426" s="48" t="s">
        <v>169</v>
      </c>
      <c r="D426" s="55"/>
      <c r="E426" s="61">
        <v>1967908</v>
      </c>
      <c r="G426" s="56">
        <f t="shared" si="30"/>
        <v>140333641</v>
      </c>
      <c r="H426" s="51"/>
      <c r="J426" s="49"/>
      <c r="K426" s="49"/>
      <c r="L426" s="49"/>
      <c r="M426" s="49"/>
    </row>
    <row r="427" spans="1:13" ht="13" customHeight="1" x14ac:dyDescent="0.25">
      <c r="A427" s="47">
        <v>45434</v>
      </c>
      <c r="B427" s="43" t="s">
        <v>6</v>
      </c>
      <c r="C427" s="48" t="s">
        <v>169</v>
      </c>
      <c r="D427" s="55"/>
      <c r="E427" s="61">
        <v>1985538</v>
      </c>
      <c r="G427" s="56">
        <f t="shared" si="30"/>
        <v>138348103</v>
      </c>
      <c r="H427" s="51"/>
      <c r="J427" s="49"/>
      <c r="K427" s="49"/>
      <c r="L427" s="49"/>
      <c r="M427" s="49"/>
    </row>
    <row r="428" spans="1:13" ht="13" customHeight="1" x14ac:dyDescent="0.25">
      <c r="A428" s="47">
        <v>45468</v>
      </c>
      <c r="B428" s="43" t="s">
        <v>6</v>
      </c>
      <c r="C428" s="48" t="s">
        <v>169</v>
      </c>
      <c r="D428" s="55"/>
      <c r="E428" s="61">
        <v>2003325</v>
      </c>
      <c r="G428" s="56">
        <f t="shared" si="30"/>
        <v>136344778</v>
      </c>
      <c r="H428" s="51"/>
      <c r="J428" s="49"/>
      <c r="K428" s="49"/>
      <c r="L428" s="49"/>
      <c r="M428" s="49"/>
    </row>
    <row r="429" spans="1:13" ht="13" customHeight="1" x14ac:dyDescent="0.25">
      <c r="A429" s="47">
        <v>45498</v>
      </c>
      <c r="B429" s="43" t="s">
        <v>6</v>
      </c>
      <c r="C429" s="48" t="s">
        <v>169</v>
      </c>
      <c r="D429" s="55"/>
      <c r="E429" s="61">
        <v>2021271</v>
      </c>
      <c r="G429" s="56">
        <f t="shared" si="30"/>
        <v>134323507</v>
      </c>
      <c r="H429" s="51"/>
      <c r="J429" s="49"/>
      <c r="K429" s="49"/>
      <c r="L429" s="49"/>
      <c r="M429" s="49"/>
    </row>
    <row r="430" spans="1:13" ht="13" customHeight="1" x14ac:dyDescent="0.25">
      <c r="A430" s="47">
        <v>45527</v>
      </c>
      <c r="B430" s="43" t="s">
        <v>6</v>
      </c>
      <c r="C430" s="48" t="s">
        <v>169</v>
      </c>
      <c r="D430" s="55"/>
      <c r="E430" s="61">
        <v>2039378</v>
      </c>
      <c r="G430" s="56">
        <f t="shared" si="30"/>
        <v>132284129</v>
      </c>
      <c r="H430" s="51"/>
      <c r="J430" s="49"/>
      <c r="K430" s="49"/>
      <c r="L430" s="49"/>
      <c r="M430" s="49"/>
    </row>
    <row r="431" spans="1:13" ht="13" customHeight="1" x14ac:dyDescent="0.25">
      <c r="A431" s="47">
        <v>45560</v>
      </c>
      <c r="B431" s="43" t="s">
        <v>6</v>
      </c>
      <c r="C431" s="48" t="s">
        <v>169</v>
      </c>
      <c r="D431" s="55"/>
      <c r="E431" s="61">
        <v>2057648</v>
      </c>
      <c r="G431" s="56">
        <f t="shared" si="30"/>
        <v>130226481</v>
      </c>
      <c r="H431" s="51"/>
      <c r="J431" s="49"/>
      <c r="K431" s="49"/>
      <c r="L431" s="49"/>
      <c r="M431" s="49"/>
    </row>
    <row r="432" spans="1:13" ht="13" customHeight="1" x14ac:dyDescent="0.25">
      <c r="A432" s="47">
        <v>45590</v>
      </c>
      <c r="B432" s="43" t="s">
        <v>6</v>
      </c>
      <c r="C432" s="48" t="s">
        <v>169</v>
      </c>
      <c r="D432" s="55"/>
      <c r="E432" s="61">
        <v>2076081</v>
      </c>
      <c r="G432" s="56">
        <f t="shared" si="30"/>
        <v>128150400</v>
      </c>
      <c r="H432" s="51"/>
      <c r="J432" s="49"/>
      <c r="K432" s="49"/>
      <c r="L432" s="49"/>
      <c r="M432" s="49"/>
    </row>
    <row r="433" spans="1:13" ht="26" x14ac:dyDescent="0.25">
      <c r="A433" s="47">
        <v>45621</v>
      </c>
      <c r="B433" s="43" t="s">
        <v>6</v>
      </c>
      <c r="C433" s="48" t="s">
        <v>169</v>
      </c>
      <c r="E433" s="58">
        <v>2094679</v>
      </c>
      <c r="G433" s="56">
        <f t="shared" si="30"/>
        <v>126055721</v>
      </c>
      <c r="H433" s="51"/>
      <c r="I433" s="51"/>
      <c r="J433" s="51"/>
      <c r="K433" s="51"/>
      <c r="L433" s="51"/>
      <c r="M433" s="51"/>
    </row>
    <row r="434" spans="1:13" ht="26" x14ac:dyDescent="0.25">
      <c r="A434" s="47">
        <v>45649</v>
      </c>
      <c r="B434" s="43" t="s">
        <v>6</v>
      </c>
      <c r="C434" s="48" t="s">
        <v>169</v>
      </c>
      <c r="E434" s="58">
        <v>2113444</v>
      </c>
      <c r="G434" s="56">
        <f t="shared" si="30"/>
        <v>123942277</v>
      </c>
      <c r="H434" s="51"/>
      <c r="I434" s="51"/>
      <c r="J434" s="51"/>
      <c r="K434" s="51"/>
      <c r="L434" s="51"/>
      <c r="M434" s="51"/>
    </row>
    <row r="435" spans="1:13" x14ac:dyDescent="0.25">
      <c r="A435" s="51"/>
      <c r="B435" s="50" t="s">
        <v>170</v>
      </c>
      <c r="C435" s="50"/>
      <c r="D435" s="54"/>
      <c r="E435" s="59"/>
      <c r="H435" s="51"/>
      <c r="I435" s="51"/>
      <c r="J435" s="51"/>
      <c r="K435" s="51"/>
      <c r="L435" s="51"/>
      <c r="M435" s="51"/>
    </row>
    <row r="436" spans="1:13" x14ac:dyDescent="0.25">
      <c r="A436" s="47">
        <v>45292</v>
      </c>
      <c r="B436" s="43" t="s">
        <v>0</v>
      </c>
      <c r="C436" s="48" t="s">
        <v>1</v>
      </c>
      <c r="D436" s="55"/>
      <c r="E436" s="60"/>
      <c r="F436" s="49">
        <v>376729988</v>
      </c>
      <c r="G436" s="56"/>
      <c r="H436" s="49"/>
      <c r="I436" s="51"/>
      <c r="K436" s="49"/>
      <c r="L436" s="49"/>
      <c r="M436" s="49"/>
    </row>
    <row r="437" spans="1:13" ht="13" customHeight="1" x14ac:dyDescent="0.25">
      <c r="A437" s="47">
        <v>45316</v>
      </c>
      <c r="B437" s="43" t="s">
        <v>6</v>
      </c>
      <c r="C437" s="48" t="s">
        <v>171</v>
      </c>
      <c r="D437" s="55"/>
      <c r="E437" s="61">
        <v>2056642</v>
      </c>
      <c r="G437" s="56">
        <f>F436-E437</f>
        <v>374673346</v>
      </c>
      <c r="H437" s="51"/>
      <c r="J437" s="49"/>
      <c r="K437" s="49"/>
      <c r="L437" s="49"/>
      <c r="M437" s="49"/>
    </row>
    <row r="438" spans="1:13" ht="13" customHeight="1" x14ac:dyDescent="0.25">
      <c r="A438" s="47">
        <v>45345</v>
      </c>
      <c r="B438" s="43" t="s">
        <v>6</v>
      </c>
      <c r="C438" s="48" t="s">
        <v>171</v>
      </c>
      <c r="D438" s="55"/>
      <c r="E438" s="61">
        <v>2075495</v>
      </c>
      <c r="G438" s="56">
        <f>G437-E438</f>
        <v>372597851</v>
      </c>
      <c r="H438" s="51"/>
      <c r="J438" s="49"/>
      <c r="K438" s="49"/>
      <c r="L438" s="49"/>
      <c r="M438" s="49"/>
    </row>
    <row r="439" spans="1:13" ht="13" customHeight="1" x14ac:dyDescent="0.25">
      <c r="A439" s="47">
        <v>45376</v>
      </c>
      <c r="B439" s="43" t="s">
        <v>6</v>
      </c>
      <c r="C439" s="48" t="s">
        <v>171</v>
      </c>
      <c r="D439" s="55"/>
      <c r="E439" s="61">
        <v>2094520</v>
      </c>
      <c r="G439" s="56">
        <f t="shared" ref="G439:G448" si="31">G438-E439</f>
        <v>370503331</v>
      </c>
      <c r="H439" s="51"/>
      <c r="J439" s="49"/>
      <c r="K439" s="49"/>
      <c r="L439" s="49"/>
      <c r="M439" s="49"/>
    </row>
    <row r="440" spans="1:13" ht="13" customHeight="1" x14ac:dyDescent="0.25">
      <c r="A440" s="47">
        <v>45407</v>
      </c>
      <c r="B440" s="43" t="s">
        <v>6</v>
      </c>
      <c r="C440" s="48" t="s">
        <v>171</v>
      </c>
      <c r="D440" s="55"/>
      <c r="E440" s="61">
        <v>2113720</v>
      </c>
      <c r="G440" s="56">
        <f t="shared" si="31"/>
        <v>368389611</v>
      </c>
      <c r="H440" s="51"/>
      <c r="J440" s="49"/>
      <c r="K440" s="49"/>
      <c r="L440" s="49"/>
      <c r="M440" s="49"/>
    </row>
    <row r="441" spans="1:13" ht="13" customHeight="1" x14ac:dyDescent="0.25">
      <c r="A441" s="47">
        <v>45434</v>
      </c>
      <c r="B441" s="43" t="s">
        <v>6</v>
      </c>
      <c r="C441" s="48" t="s">
        <v>171</v>
      </c>
      <c r="D441" s="55"/>
      <c r="E441" s="61">
        <v>2133096</v>
      </c>
      <c r="G441" s="56">
        <f t="shared" si="31"/>
        <v>366256515</v>
      </c>
      <c r="H441" s="51"/>
      <c r="J441" s="49"/>
      <c r="K441" s="49"/>
      <c r="L441" s="49"/>
      <c r="M441" s="49"/>
    </row>
    <row r="442" spans="1:13" ht="13" customHeight="1" x14ac:dyDescent="0.25">
      <c r="A442" s="47">
        <v>45468</v>
      </c>
      <c r="B442" s="43" t="s">
        <v>6</v>
      </c>
      <c r="C442" s="48" t="s">
        <v>171</v>
      </c>
      <c r="D442" s="55"/>
      <c r="E442" s="61">
        <v>2152649</v>
      </c>
      <c r="G442" s="56">
        <f t="shared" si="31"/>
        <v>364103866</v>
      </c>
      <c r="H442" s="51"/>
      <c r="J442" s="49"/>
      <c r="K442" s="49"/>
      <c r="L442" s="49"/>
      <c r="M442" s="49"/>
    </row>
    <row r="443" spans="1:13" ht="13" customHeight="1" x14ac:dyDescent="0.25">
      <c r="A443" s="47">
        <v>45498</v>
      </c>
      <c r="B443" s="43" t="s">
        <v>6</v>
      </c>
      <c r="C443" s="48" t="s">
        <v>171</v>
      </c>
      <c r="D443" s="55"/>
      <c r="E443" s="61">
        <v>2172382</v>
      </c>
      <c r="G443" s="56">
        <f t="shared" si="31"/>
        <v>361931484</v>
      </c>
      <c r="H443" s="51"/>
      <c r="J443" s="49"/>
      <c r="K443" s="49"/>
      <c r="L443" s="49"/>
      <c r="M443" s="49"/>
    </row>
    <row r="444" spans="1:13" ht="13" customHeight="1" x14ac:dyDescent="0.25">
      <c r="A444" s="47">
        <v>45527</v>
      </c>
      <c r="B444" s="43" t="s">
        <v>6</v>
      </c>
      <c r="C444" s="48" t="s">
        <v>171</v>
      </c>
      <c r="D444" s="55"/>
      <c r="E444" s="61">
        <v>2192295</v>
      </c>
      <c r="G444" s="56">
        <f t="shared" si="31"/>
        <v>359739189</v>
      </c>
      <c r="H444" s="51"/>
      <c r="J444" s="49"/>
      <c r="K444" s="49"/>
      <c r="L444" s="49"/>
      <c r="M444" s="49"/>
    </row>
    <row r="445" spans="1:13" ht="13" customHeight="1" x14ac:dyDescent="0.25">
      <c r="A445" s="47">
        <v>45560</v>
      </c>
      <c r="B445" s="43" t="s">
        <v>6</v>
      </c>
      <c r="C445" s="48" t="s">
        <v>171</v>
      </c>
      <c r="D445" s="55"/>
      <c r="E445" s="61">
        <v>2212391</v>
      </c>
      <c r="G445" s="56">
        <f t="shared" si="31"/>
        <v>357526798</v>
      </c>
      <c r="H445" s="51"/>
      <c r="J445" s="49"/>
      <c r="K445" s="49"/>
      <c r="L445" s="49"/>
      <c r="M445" s="49"/>
    </row>
    <row r="446" spans="1:13" ht="13" customHeight="1" x14ac:dyDescent="0.25">
      <c r="A446" s="47">
        <v>45590</v>
      </c>
      <c r="B446" s="43" t="s">
        <v>6</v>
      </c>
      <c r="C446" s="48" t="s">
        <v>171</v>
      </c>
      <c r="D446" s="55"/>
      <c r="E446" s="61">
        <v>2253138</v>
      </c>
      <c r="G446" s="56">
        <f t="shared" si="31"/>
        <v>355273660</v>
      </c>
      <c r="H446" s="51"/>
      <c r="J446" s="49"/>
      <c r="K446" s="49"/>
      <c r="L446" s="49"/>
      <c r="M446" s="49"/>
    </row>
    <row r="447" spans="1:13" ht="26" x14ac:dyDescent="0.25">
      <c r="A447" s="47">
        <v>45621</v>
      </c>
      <c r="B447" s="43" t="s">
        <v>6</v>
      </c>
      <c r="C447" s="48" t="s">
        <v>171</v>
      </c>
      <c r="E447" s="58">
        <v>2253138</v>
      </c>
      <c r="G447" s="56">
        <f t="shared" si="31"/>
        <v>353020522</v>
      </c>
      <c r="H447" s="51"/>
      <c r="I447" s="51"/>
      <c r="J447" s="51"/>
      <c r="K447" s="51"/>
      <c r="L447" s="51"/>
      <c r="M447" s="51"/>
    </row>
    <row r="448" spans="1:13" ht="26" x14ac:dyDescent="0.25">
      <c r="A448" s="47">
        <v>45649</v>
      </c>
      <c r="B448" s="43" t="s">
        <v>6</v>
      </c>
      <c r="C448" s="48" t="s">
        <v>171</v>
      </c>
      <c r="E448" s="58">
        <v>2273791</v>
      </c>
      <c r="G448" s="56">
        <f t="shared" si="31"/>
        <v>350746731</v>
      </c>
      <c r="H448" s="51"/>
      <c r="I448" s="51"/>
      <c r="J448" s="51"/>
      <c r="K448" s="51"/>
      <c r="L448" s="51"/>
      <c r="M448" s="51"/>
    </row>
    <row r="449" spans="1:13" x14ac:dyDescent="0.25">
      <c r="A449" s="51"/>
      <c r="B449" s="50" t="s">
        <v>172</v>
      </c>
      <c r="C449" s="50"/>
      <c r="D449" s="54"/>
      <c r="E449" s="59"/>
      <c r="H449" s="51"/>
      <c r="I449" s="51"/>
      <c r="J449" s="51"/>
      <c r="K449" s="51"/>
      <c r="L449" s="51"/>
      <c r="M449" s="51"/>
    </row>
    <row r="450" spans="1:13" x14ac:dyDescent="0.25">
      <c r="A450" s="47">
        <v>45292</v>
      </c>
      <c r="B450" s="43" t="s">
        <v>0</v>
      </c>
      <c r="C450" s="48" t="s">
        <v>1</v>
      </c>
      <c r="D450" s="55"/>
      <c r="E450" s="60"/>
      <c r="F450" s="49">
        <v>135926409</v>
      </c>
      <c r="G450" s="56"/>
      <c r="H450" s="49"/>
      <c r="I450" s="51"/>
      <c r="K450" s="49"/>
      <c r="L450" s="49"/>
      <c r="M450" s="49"/>
    </row>
    <row r="451" spans="1:13" ht="13" customHeight="1" x14ac:dyDescent="0.25">
      <c r="A451" s="47">
        <v>45316</v>
      </c>
      <c r="B451" s="43" t="s">
        <v>6</v>
      </c>
      <c r="C451" s="48" t="s">
        <v>173</v>
      </c>
      <c r="D451" s="55"/>
      <c r="E451" s="61">
        <v>3102493</v>
      </c>
      <c r="G451" s="56">
        <f>F450-E451</f>
        <v>132823916</v>
      </c>
      <c r="H451" s="51"/>
      <c r="J451" s="49"/>
      <c r="K451" s="49"/>
      <c r="L451" s="49"/>
      <c r="M451" s="49"/>
    </row>
    <row r="452" spans="1:13" ht="13" customHeight="1" x14ac:dyDescent="0.25">
      <c r="A452" s="47">
        <v>45345</v>
      </c>
      <c r="B452" s="43" t="s">
        <v>6</v>
      </c>
      <c r="C452" s="48" t="s">
        <v>173</v>
      </c>
      <c r="D452" s="55"/>
      <c r="E452" s="61">
        <v>3130932</v>
      </c>
      <c r="G452" s="56">
        <f>G451-E452</f>
        <v>129692984</v>
      </c>
      <c r="H452" s="51"/>
      <c r="J452" s="49"/>
      <c r="K452" s="49"/>
      <c r="L452" s="49"/>
      <c r="M452" s="49"/>
    </row>
    <row r="453" spans="1:13" ht="13" customHeight="1" x14ac:dyDescent="0.25">
      <c r="A453" s="47">
        <v>45376</v>
      </c>
      <c r="B453" s="43" t="s">
        <v>6</v>
      </c>
      <c r="C453" s="48" t="s">
        <v>173</v>
      </c>
      <c r="D453" s="55"/>
      <c r="E453" s="61">
        <v>3159632</v>
      </c>
      <c r="G453" s="56">
        <f t="shared" ref="G453:G454" si="32">G452-E453</f>
        <v>126533352</v>
      </c>
      <c r="H453" s="51"/>
      <c r="J453" s="49"/>
      <c r="K453" s="49"/>
      <c r="L453" s="49"/>
      <c r="M453" s="49"/>
    </row>
    <row r="454" spans="1:13" ht="13" customHeight="1" x14ac:dyDescent="0.25">
      <c r="A454" s="47">
        <v>45407</v>
      </c>
      <c r="B454" s="43" t="s">
        <v>6</v>
      </c>
      <c r="C454" s="48" t="s">
        <v>173</v>
      </c>
      <c r="D454" s="55"/>
      <c r="E454" s="61">
        <v>3188596</v>
      </c>
      <c r="G454" s="56">
        <f t="shared" si="32"/>
        <v>123344756</v>
      </c>
      <c r="H454" s="51"/>
      <c r="J454" s="49"/>
      <c r="K454" s="49"/>
      <c r="L454" s="49"/>
      <c r="M454" s="49"/>
    </row>
    <row r="455" spans="1:13" ht="13" customHeight="1" x14ac:dyDescent="0.25">
      <c r="A455" s="47">
        <v>45408</v>
      </c>
      <c r="B455" s="43" t="s">
        <v>0</v>
      </c>
      <c r="C455" s="48" t="s">
        <v>174</v>
      </c>
      <c r="D455" s="49">
        <v>500000000</v>
      </c>
      <c r="E455" s="60"/>
      <c r="G455" s="56">
        <f>G454+D455</f>
        <v>623344756</v>
      </c>
      <c r="I455" s="51"/>
      <c r="J455" s="49"/>
      <c r="K455" s="49"/>
      <c r="L455" s="49"/>
      <c r="M455" s="49"/>
    </row>
    <row r="456" spans="1:13" ht="13" customHeight="1" x14ac:dyDescent="0.25">
      <c r="A456" s="47">
        <v>45408</v>
      </c>
      <c r="B456" s="43" t="s">
        <v>6</v>
      </c>
      <c r="C456" s="48" t="s">
        <v>175</v>
      </c>
      <c r="D456" s="55"/>
      <c r="E456" s="61">
        <v>126533352</v>
      </c>
      <c r="G456" s="56">
        <f>G455-E456</f>
        <v>496811404</v>
      </c>
      <c r="H456" s="51"/>
      <c r="I456" s="49"/>
      <c r="J456" s="49"/>
      <c r="K456" s="49"/>
      <c r="L456" s="49"/>
      <c r="M456" s="49"/>
    </row>
    <row r="457" spans="1:13" ht="13" customHeight="1" x14ac:dyDescent="0.25">
      <c r="A457" s="47">
        <v>45434</v>
      </c>
      <c r="B457" s="43" t="s">
        <v>6</v>
      </c>
      <c r="C457" s="48" t="s">
        <v>173</v>
      </c>
      <c r="D457" s="55"/>
      <c r="E457" s="61">
        <v>2337767</v>
      </c>
      <c r="G457" s="56">
        <f t="shared" ref="G457:G463" si="33">G456-E457</f>
        <v>494473637</v>
      </c>
      <c r="H457" s="51"/>
      <c r="I457" s="49"/>
      <c r="J457" s="49"/>
      <c r="K457" s="49"/>
      <c r="L457" s="49"/>
      <c r="M457" s="49"/>
    </row>
    <row r="458" spans="1:13" ht="13" customHeight="1" x14ac:dyDescent="0.25">
      <c r="A458" s="47">
        <v>45498</v>
      </c>
      <c r="B458" s="43" t="s">
        <v>6</v>
      </c>
      <c r="C458" s="48" t="s">
        <v>173</v>
      </c>
      <c r="D458" s="55"/>
      <c r="E458" s="61">
        <v>1549954</v>
      </c>
      <c r="G458" s="56">
        <f t="shared" si="33"/>
        <v>492923683</v>
      </c>
      <c r="H458" s="51"/>
      <c r="I458" s="49"/>
      <c r="J458" s="49"/>
      <c r="K458" s="49"/>
      <c r="L458" s="49"/>
      <c r="M458" s="49"/>
    </row>
    <row r="459" spans="1:13" ht="13" customHeight="1" x14ac:dyDescent="0.25">
      <c r="A459" s="47">
        <v>45527</v>
      </c>
      <c r="B459" s="43" t="s">
        <v>6</v>
      </c>
      <c r="C459" s="48" t="s">
        <v>173</v>
      </c>
      <c r="D459" s="55"/>
      <c r="E459" s="61">
        <v>2401159</v>
      </c>
      <c r="G459" s="56">
        <f t="shared" si="33"/>
        <v>490522524</v>
      </c>
      <c r="H459" s="51"/>
      <c r="I459" s="49"/>
      <c r="J459" s="49"/>
      <c r="K459" s="49"/>
      <c r="L459" s="49"/>
      <c r="M459" s="49"/>
    </row>
    <row r="460" spans="1:13" ht="13" customHeight="1" x14ac:dyDescent="0.25">
      <c r="A460" s="47">
        <v>45560</v>
      </c>
      <c r="B460" s="43" t="s">
        <v>6</v>
      </c>
      <c r="C460" s="48" t="s">
        <v>173</v>
      </c>
      <c r="D460" s="55"/>
      <c r="E460" s="61">
        <v>2422670</v>
      </c>
      <c r="G460" s="56">
        <f t="shared" si="33"/>
        <v>488099854</v>
      </c>
      <c r="H460" s="51"/>
      <c r="I460" s="49"/>
      <c r="J460" s="49"/>
      <c r="K460" s="49"/>
      <c r="L460" s="49"/>
      <c r="M460" s="49"/>
    </row>
    <row r="461" spans="1:13" ht="13" customHeight="1" x14ac:dyDescent="0.25">
      <c r="A461" s="47">
        <v>45590</v>
      </c>
      <c r="B461" s="43" t="s">
        <v>6</v>
      </c>
      <c r="C461" s="48" t="s">
        <v>173</v>
      </c>
      <c r="D461" s="55"/>
      <c r="E461" s="61">
        <v>2444373</v>
      </c>
      <c r="G461" s="56">
        <f t="shared" si="33"/>
        <v>485655481</v>
      </c>
      <c r="H461" s="51"/>
      <c r="J461" s="49"/>
      <c r="K461" s="49"/>
      <c r="L461" s="49"/>
      <c r="M461" s="49"/>
    </row>
    <row r="462" spans="1:13" ht="26" x14ac:dyDescent="0.25">
      <c r="A462" s="47">
        <v>45621</v>
      </c>
      <c r="B462" s="51"/>
      <c r="C462" s="48" t="s">
        <v>173</v>
      </c>
      <c r="E462" s="58">
        <v>2466270</v>
      </c>
      <c r="G462" s="56">
        <f t="shared" si="33"/>
        <v>483189211</v>
      </c>
      <c r="H462" s="51"/>
      <c r="I462" s="51"/>
      <c r="J462" s="51"/>
      <c r="K462" s="51"/>
      <c r="L462" s="51"/>
      <c r="M462" s="51"/>
    </row>
    <row r="463" spans="1:13" ht="26" x14ac:dyDescent="0.25">
      <c r="A463" s="47">
        <v>45649</v>
      </c>
      <c r="B463" s="51"/>
      <c r="C463" s="48" t="s">
        <v>173</v>
      </c>
      <c r="E463" s="58">
        <v>2488364</v>
      </c>
      <c r="G463" s="56">
        <f t="shared" si="33"/>
        <v>480700847</v>
      </c>
      <c r="H463" s="51"/>
      <c r="I463" s="51"/>
      <c r="J463" s="51"/>
      <c r="K463" s="51"/>
      <c r="L463" s="51"/>
      <c r="M463" s="51"/>
    </row>
    <row r="464" spans="1:13" x14ac:dyDescent="0.25">
      <c r="A464" s="51"/>
      <c r="B464" s="50" t="s">
        <v>176</v>
      </c>
      <c r="C464" s="50"/>
      <c r="D464" s="54"/>
      <c r="E464" s="59"/>
      <c r="H464" s="51"/>
      <c r="I464" s="51"/>
      <c r="J464" s="51"/>
      <c r="K464" s="51"/>
      <c r="L464" s="51"/>
      <c r="M464" s="51"/>
    </row>
    <row r="465" spans="1:13" x14ac:dyDescent="0.25">
      <c r="A465" s="47">
        <v>45292</v>
      </c>
      <c r="B465" s="43" t="s">
        <v>0</v>
      </c>
      <c r="C465" s="48" t="s">
        <v>1</v>
      </c>
      <c r="D465" s="55"/>
      <c r="E465" s="60"/>
      <c r="F465" s="49">
        <v>279448389</v>
      </c>
      <c r="G465" s="56"/>
      <c r="H465" s="49"/>
      <c r="I465" s="51"/>
      <c r="K465" s="49"/>
      <c r="L465" s="49"/>
      <c r="M465" s="49"/>
    </row>
    <row r="466" spans="1:13" ht="13" customHeight="1" x14ac:dyDescent="0.25">
      <c r="A466" s="47">
        <v>45316</v>
      </c>
      <c r="B466" s="43" t="s">
        <v>6</v>
      </c>
      <c r="C466" s="48" t="s">
        <v>177</v>
      </c>
      <c r="D466" s="55"/>
      <c r="E466" s="61">
        <v>1570890</v>
      </c>
      <c r="G466" s="56">
        <f>F465-E466</f>
        <v>277877499</v>
      </c>
      <c r="H466" s="51"/>
      <c r="J466" s="49"/>
      <c r="K466" s="49"/>
      <c r="L466" s="49"/>
      <c r="M466" s="49"/>
    </row>
    <row r="467" spans="1:13" ht="13" customHeight="1" x14ac:dyDescent="0.25">
      <c r="A467" s="47">
        <v>45345</v>
      </c>
      <c r="B467" s="43" t="s">
        <v>6</v>
      </c>
      <c r="C467" s="48" t="s">
        <v>177</v>
      </c>
      <c r="D467" s="55"/>
      <c r="E467" s="61">
        <v>1585290</v>
      </c>
      <c r="G467" s="56">
        <f>G466-E467</f>
        <v>276292209</v>
      </c>
      <c r="H467" s="51"/>
      <c r="J467" s="49"/>
      <c r="K467" s="49"/>
      <c r="L467" s="49"/>
      <c r="M467" s="49"/>
    </row>
    <row r="468" spans="1:13" ht="13" customHeight="1" x14ac:dyDescent="0.25">
      <c r="A468" s="47">
        <v>45376</v>
      </c>
      <c r="B468" s="43" t="s">
        <v>6</v>
      </c>
      <c r="C468" s="48" t="s">
        <v>177</v>
      </c>
      <c r="D468" s="55"/>
      <c r="E468" s="61">
        <v>1599822</v>
      </c>
      <c r="G468" s="56">
        <f t="shared" ref="G468:G477" si="34">G467-E468</f>
        <v>274692387</v>
      </c>
      <c r="H468" s="51"/>
      <c r="J468" s="49"/>
      <c r="K468" s="49"/>
      <c r="L468" s="49"/>
      <c r="M468" s="49"/>
    </row>
    <row r="469" spans="1:13" ht="13" customHeight="1" x14ac:dyDescent="0.25">
      <c r="A469" s="47">
        <v>45407</v>
      </c>
      <c r="B469" s="43" t="s">
        <v>6</v>
      </c>
      <c r="C469" s="48" t="s">
        <v>177</v>
      </c>
      <c r="D469" s="55"/>
      <c r="E469" s="61">
        <v>1614487</v>
      </c>
      <c r="G469" s="56">
        <f t="shared" si="34"/>
        <v>273077900</v>
      </c>
      <c r="H469" s="51"/>
      <c r="J469" s="49"/>
      <c r="K469" s="49"/>
      <c r="L469" s="49"/>
      <c r="M469" s="49"/>
    </row>
    <row r="470" spans="1:13" ht="13" customHeight="1" x14ac:dyDescent="0.25">
      <c r="A470" s="47">
        <v>45434</v>
      </c>
      <c r="B470" s="43" t="s">
        <v>6</v>
      </c>
      <c r="C470" s="48" t="s">
        <v>177</v>
      </c>
      <c r="D470" s="55"/>
      <c r="E470" s="61">
        <v>1629286</v>
      </c>
      <c r="G470" s="56">
        <f t="shared" si="34"/>
        <v>271448614</v>
      </c>
      <c r="H470" s="51"/>
      <c r="J470" s="49"/>
      <c r="K470" s="49"/>
      <c r="L470" s="49"/>
      <c r="M470" s="49"/>
    </row>
    <row r="471" spans="1:13" ht="13" customHeight="1" x14ac:dyDescent="0.25">
      <c r="A471" s="47">
        <v>45468</v>
      </c>
      <c r="B471" s="43" t="s">
        <v>6</v>
      </c>
      <c r="C471" s="48" t="s">
        <v>177</v>
      </c>
      <c r="D471" s="55"/>
      <c r="E471" s="61">
        <v>1644221</v>
      </c>
      <c r="G471" s="56">
        <f t="shared" si="34"/>
        <v>269804393</v>
      </c>
      <c r="H471" s="51"/>
      <c r="J471" s="49"/>
      <c r="K471" s="49"/>
      <c r="L471" s="49"/>
      <c r="M471" s="49"/>
    </row>
    <row r="472" spans="1:13" ht="13" customHeight="1" x14ac:dyDescent="0.25">
      <c r="A472" s="47">
        <v>45498</v>
      </c>
      <c r="B472" s="43" t="s">
        <v>6</v>
      </c>
      <c r="C472" s="48" t="s">
        <v>177</v>
      </c>
      <c r="D472" s="55"/>
      <c r="E472" s="61">
        <v>1659293</v>
      </c>
      <c r="G472" s="56">
        <f t="shared" si="34"/>
        <v>268145100</v>
      </c>
      <c r="H472" s="51"/>
      <c r="J472" s="49"/>
      <c r="K472" s="49"/>
      <c r="L472" s="49"/>
      <c r="M472" s="49"/>
    </row>
    <row r="473" spans="1:13" ht="13" customHeight="1" x14ac:dyDescent="0.25">
      <c r="A473" s="47">
        <v>45527</v>
      </c>
      <c r="B473" s="43" t="s">
        <v>6</v>
      </c>
      <c r="C473" s="48" t="s">
        <v>177</v>
      </c>
      <c r="D473" s="55"/>
      <c r="E473" s="61">
        <v>1674504</v>
      </c>
      <c r="G473" s="56">
        <f t="shared" si="34"/>
        <v>266470596</v>
      </c>
      <c r="H473" s="51"/>
      <c r="J473" s="49"/>
      <c r="K473" s="49"/>
      <c r="L473" s="49"/>
      <c r="M473" s="49"/>
    </row>
    <row r="474" spans="1:13" ht="13" customHeight="1" x14ac:dyDescent="0.25">
      <c r="A474" s="47">
        <v>45560</v>
      </c>
      <c r="B474" s="43" t="s">
        <v>6</v>
      </c>
      <c r="C474" s="48" t="s">
        <v>177</v>
      </c>
      <c r="D474" s="55"/>
      <c r="E474" s="61">
        <v>1689853</v>
      </c>
      <c r="G474" s="56">
        <f t="shared" si="34"/>
        <v>264780743</v>
      </c>
      <c r="H474" s="51"/>
      <c r="J474" s="49"/>
      <c r="K474" s="49"/>
      <c r="L474" s="49"/>
      <c r="M474" s="49"/>
    </row>
    <row r="475" spans="1:13" ht="13" customHeight="1" x14ac:dyDescent="0.25">
      <c r="A475" s="47">
        <v>45590</v>
      </c>
      <c r="B475" s="43" t="s">
        <v>6</v>
      </c>
      <c r="C475" s="48" t="s">
        <v>177</v>
      </c>
      <c r="D475" s="55"/>
      <c r="E475" s="61">
        <v>1705344</v>
      </c>
      <c r="G475" s="56">
        <f t="shared" si="34"/>
        <v>263075399</v>
      </c>
      <c r="H475" s="51"/>
      <c r="J475" s="49"/>
      <c r="K475" s="49"/>
      <c r="L475" s="49"/>
      <c r="M475" s="49"/>
    </row>
    <row r="476" spans="1:13" ht="26" x14ac:dyDescent="0.25">
      <c r="A476" s="47">
        <v>45986</v>
      </c>
      <c r="B476" s="43" t="s">
        <v>6</v>
      </c>
      <c r="C476" s="48" t="s">
        <v>177</v>
      </c>
      <c r="E476" s="58">
        <v>1720976</v>
      </c>
      <c r="G476" s="56">
        <f t="shared" si="34"/>
        <v>261354423</v>
      </c>
      <c r="H476" s="51"/>
      <c r="I476" s="51"/>
      <c r="J476" s="51"/>
      <c r="K476" s="51"/>
      <c r="L476" s="51"/>
      <c r="M476" s="51"/>
    </row>
    <row r="477" spans="1:13" ht="26" x14ac:dyDescent="0.25">
      <c r="A477" s="47">
        <v>45649</v>
      </c>
      <c r="B477" s="43" t="s">
        <v>6</v>
      </c>
      <c r="C477" s="48" t="s">
        <v>177</v>
      </c>
      <c r="E477" s="58">
        <v>1736751</v>
      </c>
      <c r="G477" s="56">
        <f t="shared" si="34"/>
        <v>259617672</v>
      </c>
      <c r="H477" s="51"/>
      <c r="I477" s="51"/>
      <c r="J477" s="51"/>
      <c r="K477" s="51"/>
      <c r="L477" s="51"/>
      <c r="M477" s="51"/>
    </row>
    <row r="478" spans="1:13" x14ac:dyDescent="0.25">
      <c r="A478" s="51"/>
      <c r="B478" s="50" t="s">
        <v>178</v>
      </c>
      <c r="C478" s="50"/>
      <c r="D478" s="54"/>
      <c r="E478" s="59"/>
      <c r="H478" s="51"/>
      <c r="I478" s="51"/>
      <c r="J478" s="51"/>
      <c r="K478" s="51"/>
      <c r="L478" s="51"/>
      <c r="M478" s="51"/>
    </row>
    <row r="479" spans="1:13" x14ac:dyDescent="0.25">
      <c r="A479" s="47">
        <v>45292</v>
      </c>
      <c r="B479" s="43" t="s">
        <v>0</v>
      </c>
      <c r="C479" s="48" t="s">
        <v>1</v>
      </c>
      <c r="D479" s="55"/>
      <c r="E479" s="60"/>
      <c r="F479" s="49">
        <v>40652733</v>
      </c>
      <c r="G479" s="56"/>
      <c r="H479" s="49"/>
      <c r="I479" s="51"/>
      <c r="K479" s="49"/>
      <c r="L479" s="49"/>
      <c r="M479" s="49"/>
    </row>
    <row r="480" spans="1:13" ht="13" customHeight="1" x14ac:dyDescent="0.25">
      <c r="A480" s="47">
        <v>45316</v>
      </c>
      <c r="B480" s="43" t="s">
        <v>6</v>
      </c>
      <c r="C480" s="48" t="s">
        <v>179</v>
      </c>
      <c r="D480" s="55"/>
      <c r="E480" s="61">
        <v>714471</v>
      </c>
      <c r="G480" s="56">
        <f>F479-E480</f>
        <v>39938262</v>
      </c>
      <c r="H480" s="51"/>
      <c r="J480" s="49"/>
      <c r="K480" s="49"/>
      <c r="L480" s="49"/>
      <c r="M480" s="49"/>
    </row>
    <row r="481" spans="1:13" ht="13" customHeight="1" x14ac:dyDescent="0.25">
      <c r="A481" s="47">
        <v>45345</v>
      </c>
      <c r="B481" s="43" t="s">
        <v>6</v>
      </c>
      <c r="C481" s="48" t="s">
        <v>179</v>
      </c>
      <c r="D481" s="55"/>
      <c r="E481" s="61">
        <v>721020</v>
      </c>
      <c r="G481" s="56">
        <f>G480-E481</f>
        <v>39217242</v>
      </c>
      <c r="H481" s="51"/>
      <c r="J481" s="49"/>
      <c r="K481" s="49"/>
      <c r="L481" s="49"/>
      <c r="M481" s="49"/>
    </row>
    <row r="482" spans="1:13" ht="13" customHeight="1" x14ac:dyDescent="0.25">
      <c r="A482" s="47">
        <v>45376</v>
      </c>
      <c r="B482" s="43" t="s">
        <v>6</v>
      </c>
      <c r="C482" s="48" t="s">
        <v>179</v>
      </c>
      <c r="D482" s="55"/>
      <c r="E482" s="61">
        <v>727630</v>
      </c>
      <c r="G482" s="56">
        <f t="shared" ref="G482:G491" si="35">G481-E482</f>
        <v>38489612</v>
      </c>
      <c r="H482" s="51"/>
      <c r="J482" s="49"/>
      <c r="K482" s="49"/>
      <c r="L482" s="49"/>
      <c r="M482" s="49"/>
    </row>
    <row r="483" spans="1:13" ht="13" customHeight="1" x14ac:dyDescent="0.25">
      <c r="A483" s="47">
        <v>45407</v>
      </c>
      <c r="B483" s="43" t="s">
        <v>6</v>
      </c>
      <c r="C483" s="48" t="s">
        <v>179</v>
      </c>
      <c r="D483" s="55"/>
      <c r="E483" s="61">
        <v>734300</v>
      </c>
      <c r="G483" s="56">
        <f t="shared" si="35"/>
        <v>37755312</v>
      </c>
      <c r="H483" s="51"/>
      <c r="J483" s="49"/>
      <c r="K483" s="49"/>
      <c r="L483" s="49"/>
      <c r="M483" s="49"/>
    </row>
    <row r="484" spans="1:13" ht="13" customHeight="1" x14ac:dyDescent="0.25">
      <c r="A484" s="47">
        <v>45434</v>
      </c>
      <c r="B484" s="43" t="s">
        <v>6</v>
      </c>
      <c r="C484" s="48" t="s">
        <v>179</v>
      </c>
      <c r="D484" s="55"/>
      <c r="E484" s="61">
        <v>741031</v>
      </c>
      <c r="G484" s="56">
        <f t="shared" si="35"/>
        <v>37014281</v>
      </c>
      <c r="H484" s="51"/>
      <c r="J484" s="49"/>
      <c r="K484" s="49"/>
      <c r="L484" s="49"/>
      <c r="M484" s="49"/>
    </row>
    <row r="485" spans="1:13" ht="13" customHeight="1" x14ac:dyDescent="0.25">
      <c r="A485" s="47">
        <v>45468</v>
      </c>
      <c r="B485" s="43" t="s">
        <v>6</v>
      </c>
      <c r="C485" s="48" t="s">
        <v>179</v>
      </c>
      <c r="D485" s="55"/>
      <c r="E485" s="61">
        <v>747824</v>
      </c>
      <c r="G485" s="56">
        <f t="shared" si="35"/>
        <v>36266457</v>
      </c>
      <c r="H485" s="51"/>
      <c r="J485" s="49"/>
      <c r="K485" s="49"/>
      <c r="L485" s="49"/>
      <c r="M485" s="49"/>
    </row>
    <row r="486" spans="1:13" ht="13" customHeight="1" x14ac:dyDescent="0.25">
      <c r="A486" s="47">
        <v>45498</v>
      </c>
      <c r="B486" s="43" t="s">
        <v>6</v>
      </c>
      <c r="C486" s="48" t="s">
        <v>179</v>
      </c>
      <c r="D486" s="55"/>
      <c r="E486" s="61">
        <v>754679</v>
      </c>
      <c r="G486" s="56">
        <f t="shared" si="35"/>
        <v>35511778</v>
      </c>
      <c r="H486" s="51"/>
      <c r="J486" s="49"/>
      <c r="K486" s="49"/>
      <c r="L486" s="49"/>
      <c r="M486" s="49"/>
    </row>
    <row r="487" spans="1:13" ht="13" customHeight="1" x14ac:dyDescent="0.25">
      <c r="A487" s="47">
        <v>45527</v>
      </c>
      <c r="B487" s="43" t="s">
        <v>6</v>
      </c>
      <c r="C487" s="48" t="s">
        <v>179</v>
      </c>
      <c r="D487" s="55"/>
      <c r="E487" s="61">
        <v>761597</v>
      </c>
      <c r="G487" s="56">
        <f t="shared" si="35"/>
        <v>34750181</v>
      </c>
      <c r="H487" s="51"/>
      <c r="J487" s="49"/>
      <c r="K487" s="49"/>
      <c r="L487" s="49"/>
      <c r="M487" s="49"/>
    </row>
    <row r="488" spans="1:13" ht="13" customHeight="1" x14ac:dyDescent="0.25">
      <c r="A488" s="47">
        <v>45560</v>
      </c>
      <c r="B488" s="43" t="s">
        <v>6</v>
      </c>
      <c r="C488" s="48" t="s">
        <v>179</v>
      </c>
      <c r="D488" s="55"/>
      <c r="E488" s="61">
        <v>768578</v>
      </c>
      <c r="G488" s="56">
        <f t="shared" si="35"/>
        <v>33981603</v>
      </c>
      <c r="H488" s="51"/>
      <c r="J488" s="49"/>
      <c r="K488" s="49"/>
      <c r="L488" s="49"/>
      <c r="M488" s="49"/>
    </row>
    <row r="489" spans="1:13" ht="13" customHeight="1" x14ac:dyDescent="0.25">
      <c r="A489" s="47">
        <v>45590</v>
      </c>
      <c r="B489" s="43" t="s">
        <v>6</v>
      </c>
      <c r="C489" s="48" t="s">
        <v>179</v>
      </c>
      <c r="D489" s="55"/>
      <c r="E489" s="61">
        <v>775623</v>
      </c>
      <c r="G489" s="56">
        <f t="shared" si="35"/>
        <v>33205980</v>
      </c>
      <c r="H489" s="51"/>
      <c r="J489" s="49"/>
      <c r="K489" s="49"/>
      <c r="L489" s="49"/>
      <c r="M489" s="49"/>
    </row>
    <row r="490" spans="1:13" ht="26" x14ac:dyDescent="0.25">
      <c r="A490" s="47">
        <v>45621</v>
      </c>
      <c r="B490" s="43" t="s">
        <v>6</v>
      </c>
      <c r="C490" s="48" t="s">
        <v>179</v>
      </c>
      <c r="E490" s="58">
        <v>782733</v>
      </c>
      <c r="G490" s="56">
        <f t="shared" si="35"/>
        <v>32423247</v>
      </c>
      <c r="H490" s="51"/>
      <c r="I490" s="51"/>
      <c r="J490" s="51"/>
      <c r="K490" s="51"/>
      <c r="L490" s="51"/>
      <c r="M490" s="51"/>
    </row>
    <row r="491" spans="1:13" ht="26" x14ac:dyDescent="0.25">
      <c r="A491" s="47">
        <v>45649</v>
      </c>
      <c r="B491" s="43" t="s">
        <v>6</v>
      </c>
      <c r="C491" s="48" t="s">
        <v>179</v>
      </c>
      <c r="E491" s="58">
        <v>789908</v>
      </c>
      <c r="G491" s="56">
        <f t="shared" si="35"/>
        <v>31633339</v>
      </c>
      <c r="H491" s="51"/>
      <c r="I491" s="51"/>
      <c r="J491" s="51"/>
      <c r="K491" s="51"/>
      <c r="L491" s="51"/>
      <c r="M491" s="51"/>
    </row>
    <row r="492" spans="1:13" x14ac:dyDescent="0.25">
      <c r="A492" s="51"/>
      <c r="B492" s="50" t="s">
        <v>180</v>
      </c>
      <c r="C492" s="50"/>
      <c r="D492" s="54"/>
      <c r="E492" s="59"/>
      <c r="H492" s="51"/>
      <c r="I492" s="51"/>
      <c r="J492" s="51"/>
      <c r="K492" s="51"/>
      <c r="L492" s="51"/>
      <c r="M492" s="51"/>
    </row>
    <row r="493" spans="1:13" x14ac:dyDescent="0.25">
      <c r="A493" s="47">
        <v>45292</v>
      </c>
      <c r="B493" s="43" t="s">
        <v>0</v>
      </c>
      <c r="C493" s="48" t="s">
        <v>1</v>
      </c>
      <c r="D493" s="55"/>
      <c r="E493" s="60"/>
      <c r="F493" s="49">
        <v>31140234</v>
      </c>
      <c r="G493" s="56"/>
      <c r="H493" s="49"/>
      <c r="I493" s="51"/>
      <c r="K493" s="49"/>
      <c r="L493" s="49"/>
      <c r="M493" s="49"/>
    </row>
    <row r="494" spans="1:13" ht="13" customHeight="1" x14ac:dyDescent="0.25">
      <c r="A494" s="47">
        <v>45316</v>
      </c>
      <c r="B494" s="43" t="s">
        <v>6</v>
      </c>
      <c r="C494" s="48" t="s">
        <v>181</v>
      </c>
      <c r="D494" s="55"/>
      <c r="E494" s="61">
        <v>1351484</v>
      </c>
      <c r="G494" s="56">
        <f>F493-E494</f>
        <v>29788750</v>
      </c>
      <c r="H494" s="51"/>
      <c r="J494" s="49"/>
      <c r="K494" s="49"/>
      <c r="L494" s="49"/>
      <c r="M494" s="49"/>
    </row>
    <row r="495" spans="1:13" ht="13" customHeight="1" x14ac:dyDescent="0.25">
      <c r="A495" s="47">
        <v>45345</v>
      </c>
      <c r="B495" s="43" t="s">
        <v>6</v>
      </c>
      <c r="C495" s="48" t="s">
        <v>181</v>
      </c>
      <c r="D495" s="55"/>
      <c r="E495" s="61">
        <v>1363872</v>
      </c>
      <c r="G495" s="56">
        <f>G494-E495</f>
        <v>28424878</v>
      </c>
      <c r="H495" s="51"/>
      <c r="J495" s="49"/>
      <c r="K495" s="49"/>
      <c r="L495" s="49"/>
      <c r="M495" s="49"/>
    </row>
    <row r="496" spans="1:13" ht="13" customHeight="1" x14ac:dyDescent="0.25">
      <c r="A496" s="47">
        <v>45376</v>
      </c>
      <c r="B496" s="43" t="s">
        <v>6</v>
      </c>
      <c r="C496" s="48" t="s">
        <v>181</v>
      </c>
      <c r="D496" s="55"/>
      <c r="E496" s="61">
        <v>1376374</v>
      </c>
      <c r="G496" s="56">
        <f t="shared" ref="G496:G504" si="36">G495-E496</f>
        <v>27048504</v>
      </c>
      <c r="H496" s="51"/>
      <c r="J496" s="49"/>
      <c r="K496" s="49"/>
      <c r="L496" s="49"/>
      <c r="M496" s="49"/>
    </row>
    <row r="497" spans="1:13" ht="13" customHeight="1" x14ac:dyDescent="0.25">
      <c r="A497" s="47">
        <v>45407</v>
      </c>
      <c r="B497" s="43" t="s">
        <v>6</v>
      </c>
      <c r="C497" s="48" t="s">
        <v>181</v>
      </c>
      <c r="D497" s="55"/>
      <c r="E497" s="61">
        <v>1388991</v>
      </c>
      <c r="G497" s="56">
        <f t="shared" si="36"/>
        <v>25659513</v>
      </c>
      <c r="H497" s="51"/>
      <c r="J497" s="49"/>
      <c r="K497" s="49"/>
      <c r="L497" s="49"/>
      <c r="M497" s="49"/>
    </row>
    <row r="498" spans="1:13" ht="13" customHeight="1" x14ac:dyDescent="0.25">
      <c r="A498" s="47">
        <v>45468</v>
      </c>
      <c r="B498" s="43" t="s">
        <v>6</v>
      </c>
      <c r="C498" s="48" t="s">
        <v>181</v>
      </c>
      <c r="D498" s="55"/>
      <c r="E498" s="61">
        <v>1401724</v>
      </c>
      <c r="G498" s="56">
        <f t="shared" si="36"/>
        <v>24257789</v>
      </c>
      <c r="H498" s="51"/>
      <c r="J498" s="49"/>
      <c r="K498" s="49"/>
      <c r="L498" s="49"/>
      <c r="M498" s="49"/>
    </row>
    <row r="499" spans="1:13" ht="13" customHeight="1" x14ac:dyDescent="0.25">
      <c r="A499" s="47">
        <v>45498</v>
      </c>
      <c r="B499" s="43" t="s">
        <v>6</v>
      </c>
      <c r="C499" s="48" t="s">
        <v>181</v>
      </c>
      <c r="D499" s="55"/>
      <c r="E499" s="61">
        <v>1414573</v>
      </c>
      <c r="G499" s="56">
        <f t="shared" si="36"/>
        <v>22843216</v>
      </c>
      <c r="H499" s="51"/>
      <c r="J499" s="49"/>
      <c r="K499" s="49"/>
      <c r="L499" s="49"/>
      <c r="M499" s="49"/>
    </row>
    <row r="500" spans="1:13" ht="13" customHeight="1" x14ac:dyDescent="0.25">
      <c r="A500" s="47">
        <v>45527</v>
      </c>
      <c r="B500" s="43" t="s">
        <v>6</v>
      </c>
      <c r="C500" s="48" t="s">
        <v>181</v>
      </c>
      <c r="D500" s="55"/>
      <c r="E500" s="61">
        <v>1427540</v>
      </c>
      <c r="G500" s="56">
        <f t="shared" si="36"/>
        <v>21415676</v>
      </c>
      <c r="H500" s="51"/>
      <c r="J500" s="49"/>
      <c r="K500" s="49"/>
      <c r="L500" s="49"/>
      <c r="M500" s="49"/>
    </row>
    <row r="501" spans="1:13" ht="13" customHeight="1" x14ac:dyDescent="0.25">
      <c r="A501" s="47">
        <v>45560</v>
      </c>
      <c r="B501" s="43" t="s">
        <v>6</v>
      </c>
      <c r="C501" s="48" t="s">
        <v>181</v>
      </c>
      <c r="D501" s="55"/>
      <c r="E501" s="61">
        <v>1440625</v>
      </c>
      <c r="G501" s="56">
        <f t="shared" si="36"/>
        <v>19975051</v>
      </c>
      <c r="H501" s="51"/>
      <c r="J501" s="49"/>
      <c r="K501" s="49"/>
      <c r="L501" s="49"/>
      <c r="M501" s="49"/>
    </row>
    <row r="502" spans="1:13" ht="13" customHeight="1" x14ac:dyDescent="0.25">
      <c r="A502" s="47">
        <v>45590</v>
      </c>
      <c r="B502" s="43" t="s">
        <v>6</v>
      </c>
      <c r="C502" s="48" t="s">
        <v>181</v>
      </c>
      <c r="D502" s="55"/>
      <c r="E502" s="61">
        <v>1453831</v>
      </c>
      <c r="G502" s="56">
        <f t="shared" si="36"/>
        <v>18521220</v>
      </c>
      <c r="H502" s="51"/>
      <c r="J502" s="49"/>
      <c r="K502" s="49"/>
      <c r="L502" s="49"/>
      <c r="M502" s="49"/>
    </row>
    <row r="503" spans="1:13" ht="26" x14ac:dyDescent="0.25">
      <c r="A503" s="47">
        <v>45621</v>
      </c>
      <c r="B503" s="43" t="s">
        <v>6</v>
      </c>
      <c r="C503" s="48" t="s">
        <v>181</v>
      </c>
      <c r="E503" s="58">
        <v>1467158</v>
      </c>
      <c r="G503" s="56">
        <f t="shared" si="36"/>
        <v>17054062</v>
      </c>
      <c r="H503" s="51"/>
      <c r="I503" s="51"/>
      <c r="J503" s="51"/>
      <c r="K503" s="51"/>
      <c r="L503" s="51"/>
      <c r="M503" s="51"/>
    </row>
    <row r="504" spans="1:13" ht="26" x14ac:dyDescent="0.25">
      <c r="A504" s="47">
        <v>45649</v>
      </c>
      <c r="B504" s="43" t="s">
        <v>6</v>
      </c>
      <c r="C504" s="48" t="s">
        <v>181</v>
      </c>
      <c r="E504" s="58">
        <v>1480607</v>
      </c>
      <c r="G504" s="56">
        <f t="shared" si="36"/>
        <v>15573455</v>
      </c>
      <c r="H504" s="51"/>
      <c r="I504" s="51"/>
      <c r="J504" s="51"/>
      <c r="K504" s="51"/>
      <c r="L504" s="51"/>
      <c r="M504" s="51"/>
    </row>
    <row r="505" spans="1:13" x14ac:dyDescent="0.25">
      <c r="A505" s="51"/>
      <c r="B505" s="50" t="s">
        <v>182</v>
      </c>
      <c r="C505" s="50"/>
      <c r="D505" s="54"/>
      <c r="E505" s="59"/>
      <c r="H505" s="51"/>
      <c r="I505" s="51"/>
      <c r="J505" s="51"/>
      <c r="K505" s="51"/>
      <c r="L505" s="51"/>
      <c r="M505" s="51"/>
    </row>
    <row r="506" spans="1:13" x14ac:dyDescent="0.25">
      <c r="A506" s="47">
        <v>45292</v>
      </c>
      <c r="B506" s="43" t="s">
        <v>0</v>
      </c>
      <c r="C506" s="48" t="s">
        <v>1</v>
      </c>
      <c r="D506" s="55"/>
      <c r="E506" s="60"/>
      <c r="F506" s="49">
        <v>118670136</v>
      </c>
      <c r="G506" s="56"/>
      <c r="H506" s="49"/>
      <c r="I506" s="51"/>
      <c r="K506" s="49"/>
      <c r="L506" s="49"/>
      <c r="M506" s="49"/>
    </row>
    <row r="507" spans="1:13" ht="13" customHeight="1" x14ac:dyDescent="0.25">
      <c r="A507" s="47">
        <v>45316</v>
      </c>
      <c r="B507" s="43" t="s">
        <v>6</v>
      </c>
      <c r="C507" s="48" t="s">
        <v>183</v>
      </c>
      <c r="D507" s="55"/>
      <c r="E507" s="61">
        <v>1300198</v>
      </c>
      <c r="G507" s="56">
        <f>F506-E507</f>
        <v>117369938</v>
      </c>
      <c r="H507" s="51"/>
      <c r="J507" s="49"/>
      <c r="K507" s="49"/>
      <c r="L507" s="49"/>
      <c r="M507" s="49"/>
    </row>
    <row r="508" spans="1:13" ht="13" customHeight="1" x14ac:dyDescent="0.25">
      <c r="A508" s="47">
        <v>45345</v>
      </c>
      <c r="B508" s="43" t="s">
        <v>6</v>
      </c>
      <c r="C508" s="48" t="s">
        <v>183</v>
      </c>
      <c r="D508" s="55"/>
      <c r="E508" s="61">
        <v>1311846</v>
      </c>
      <c r="G508" s="56">
        <f>G507-E508</f>
        <v>116058092</v>
      </c>
      <c r="H508" s="51"/>
      <c r="J508" s="49"/>
      <c r="K508" s="49"/>
      <c r="L508" s="49"/>
      <c r="M508" s="49"/>
    </row>
    <row r="509" spans="1:13" ht="13" customHeight="1" x14ac:dyDescent="0.25">
      <c r="A509" s="47">
        <v>45376</v>
      </c>
      <c r="B509" s="43" t="s">
        <v>6</v>
      </c>
      <c r="C509" s="48" t="s">
        <v>183</v>
      </c>
      <c r="D509" s="55"/>
      <c r="E509" s="61">
        <v>1323598</v>
      </c>
      <c r="G509" s="56">
        <f t="shared" ref="G509:G517" si="37">G508-E509</f>
        <v>114734494</v>
      </c>
      <c r="H509" s="51"/>
      <c r="J509" s="49"/>
      <c r="K509" s="49"/>
      <c r="L509" s="49"/>
      <c r="M509" s="49"/>
    </row>
    <row r="510" spans="1:13" ht="13" customHeight="1" x14ac:dyDescent="0.25">
      <c r="A510" s="47">
        <v>45407</v>
      </c>
      <c r="B510" s="43" t="s">
        <v>6</v>
      </c>
      <c r="C510" s="48" t="s">
        <v>183</v>
      </c>
      <c r="D510" s="55"/>
      <c r="E510" s="61">
        <v>1335455</v>
      </c>
      <c r="G510" s="56">
        <f t="shared" si="37"/>
        <v>113399039</v>
      </c>
      <c r="H510" s="51"/>
      <c r="J510" s="49"/>
      <c r="K510" s="49"/>
      <c r="L510" s="49"/>
      <c r="M510" s="49"/>
    </row>
    <row r="511" spans="1:13" ht="13" customHeight="1" x14ac:dyDescent="0.25">
      <c r="A511" s="47">
        <v>45468</v>
      </c>
      <c r="B511" s="43" t="s">
        <v>6</v>
      </c>
      <c r="C511" s="48" t="s">
        <v>183</v>
      </c>
      <c r="D511" s="55"/>
      <c r="E511" s="61">
        <v>1347418</v>
      </c>
      <c r="G511" s="56">
        <f t="shared" si="37"/>
        <v>112051621</v>
      </c>
      <c r="H511" s="51"/>
      <c r="J511" s="49"/>
      <c r="K511" s="49"/>
      <c r="L511" s="49"/>
      <c r="M511" s="49"/>
    </row>
    <row r="512" spans="1:13" ht="13" customHeight="1" x14ac:dyDescent="0.25">
      <c r="A512" s="47">
        <v>45498</v>
      </c>
      <c r="B512" s="43" t="s">
        <v>6</v>
      </c>
      <c r="C512" s="48" t="s">
        <v>183</v>
      </c>
      <c r="D512" s="55"/>
      <c r="E512" s="61">
        <v>1359489</v>
      </c>
      <c r="G512" s="56">
        <f t="shared" si="37"/>
        <v>110692132</v>
      </c>
      <c r="H512" s="51"/>
      <c r="J512" s="49"/>
      <c r="K512" s="49"/>
      <c r="L512" s="49"/>
      <c r="M512" s="49"/>
    </row>
    <row r="513" spans="1:13" ht="13" customHeight="1" x14ac:dyDescent="0.25">
      <c r="A513" s="47">
        <v>45527</v>
      </c>
      <c r="B513" s="43" t="s">
        <v>6</v>
      </c>
      <c r="C513" s="48" t="s">
        <v>183</v>
      </c>
      <c r="D513" s="55"/>
      <c r="E513" s="61">
        <v>1371668</v>
      </c>
      <c r="G513" s="56">
        <f t="shared" si="37"/>
        <v>109320464</v>
      </c>
      <c r="H513" s="51"/>
      <c r="J513" s="49"/>
      <c r="K513" s="49"/>
      <c r="L513" s="49"/>
      <c r="M513" s="49"/>
    </row>
    <row r="514" spans="1:13" ht="13" customHeight="1" x14ac:dyDescent="0.25">
      <c r="A514" s="47">
        <v>45560</v>
      </c>
      <c r="B514" s="43" t="s">
        <v>6</v>
      </c>
      <c r="C514" s="48" t="s">
        <v>183</v>
      </c>
      <c r="D514" s="55"/>
      <c r="E514" s="61">
        <v>1383956</v>
      </c>
      <c r="G514" s="56">
        <f t="shared" si="37"/>
        <v>107936508</v>
      </c>
      <c r="H514" s="51"/>
      <c r="J514" s="49"/>
      <c r="K514" s="49"/>
      <c r="L514" s="49"/>
      <c r="M514" s="49"/>
    </row>
    <row r="515" spans="1:13" ht="13" customHeight="1" x14ac:dyDescent="0.25">
      <c r="A515" s="47">
        <v>45590</v>
      </c>
      <c r="B515" s="43" t="s">
        <v>6</v>
      </c>
      <c r="C515" s="48" t="s">
        <v>183</v>
      </c>
      <c r="D515" s="55"/>
      <c r="E515" s="61">
        <v>1396354</v>
      </c>
      <c r="G515" s="56">
        <f t="shared" si="37"/>
        <v>106540154</v>
      </c>
      <c r="H515" s="51"/>
      <c r="J515" s="49"/>
      <c r="K515" s="49"/>
      <c r="L515" s="49"/>
      <c r="M515" s="49"/>
    </row>
    <row r="516" spans="1:13" ht="26" x14ac:dyDescent="0.25">
      <c r="A516" s="47">
        <v>45621</v>
      </c>
      <c r="B516" s="43" t="s">
        <v>6</v>
      </c>
      <c r="C516" s="48" t="s">
        <v>183</v>
      </c>
      <c r="E516" s="58">
        <v>1408863</v>
      </c>
      <c r="G516" s="56">
        <f t="shared" si="37"/>
        <v>105131291</v>
      </c>
      <c r="H516" s="51"/>
      <c r="I516" s="51"/>
      <c r="J516" s="51"/>
      <c r="K516" s="51"/>
      <c r="L516" s="51"/>
      <c r="M516" s="51"/>
    </row>
    <row r="517" spans="1:13" ht="26" x14ac:dyDescent="0.25">
      <c r="A517" s="47">
        <v>45649</v>
      </c>
      <c r="B517" s="43" t="s">
        <v>6</v>
      </c>
      <c r="C517" s="48" t="s">
        <v>183</v>
      </c>
      <c r="E517" s="58">
        <v>1421484</v>
      </c>
      <c r="G517" s="56">
        <f t="shared" si="37"/>
        <v>103709807</v>
      </c>
      <c r="H517" s="51"/>
      <c r="I517" s="51"/>
      <c r="J517" s="51"/>
      <c r="K517" s="51"/>
      <c r="L517" s="51"/>
      <c r="M517" s="51"/>
    </row>
    <row r="518" spans="1:13" x14ac:dyDescent="0.25">
      <c r="A518" s="51"/>
      <c r="B518" s="50" t="s">
        <v>111</v>
      </c>
      <c r="C518" s="50"/>
      <c r="D518" s="54"/>
      <c r="E518" s="59"/>
      <c r="H518" s="51"/>
      <c r="I518" s="51"/>
      <c r="J518" s="51"/>
      <c r="K518" s="51"/>
      <c r="L518" s="51"/>
      <c r="M518" s="51"/>
    </row>
    <row r="519" spans="1:13" x14ac:dyDescent="0.25">
      <c r="A519" s="47">
        <v>45292</v>
      </c>
      <c r="B519" s="43" t="s">
        <v>0</v>
      </c>
      <c r="C519" s="48" t="s">
        <v>1</v>
      </c>
      <c r="D519" s="55"/>
      <c r="E519" s="60"/>
      <c r="F519" s="49">
        <v>130438853</v>
      </c>
      <c r="G519" s="56"/>
      <c r="H519" s="49"/>
      <c r="I519" s="51"/>
      <c r="K519" s="49"/>
      <c r="L519" s="49"/>
      <c r="M519" s="49"/>
    </row>
    <row r="520" spans="1:13" ht="13" customHeight="1" x14ac:dyDescent="0.25">
      <c r="A520" s="47">
        <v>45316</v>
      </c>
      <c r="B520" s="43" t="s">
        <v>6</v>
      </c>
      <c r="C520" s="48" t="s">
        <v>184</v>
      </c>
      <c r="D520" s="55"/>
      <c r="E520" s="61">
        <v>1142298</v>
      </c>
      <c r="G520" s="56">
        <f>F519-E520</f>
        <v>129296555</v>
      </c>
      <c r="H520" s="51"/>
      <c r="J520" s="49"/>
      <c r="K520" s="49"/>
      <c r="L520" s="49"/>
      <c r="M520" s="49"/>
    </row>
    <row r="521" spans="1:13" ht="13" customHeight="1" x14ac:dyDescent="0.25">
      <c r="A521" s="47">
        <v>45345</v>
      </c>
      <c r="B521" s="43" t="s">
        <v>6</v>
      </c>
      <c r="C521" s="48" t="s">
        <v>184</v>
      </c>
      <c r="D521" s="55"/>
      <c r="E521" s="61">
        <v>1152531</v>
      </c>
      <c r="G521" s="56">
        <f>G520-E521</f>
        <v>128144024</v>
      </c>
      <c r="H521" s="51"/>
      <c r="J521" s="49"/>
      <c r="K521" s="49"/>
      <c r="L521" s="49"/>
      <c r="M521" s="49"/>
    </row>
    <row r="522" spans="1:13" ht="13" customHeight="1" x14ac:dyDescent="0.25">
      <c r="A522" s="47">
        <v>45376</v>
      </c>
      <c r="B522" s="43" t="s">
        <v>6</v>
      </c>
      <c r="C522" s="48" t="s">
        <v>184</v>
      </c>
      <c r="D522" s="55"/>
      <c r="E522" s="61">
        <v>1162856</v>
      </c>
      <c r="G522" s="56">
        <f t="shared" ref="G522:G531" si="38">G521-E522</f>
        <v>126981168</v>
      </c>
      <c r="H522" s="51"/>
      <c r="J522" s="49"/>
      <c r="K522" s="49"/>
      <c r="L522" s="49"/>
      <c r="M522" s="49"/>
    </row>
    <row r="523" spans="1:13" ht="13" customHeight="1" x14ac:dyDescent="0.25">
      <c r="A523" s="47">
        <v>45407</v>
      </c>
      <c r="B523" s="43" t="s">
        <v>6</v>
      </c>
      <c r="C523" s="48" t="s">
        <v>184</v>
      </c>
      <c r="D523" s="55"/>
      <c r="E523" s="61">
        <v>1173273</v>
      </c>
      <c r="G523" s="56">
        <f t="shared" si="38"/>
        <v>125807895</v>
      </c>
      <c r="H523" s="51"/>
      <c r="J523" s="49"/>
      <c r="K523" s="49"/>
      <c r="L523" s="49"/>
      <c r="M523" s="49"/>
    </row>
    <row r="524" spans="1:13" ht="13" customHeight="1" x14ac:dyDescent="0.25">
      <c r="A524" s="47">
        <v>45434</v>
      </c>
      <c r="B524" s="43" t="s">
        <v>6</v>
      </c>
      <c r="C524" s="48" t="s">
        <v>184</v>
      </c>
      <c r="D524" s="55"/>
      <c r="E524" s="61">
        <v>1183784</v>
      </c>
      <c r="G524" s="56">
        <f t="shared" si="38"/>
        <v>124624111</v>
      </c>
      <c r="H524" s="51"/>
      <c r="J524" s="49"/>
      <c r="K524" s="49"/>
      <c r="L524" s="49"/>
      <c r="M524" s="49"/>
    </row>
    <row r="525" spans="1:13" ht="13" customHeight="1" x14ac:dyDescent="0.25">
      <c r="A525" s="47">
        <v>45468</v>
      </c>
      <c r="B525" s="43" t="s">
        <v>6</v>
      </c>
      <c r="C525" s="48" t="s">
        <v>184</v>
      </c>
      <c r="D525" s="55"/>
      <c r="E525" s="61">
        <v>1194389</v>
      </c>
      <c r="G525" s="56">
        <f t="shared" si="38"/>
        <v>123429722</v>
      </c>
      <c r="H525" s="51"/>
      <c r="J525" s="49"/>
      <c r="K525" s="49"/>
      <c r="L525" s="49"/>
      <c r="M525" s="49"/>
    </row>
    <row r="526" spans="1:13" ht="13" customHeight="1" x14ac:dyDescent="0.25">
      <c r="A526" s="47">
        <v>45498</v>
      </c>
      <c r="B526" s="43" t="s">
        <v>6</v>
      </c>
      <c r="C526" s="48" t="s">
        <v>184</v>
      </c>
      <c r="D526" s="55"/>
      <c r="E526" s="61">
        <v>1205088</v>
      </c>
      <c r="G526" s="56">
        <f t="shared" si="38"/>
        <v>122224634</v>
      </c>
      <c r="H526" s="51"/>
      <c r="J526" s="49"/>
      <c r="K526" s="49"/>
      <c r="L526" s="49"/>
      <c r="M526" s="49"/>
    </row>
    <row r="527" spans="1:13" ht="13" customHeight="1" x14ac:dyDescent="0.25">
      <c r="A527" s="47">
        <v>45527</v>
      </c>
      <c r="B527" s="43" t="s">
        <v>6</v>
      </c>
      <c r="C527" s="48" t="s">
        <v>184</v>
      </c>
      <c r="D527" s="55"/>
      <c r="E527" s="61">
        <v>1215884</v>
      </c>
      <c r="G527" s="56">
        <f t="shared" si="38"/>
        <v>121008750</v>
      </c>
      <c r="H527" s="51"/>
      <c r="J527" s="49"/>
      <c r="K527" s="49"/>
      <c r="L527" s="49"/>
      <c r="M527" s="49"/>
    </row>
    <row r="528" spans="1:13" ht="13" customHeight="1" x14ac:dyDescent="0.25">
      <c r="A528" s="47">
        <v>45560</v>
      </c>
      <c r="B528" s="43" t="s">
        <v>6</v>
      </c>
      <c r="C528" s="48" t="s">
        <v>184</v>
      </c>
      <c r="D528" s="55"/>
      <c r="E528" s="61">
        <v>1226776</v>
      </c>
      <c r="G528" s="56">
        <f t="shared" si="38"/>
        <v>119781974</v>
      </c>
      <c r="H528" s="51"/>
      <c r="J528" s="49"/>
      <c r="K528" s="49"/>
      <c r="L528" s="49"/>
      <c r="M528" s="49"/>
    </row>
    <row r="529" spans="1:13" ht="13" customHeight="1" x14ac:dyDescent="0.25">
      <c r="A529" s="47">
        <v>45590</v>
      </c>
      <c r="B529" s="43" t="s">
        <v>6</v>
      </c>
      <c r="C529" s="48" t="s">
        <v>184</v>
      </c>
      <c r="D529" s="55"/>
      <c r="E529" s="61">
        <v>1237766</v>
      </c>
      <c r="G529" s="56">
        <f t="shared" si="38"/>
        <v>118544208</v>
      </c>
      <c r="H529" s="51"/>
      <c r="J529" s="49"/>
      <c r="K529" s="49"/>
      <c r="L529" s="49"/>
      <c r="M529" s="49"/>
    </row>
    <row r="530" spans="1:13" ht="26" x14ac:dyDescent="0.25">
      <c r="A530" s="47">
        <v>45621</v>
      </c>
      <c r="B530" s="43" t="s">
        <v>6</v>
      </c>
      <c r="C530" s="48" t="s">
        <v>184</v>
      </c>
      <c r="E530" s="58">
        <v>1248854</v>
      </c>
      <c r="G530" s="56">
        <f t="shared" si="38"/>
        <v>117295354</v>
      </c>
      <c r="H530" s="51"/>
      <c r="I530" s="51"/>
      <c r="J530" s="51"/>
      <c r="K530" s="51"/>
      <c r="L530" s="51"/>
      <c r="M530" s="51"/>
    </row>
    <row r="531" spans="1:13" ht="26" x14ac:dyDescent="0.25">
      <c r="A531" s="47">
        <v>45649</v>
      </c>
      <c r="B531" s="43" t="s">
        <v>6</v>
      </c>
      <c r="C531" s="48" t="s">
        <v>184</v>
      </c>
      <c r="E531" s="58">
        <v>1260042</v>
      </c>
      <c r="G531" s="56">
        <f t="shared" si="38"/>
        <v>116035312</v>
      </c>
      <c r="H531" s="51"/>
      <c r="I531" s="51"/>
      <c r="J531" s="51"/>
      <c r="K531" s="51"/>
      <c r="L531" s="51"/>
      <c r="M531" s="51"/>
    </row>
    <row r="532" spans="1:13" x14ac:dyDescent="0.25">
      <c r="A532" s="51"/>
      <c r="B532" s="50" t="s">
        <v>185</v>
      </c>
      <c r="C532" s="50"/>
      <c r="D532" s="54"/>
      <c r="E532" s="59"/>
      <c r="H532" s="51"/>
      <c r="I532" s="51"/>
      <c r="J532" s="51"/>
      <c r="K532" s="51"/>
      <c r="L532" s="51"/>
      <c r="M532" s="51"/>
    </row>
    <row r="533" spans="1:13" x14ac:dyDescent="0.25">
      <c r="A533" s="47">
        <v>45292</v>
      </c>
      <c r="B533" s="43" t="s">
        <v>0</v>
      </c>
      <c r="C533" s="48" t="s">
        <v>1</v>
      </c>
      <c r="D533" s="55"/>
      <c r="E533" s="60"/>
      <c r="F533" s="49">
        <v>250000000</v>
      </c>
      <c r="G533" s="56"/>
      <c r="H533" s="49"/>
      <c r="I533" s="51"/>
      <c r="K533" s="49"/>
      <c r="L533" s="49"/>
      <c r="M533" s="49"/>
    </row>
    <row r="534" spans="1:13" ht="13" customHeight="1" x14ac:dyDescent="0.25">
      <c r="A534" s="47">
        <v>45316</v>
      </c>
      <c r="B534" s="43" t="s">
        <v>6</v>
      </c>
      <c r="C534" s="48" t="s">
        <v>186</v>
      </c>
      <c r="D534" s="55"/>
      <c r="E534" s="61">
        <v>1168884</v>
      </c>
      <c r="G534" s="56">
        <f>F533-E534</f>
        <v>248831116</v>
      </c>
      <c r="H534" s="51"/>
      <c r="J534" s="49"/>
      <c r="K534" s="49"/>
      <c r="L534" s="49"/>
      <c r="M534" s="49"/>
    </row>
    <row r="535" spans="1:13" ht="13" customHeight="1" x14ac:dyDescent="0.25">
      <c r="A535" s="47">
        <v>45345</v>
      </c>
      <c r="B535" s="43" t="s">
        <v>6</v>
      </c>
      <c r="C535" s="48" t="s">
        <v>186</v>
      </c>
      <c r="D535" s="55"/>
      <c r="E535" s="61">
        <v>1179355</v>
      </c>
      <c r="G535" s="56">
        <f>G534-E535</f>
        <v>247651761</v>
      </c>
      <c r="H535" s="51"/>
      <c r="J535" s="49"/>
      <c r="K535" s="49"/>
      <c r="L535" s="49"/>
      <c r="M535" s="49"/>
    </row>
    <row r="536" spans="1:13" ht="13" customHeight="1" x14ac:dyDescent="0.25">
      <c r="A536" s="47">
        <v>45376</v>
      </c>
      <c r="B536" s="43" t="s">
        <v>6</v>
      </c>
      <c r="C536" s="48" t="s">
        <v>186</v>
      </c>
      <c r="D536" s="55"/>
      <c r="E536" s="61">
        <v>1189920</v>
      </c>
      <c r="G536" s="56">
        <f t="shared" ref="G536:G545" si="39">G535-E536</f>
        <v>246461841</v>
      </c>
      <c r="H536" s="51"/>
      <c r="J536" s="49"/>
      <c r="K536" s="49"/>
      <c r="L536" s="49"/>
      <c r="M536" s="49"/>
    </row>
    <row r="537" spans="1:13" ht="13" customHeight="1" x14ac:dyDescent="0.25">
      <c r="A537" s="47">
        <v>45407</v>
      </c>
      <c r="B537" s="43" t="s">
        <v>6</v>
      </c>
      <c r="C537" s="48" t="s">
        <v>186</v>
      </c>
      <c r="D537" s="55"/>
      <c r="E537" s="61">
        <v>1200580</v>
      </c>
      <c r="G537" s="56">
        <f t="shared" si="39"/>
        <v>245261261</v>
      </c>
      <c r="H537" s="51"/>
      <c r="J537" s="49"/>
      <c r="K537" s="49"/>
      <c r="L537" s="49"/>
      <c r="M537" s="49"/>
    </row>
    <row r="538" spans="1:13" ht="13" customHeight="1" x14ac:dyDescent="0.25">
      <c r="A538" s="47">
        <v>45434</v>
      </c>
      <c r="B538" s="43" t="s">
        <v>6</v>
      </c>
      <c r="C538" s="48" t="s">
        <v>186</v>
      </c>
      <c r="D538" s="55"/>
      <c r="E538" s="61">
        <v>1211335</v>
      </c>
      <c r="G538" s="56">
        <f t="shared" si="39"/>
        <v>244049926</v>
      </c>
      <c r="H538" s="51"/>
      <c r="J538" s="49"/>
      <c r="K538" s="49"/>
      <c r="L538" s="49"/>
      <c r="M538" s="49"/>
    </row>
    <row r="539" spans="1:13" ht="13" customHeight="1" x14ac:dyDescent="0.25">
      <c r="A539" s="47">
        <v>45468</v>
      </c>
      <c r="B539" s="43" t="s">
        <v>6</v>
      </c>
      <c r="C539" s="48" t="s">
        <v>186</v>
      </c>
      <c r="D539" s="55"/>
      <c r="E539" s="61">
        <v>1222186</v>
      </c>
      <c r="G539" s="56">
        <f t="shared" si="39"/>
        <v>242827740</v>
      </c>
      <c r="H539" s="51"/>
      <c r="J539" s="49"/>
      <c r="K539" s="49"/>
      <c r="L539" s="49"/>
      <c r="M539" s="49"/>
    </row>
    <row r="540" spans="1:13" ht="13" customHeight="1" x14ac:dyDescent="0.25">
      <c r="A540" s="47">
        <v>45498</v>
      </c>
      <c r="B540" s="43" t="s">
        <v>6</v>
      </c>
      <c r="C540" s="48" t="s">
        <v>186</v>
      </c>
      <c r="D540" s="55"/>
      <c r="E540" s="61">
        <v>1233135</v>
      </c>
      <c r="G540" s="56">
        <f t="shared" si="39"/>
        <v>241594605</v>
      </c>
      <c r="H540" s="51"/>
      <c r="J540" s="49"/>
      <c r="K540" s="49"/>
      <c r="L540" s="49"/>
      <c r="M540" s="49"/>
    </row>
    <row r="541" spans="1:13" ht="13" customHeight="1" x14ac:dyDescent="0.25">
      <c r="A541" s="47">
        <v>45527</v>
      </c>
      <c r="B541" s="43" t="s">
        <v>6</v>
      </c>
      <c r="C541" s="48" t="s">
        <v>187</v>
      </c>
      <c r="D541" s="55"/>
      <c r="E541" s="61">
        <v>1244182</v>
      </c>
      <c r="G541" s="56">
        <f t="shared" si="39"/>
        <v>240350423</v>
      </c>
      <c r="H541" s="51"/>
      <c r="J541" s="49"/>
      <c r="K541" s="49"/>
      <c r="L541" s="49"/>
      <c r="M541" s="49"/>
    </row>
    <row r="542" spans="1:13" ht="13" customHeight="1" x14ac:dyDescent="0.25">
      <c r="A542" s="47">
        <v>45560</v>
      </c>
      <c r="B542" s="43" t="s">
        <v>6</v>
      </c>
      <c r="C542" s="48" t="s">
        <v>186</v>
      </c>
      <c r="D542" s="55"/>
      <c r="E542" s="61">
        <v>1255328</v>
      </c>
      <c r="G542" s="56">
        <f t="shared" si="39"/>
        <v>239095095</v>
      </c>
      <c r="H542" s="51"/>
      <c r="J542" s="49"/>
      <c r="K542" s="49"/>
      <c r="L542" s="49"/>
      <c r="M542" s="49"/>
    </row>
    <row r="543" spans="1:13" ht="13" customHeight="1" x14ac:dyDescent="0.25">
      <c r="A543" s="47">
        <v>45590</v>
      </c>
      <c r="B543" s="43" t="s">
        <v>6</v>
      </c>
      <c r="C543" s="48" t="s">
        <v>186</v>
      </c>
      <c r="D543" s="55"/>
      <c r="E543" s="61">
        <v>1266573</v>
      </c>
      <c r="G543" s="56">
        <f t="shared" si="39"/>
        <v>237828522</v>
      </c>
      <c r="H543" s="51"/>
      <c r="J543" s="49"/>
      <c r="K543" s="49"/>
      <c r="L543" s="49"/>
      <c r="M543" s="49"/>
    </row>
    <row r="544" spans="1:13" ht="26" x14ac:dyDescent="0.25">
      <c r="A544" s="47">
        <v>45621</v>
      </c>
      <c r="B544" s="43" t="s">
        <v>6</v>
      </c>
      <c r="C544" s="48" t="s">
        <v>186</v>
      </c>
      <c r="E544" s="58">
        <v>1277920</v>
      </c>
      <c r="G544" s="56">
        <f t="shared" si="39"/>
        <v>236550602</v>
      </c>
      <c r="H544" s="51"/>
      <c r="I544" s="51"/>
      <c r="J544" s="51"/>
      <c r="K544" s="51"/>
      <c r="L544" s="51"/>
      <c r="M544" s="51"/>
    </row>
    <row r="545" spans="1:13" ht="26" x14ac:dyDescent="0.25">
      <c r="A545" s="47">
        <v>45649</v>
      </c>
      <c r="B545" s="43" t="s">
        <v>6</v>
      </c>
      <c r="C545" s="48" t="s">
        <v>186</v>
      </c>
      <c r="E545" s="58">
        <v>1289368</v>
      </c>
      <c r="G545" s="56">
        <f t="shared" si="39"/>
        <v>235261234</v>
      </c>
      <c r="H545" s="51"/>
      <c r="I545" s="51"/>
      <c r="J545" s="51"/>
      <c r="K545" s="51"/>
      <c r="L545" s="51"/>
      <c r="M545" s="51"/>
    </row>
    <row r="546" spans="1:13" ht="13" customHeight="1" x14ac:dyDescent="0.25">
      <c r="A546" s="51"/>
      <c r="B546" s="51"/>
      <c r="C546" s="44"/>
      <c r="D546" s="52"/>
      <c r="E546" s="62"/>
      <c r="F546" s="52"/>
      <c r="G546" s="52"/>
      <c r="H546" s="46"/>
      <c r="I546" s="46"/>
      <c r="J546" s="46"/>
      <c r="K546" s="46"/>
      <c r="L546" s="46"/>
      <c r="M546" s="46"/>
    </row>
    <row r="547" spans="1:13" x14ac:dyDescent="0.25">
      <c r="A547" s="51"/>
      <c r="B547" s="51"/>
      <c r="C547" s="51"/>
      <c r="D547" s="58">
        <f t="shared" ref="D547:E547" si="40">SUM(D8:D546)</f>
        <v>850000000</v>
      </c>
      <c r="E547" s="58">
        <f t="shared" si="40"/>
        <v>1714572039</v>
      </c>
      <c r="F547" s="58">
        <f>SUM(F8:F546)</f>
        <v>7652994087</v>
      </c>
      <c r="H547" s="51"/>
      <c r="I547" s="51"/>
      <c r="J547" s="51"/>
      <c r="K547" s="51"/>
      <c r="L547" s="51"/>
      <c r="M547" s="51"/>
    </row>
    <row r="548" spans="1:13" x14ac:dyDescent="0.25">
      <c r="A548" s="51"/>
      <c r="B548" s="51"/>
      <c r="C548" s="51"/>
      <c r="D548" s="52"/>
      <c r="E548" s="62">
        <f>1714572040</f>
        <v>1714572040</v>
      </c>
      <c r="F548" s="19">
        <v>7652994087</v>
      </c>
      <c r="G548" s="52"/>
      <c r="H548" s="46"/>
      <c r="I548" s="46"/>
      <c r="J548" s="46"/>
      <c r="K548" s="46"/>
      <c r="L548" s="46"/>
      <c r="M548" s="46"/>
    </row>
    <row r="549" spans="1:13" x14ac:dyDescent="0.25">
      <c r="E549" s="58">
        <f>E547-E548</f>
        <v>-1</v>
      </c>
      <c r="F549" s="53">
        <f>F547-F548</f>
        <v>0</v>
      </c>
    </row>
  </sheetData>
  <mergeCells count="1">
    <mergeCell ref="A61:F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8EFD-44D5-4492-9F00-BABAB9D71F51}">
  <dimension ref="A1:N211"/>
  <sheetViews>
    <sheetView topLeftCell="A164" zoomScale="90" zoomScaleNormal="90" workbookViewId="0">
      <selection activeCell="E176" sqref="E176"/>
    </sheetView>
  </sheetViews>
  <sheetFormatPr defaultRowHeight="13" x14ac:dyDescent="0.25"/>
  <cols>
    <col min="1" max="1" width="9.90625" style="8" bestFit="1" customWidth="1"/>
    <col min="3" max="3" width="35" customWidth="1"/>
    <col min="4" max="6" width="19.1796875" style="15" customWidth="1"/>
    <col min="7" max="7" width="19.81640625" customWidth="1"/>
    <col min="8" max="10" width="12" bestFit="1" customWidth="1"/>
    <col min="11" max="14" width="17.90625" customWidth="1"/>
  </cols>
  <sheetData>
    <row r="1" spans="1:12" x14ac:dyDescent="0.25">
      <c r="A1" s="6" t="s">
        <v>188</v>
      </c>
    </row>
    <row r="3" spans="1:12" x14ac:dyDescent="0.25">
      <c r="B3" s="2"/>
      <c r="C3" s="2"/>
      <c r="D3" s="12" t="s">
        <v>57</v>
      </c>
      <c r="E3" s="12"/>
      <c r="F3" s="12" t="s">
        <v>58</v>
      </c>
      <c r="G3" s="12" t="s">
        <v>61</v>
      </c>
    </row>
    <row r="4" spans="1:12" x14ac:dyDescent="0.25">
      <c r="B4" s="2"/>
      <c r="C4" s="2"/>
      <c r="D4" s="12" t="s">
        <v>59</v>
      </c>
      <c r="E4" s="12" t="s">
        <v>60</v>
      </c>
      <c r="F4" s="12"/>
    </row>
    <row r="5" spans="1:12" x14ac:dyDescent="0.25">
      <c r="B5" s="2" t="s">
        <v>9</v>
      </c>
      <c r="C5" s="2"/>
      <c r="D5" s="12"/>
      <c r="E5" s="12"/>
      <c r="F5" s="12"/>
    </row>
    <row r="6" spans="1:12" x14ac:dyDescent="0.25">
      <c r="A6" s="10">
        <v>45658</v>
      </c>
      <c r="B6" s="1" t="s">
        <v>0</v>
      </c>
      <c r="C6" s="3" t="s">
        <v>1</v>
      </c>
      <c r="D6" s="13"/>
      <c r="E6" s="13"/>
      <c r="F6" s="4">
        <f>'REKAP PIUTANG BANK'!$R$9</f>
        <v>234214619</v>
      </c>
      <c r="H6" s="4"/>
      <c r="I6" s="4"/>
      <c r="J6" s="4"/>
      <c r="K6" s="4"/>
      <c r="L6" s="4"/>
    </row>
    <row r="7" spans="1:12" ht="13" customHeight="1" x14ac:dyDescent="0.25">
      <c r="A7" s="10">
        <v>45682</v>
      </c>
      <c r="B7" s="1" t="s">
        <v>6</v>
      </c>
      <c r="C7" s="3" t="s">
        <v>10</v>
      </c>
      <c r="D7" s="13"/>
      <c r="E7" s="4">
        <v>4736148</v>
      </c>
      <c r="G7" s="13">
        <f>F6-E7</f>
        <v>229478471</v>
      </c>
      <c r="H7" s="4"/>
      <c r="I7" s="4"/>
      <c r="J7" s="4"/>
      <c r="K7" s="4"/>
      <c r="L7" s="4"/>
    </row>
    <row r="8" spans="1:12" ht="13" customHeight="1" x14ac:dyDescent="0.25">
      <c r="A8" s="10">
        <v>45711</v>
      </c>
      <c r="B8" s="1" t="s">
        <v>6</v>
      </c>
      <c r="C8" s="3" t="s">
        <v>10</v>
      </c>
      <c r="D8" s="13"/>
      <c r="E8" s="4">
        <v>4779366</v>
      </c>
      <c r="G8" s="13">
        <f t="shared" ref="G8:G15" si="0">G7-E8</f>
        <v>224699105</v>
      </c>
      <c r="H8" s="4"/>
      <c r="I8" s="4"/>
      <c r="J8" s="4"/>
      <c r="K8" s="4"/>
      <c r="L8" s="4"/>
    </row>
    <row r="9" spans="1:12" ht="13" customHeight="1" x14ac:dyDescent="0.25">
      <c r="A9" s="10">
        <v>45741</v>
      </c>
      <c r="B9" s="1" t="s">
        <v>6</v>
      </c>
      <c r="C9" s="3" t="s">
        <v>10</v>
      </c>
      <c r="D9" s="13"/>
      <c r="E9" s="4">
        <v>4822977</v>
      </c>
      <c r="G9" s="13">
        <f t="shared" si="0"/>
        <v>219876128</v>
      </c>
      <c r="H9" s="4"/>
      <c r="I9" s="4"/>
      <c r="J9" s="4"/>
      <c r="K9" s="4"/>
      <c r="L9" s="4"/>
    </row>
    <row r="10" spans="1:12" ht="13" customHeight="1" x14ac:dyDescent="0.25">
      <c r="A10" s="10">
        <v>45772</v>
      </c>
      <c r="B10" s="1" t="s">
        <v>6</v>
      </c>
      <c r="C10" s="3" t="s">
        <v>10</v>
      </c>
      <c r="D10" s="13"/>
      <c r="E10" s="4">
        <v>4866987</v>
      </c>
      <c r="G10" s="13">
        <f t="shared" si="0"/>
        <v>215009141</v>
      </c>
      <c r="H10" s="4"/>
      <c r="I10" s="4"/>
      <c r="J10" s="4"/>
      <c r="K10" s="4"/>
      <c r="L10" s="4"/>
    </row>
    <row r="11" spans="1:12" ht="13" customHeight="1" x14ac:dyDescent="0.25">
      <c r="A11" s="10"/>
      <c r="B11" s="1" t="s">
        <v>6</v>
      </c>
      <c r="C11" s="3" t="s">
        <v>10</v>
      </c>
      <c r="D11" s="13"/>
      <c r="E11" s="4"/>
      <c r="G11" s="13">
        <f t="shared" si="0"/>
        <v>215009141</v>
      </c>
      <c r="H11" s="4"/>
      <c r="I11" s="4"/>
      <c r="J11" s="4"/>
      <c r="K11" s="4"/>
      <c r="L11" s="4"/>
    </row>
    <row r="12" spans="1:12" ht="13" customHeight="1" x14ac:dyDescent="0.25">
      <c r="A12" s="10"/>
      <c r="B12" s="1" t="s">
        <v>6</v>
      </c>
      <c r="C12" s="3" t="s">
        <v>10</v>
      </c>
      <c r="D12" s="13"/>
      <c r="E12" s="4"/>
      <c r="G12" s="13">
        <f t="shared" si="0"/>
        <v>215009141</v>
      </c>
      <c r="H12" s="4"/>
      <c r="I12" s="4"/>
      <c r="J12" s="4"/>
      <c r="K12" s="4"/>
      <c r="L12" s="4"/>
    </row>
    <row r="13" spans="1:12" ht="13" customHeight="1" x14ac:dyDescent="0.25">
      <c r="A13" s="10"/>
      <c r="B13" s="1" t="s">
        <v>6</v>
      </c>
      <c r="C13" s="3" t="s">
        <v>11</v>
      </c>
      <c r="D13" s="13"/>
      <c r="E13" s="4"/>
      <c r="G13" s="13">
        <f t="shared" si="0"/>
        <v>215009141</v>
      </c>
      <c r="H13" s="4"/>
      <c r="I13" s="4"/>
      <c r="J13" s="4"/>
      <c r="K13" s="4"/>
      <c r="L13" s="4"/>
    </row>
    <row r="14" spans="1:12" ht="13" customHeight="1" x14ac:dyDescent="0.25">
      <c r="A14" s="10"/>
      <c r="B14" s="1" t="s">
        <v>6</v>
      </c>
      <c r="C14" s="3" t="s">
        <v>10</v>
      </c>
      <c r="D14" s="13"/>
      <c r="E14" s="4"/>
      <c r="G14" s="13">
        <f t="shared" si="0"/>
        <v>215009141</v>
      </c>
      <c r="H14" s="4"/>
      <c r="I14" s="4"/>
      <c r="J14" s="4"/>
      <c r="K14" s="4"/>
      <c r="L14" s="4"/>
    </row>
    <row r="15" spans="1:12" ht="13" customHeight="1" x14ac:dyDescent="0.25">
      <c r="A15" s="10"/>
      <c r="B15" s="1" t="s">
        <v>6</v>
      </c>
      <c r="C15" s="3" t="s">
        <v>10</v>
      </c>
      <c r="D15" s="13"/>
      <c r="E15" s="4"/>
      <c r="G15" s="13">
        <f t="shared" si="0"/>
        <v>215009141</v>
      </c>
      <c r="H15" s="4"/>
      <c r="I15" s="4"/>
      <c r="J15" s="4"/>
      <c r="K15" s="4"/>
      <c r="L15" s="4"/>
    </row>
    <row r="16" spans="1:12" ht="13" customHeight="1" x14ac:dyDescent="0.25">
      <c r="A16" s="10"/>
      <c r="B16" s="1" t="s">
        <v>6</v>
      </c>
      <c r="C16" s="3" t="s">
        <v>10</v>
      </c>
      <c r="D16" s="13"/>
      <c r="E16" s="4"/>
      <c r="G16" s="13">
        <f>G15-E16</f>
        <v>215009141</v>
      </c>
      <c r="H16" s="4"/>
      <c r="I16" s="4"/>
      <c r="J16" s="4"/>
      <c r="K16" s="4"/>
      <c r="L16" s="4"/>
    </row>
    <row r="17" spans="1:12" ht="13" customHeight="1" x14ac:dyDescent="0.25">
      <c r="A17" s="10"/>
      <c r="B17" s="1" t="s">
        <v>6</v>
      </c>
      <c r="C17" s="3" t="s">
        <v>10</v>
      </c>
      <c r="D17" s="14"/>
      <c r="E17" s="14"/>
      <c r="F17" s="14"/>
      <c r="G17" s="13">
        <f t="shared" ref="G17:G18" si="1">G16-E17</f>
        <v>215009141</v>
      </c>
      <c r="H17" s="7"/>
      <c r="I17" s="7"/>
      <c r="J17" s="7"/>
      <c r="K17" s="7"/>
      <c r="L17" s="7"/>
    </row>
    <row r="18" spans="1:12" ht="13" customHeight="1" x14ac:dyDescent="0.25">
      <c r="A18" s="10"/>
      <c r="B18" s="1" t="s">
        <v>6</v>
      </c>
      <c r="C18" s="3" t="s">
        <v>10</v>
      </c>
      <c r="D18" s="14"/>
      <c r="E18" s="14"/>
      <c r="F18" s="14"/>
      <c r="G18" s="13">
        <f t="shared" si="1"/>
        <v>215009141</v>
      </c>
      <c r="H18" s="7"/>
      <c r="I18" s="7"/>
      <c r="J18" s="7"/>
      <c r="K18" s="7"/>
      <c r="L18" s="7"/>
    </row>
    <row r="19" spans="1:12" ht="13" customHeight="1" x14ac:dyDescent="0.25">
      <c r="C19" s="5"/>
      <c r="D19" s="14"/>
      <c r="E19" s="14"/>
      <c r="F19" s="14"/>
      <c r="G19" s="13"/>
      <c r="H19" s="7"/>
      <c r="I19" s="7"/>
      <c r="J19" s="7"/>
      <c r="K19" s="7"/>
      <c r="L19" s="7"/>
    </row>
    <row r="20" spans="1:12" x14ac:dyDescent="0.25">
      <c r="B20" s="2" t="s">
        <v>12</v>
      </c>
      <c r="C20" s="2"/>
      <c r="D20" s="12"/>
      <c r="E20" s="12"/>
      <c r="F20" s="12"/>
    </row>
    <row r="21" spans="1:12" x14ac:dyDescent="0.25">
      <c r="A21" s="10">
        <v>45658</v>
      </c>
      <c r="B21" s="1" t="s">
        <v>0</v>
      </c>
      <c r="C21" s="3" t="s">
        <v>1</v>
      </c>
      <c r="D21" s="13"/>
      <c r="E21" s="13"/>
      <c r="F21" s="13">
        <f>'REKAP PIUTANG BANK'!$R$22</f>
        <v>187800274</v>
      </c>
      <c r="G21" s="4"/>
      <c r="I21" s="4"/>
      <c r="J21" s="4"/>
      <c r="K21" s="4"/>
      <c r="L21" s="4"/>
    </row>
    <row r="22" spans="1:12" x14ac:dyDescent="0.25">
      <c r="A22" s="10"/>
      <c r="B22" s="1" t="s">
        <v>0</v>
      </c>
      <c r="C22" s="3" t="s">
        <v>13</v>
      </c>
      <c r="D22" s="13"/>
      <c r="E22" s="4">
        <v>3303873</v>
      </c>
      <c r="F22" s="13"/>
      <c r="G22" s="17">
        <f>F21-E22</f>
        <v>184496401</v>
      </c>
      <c r="H22" s="4"/>
      <c r="I22" s="4"/>
      <c r="J22" s="4"/>
      <c r="K22" s="4"/>
      <c r="L22" s="4"/>
    </row>
    <row r="23" spans="1:12" ht="13" customHeight="1" x14ac:dyDescent="0.25">
      <c r="A23" s="10"/>
      <c r="B23" s="1" t="s">
        <v>6</v>
      </c>
      <c r="C23" s="3" t="s">
        <v>13</v>
      </c>
      <c r="D23" s="13"/>
      <c r="E23" s="4">
        <v>3334021</v>
      </c>
      <c r="F23" s="13"/>
      <c r="G23" s="13">
        <f t="shared" ref="G23:G33" si="2">G22-E23</f>
        <v>181162380</v>
      </c>
      <c r="H23" s="4"/>
      <c r="I23" s="4"/>
      <c r="J23" s="4"/>
      <c r="K23" s="4"/>
      <c r="L23" s="4"/>
    </row>
    <row r="24" spans="1:12" ht="13" customHeight="1" x14ac:dyDescent="0.25">
      <c r="A24" s="10"/>
      <c r="B24" s="1" t="s">
        <v>6</v>
      </c>
      <c r="C24" s="3" t="s">
        <v>13</v>
      </c>
      <c r="D24" s="13"/>
      <c r="E24" s="4">
        <v>3364444</v>
      </c>
      <c r="F24" s="13"/>
      <c r="G24" s="13">
        <f t="shared" si="2"/>
        <v>177797936</v>
      </c>
      <c r="H24" s="4"/>
      <c r="I24" s="4"/>
      <c r="J24" s="4"/>
      <c r="K24" s="4"/>
      <c r="L24" s="4"/>
    </row>
    <row r="25" spans="1:12" ht="13" customHeight="1" x14ac:dyDescent="0.25">
      <c r="A25" s="10"/>
      <c r="B25" s="1" t="s">
        <v>6</v>
      </c>
      <c r="C25" s="3" t="s">
        <v>13</v>
      </c>
      <c r="D25" s="13"/>
      <c r="E25" s="4">
        <v>3395144</v>
      </c>
      <c r="F25" s="13"/>
      <c r="G25" s="13">
        <f t="shared" si="2"/>
        <v>174402792</v>
      </c>
      <c r="H25" s="4"/>
      <c r="I25" s="4"/>
      <c r="J25" s="4"/>
      <c r="K25" s="4"/>
      <c r="L25" s="4"/>
    </row>
    <row r="26" spans="1:12" ht="13" customHeight="1" x14ac:dyDescent="0.25">
      <c r="A26" s="10"/>
      <c r="B26" s="1" t="s">
        <v>6</v>
      </c>
      <c r="C26" s="3" t="s">
        <v>13</v>
      </c>
      <c r="D26" s="13"/>
      <c r="E26" s="4"/>
      <c r="F26" s="13"/>
      <c r="G26" s="13">
        <f t="shared" si="2"/>
        <v>174402792</v>
      </c>
      <c r="H26" s="4"/>
      <c r="I26" s="4"/>
      <c r="J26" s="4"/>
      <c r="K26" s="4"/>
      <c r="L26" s="4"/>
    </row>
    <row r="27" spans="1:12" ht="13" customHeight="1" x14ac:dyDescent="0.25">
      <c r="A27" s="10"/>
      <c r="B27" s="1" t="s">
        <v>6</v>
      </c>
      <c r="C27" s="3" t="s">
        <v>13</v>
      </c>
      <c r="D27" s="13"/>
      <c r="E27" s="4"/>
      <c r="F27" s="13"/>
      <c r="G27" s="13">
        <f t="shared" si="2"/>
        <v>174402792</v>
      </c>
      <c r="H27" s="4"/>
      <c r="I27" s="4"/>
      <c r="J27" s="4"/>
      <c r="K27" s="4"/>
      <c r="L27" s="4"/>
    </row>
    <row r="28" spans="1:12" ht="13" customHeight="1" x14ac:dyDescent="0.25">
      <c r="A28" s="10"/>
      <c r="B28" s="1" t="s">
        <v>6</v>
      </c>
      <c r="C28" s="3" t="s">
        <v>13</v>
      </c>
      <c r="D28" s="13"/>
      <c r="E28" s="4"/>
      <c r="F28" s="13"/>
      <c r="G28" s="13">
        <f t="shared" si="2"/>
        <v>174402792</v>
      </c>
      <c r="H28" s="4"/>
      <c r="I28" s="4"/>
      <c r="J28" s="4"/>
      <c r="K28" s="4"/>
      <c r="L28" s="4"/>
    </row>
    <row r="29" spans="1:12" ht="13" customHeight="1" x14ac:dyDescent="0.25">
      <c r="A29" s="10"/>
      <c r="B29" s="1" t="s">
        <v>6</v>
      </c>
      <c r="C29" s="3" t="s">
        <v>13</v>
      </c>
      <c r="D29" s="13"/>
      <c r="E29" s="4"/>
      <c r="F29" s="13"/>
      <c r="G29" s="13">
        <f t="shared" si="2"/>
        <v>174402792</v>
      </c>
      <c r="H29" s="4"/>
      <c r="I29" s="4"/>
      <c r="J29" s="4"/>
      <c r="K29" s="4"/>
      <c r="L29" s="4"/>
    </row>
    <row r="30" spans="1:12" ht="13" customHeight="1" x14ac:dyDescent="0.25">
      <c r="A30" s="10"/>
      <c r="B30" s="1" t="s">
        <v>6</v>
      </c>
      <c r="C30" s="3" t="s">
        <v>13</v>
      </c>
      <c r="D30" s="13"/>
      <c r="E30" s="4"/>
      <c r="F30" s="13"/>
      <c r="G30" s="13">
        <f t="shared" si="2"/>
        <v>174402792</v>
      </c>
      <c r="H30" s="4"/>
      <c r="I30" s="4"/>
      <c r="J30" s="4"/>
      <c r="K30" s="4"/>
      <c r="L30" s="4"/>
    </row>
    <row r="31" spans="1:12" ht="13" customHeight="1" x14ac:dyDescent="0.25">
      <c r="A31" s="10"/>
      <c r="B31" s="1" t="s">
        <v>6</v>
      </c>
      <c r="C31" s="3" t="s">
        <v>13</v>
      </c>
      <c r="D31" s="13"/>
      <c r="E31" s="4"/>
      <c r="F31" s="13"/>
      <c r="G31" s="13">
        <f t="shared" si="2"/>
        <v>174402792</v>
      </c>
      <c r="H31" s="4"/>
      <c r="I31" s="4"/>
      <c r="J31" s="4"/>
      <c r="K31" s="4"/>
      <c r="L31" s="4"/>
    </row>
    <row r="32" spans="1:12" ht="13" customHeight="1" x14ac:dyDescent="0.25">
      <c r="A32" s="10"/>
      <c r="B32" s="1" t="s">
        <v>6</v>
      </c>
      <c r="C32" s="3" t="s">
        <v>13</v>
      </c>
      <c r="D32" s="13"/>
      <c r="E32" s="13"/>
      <c r="F32" s="13"/>
      <c r="G32" s="13">
        <f t="shared" si="2"/>
        <v>174402792</v>
      </c>
      <c r="H32" s="4"/>
      <c r="I32" s="4"/>
      <c r="J32" s="4"/>
      <c r="K32" s="4"/>
      <c r="L32" s="4"/>
    </row>
    <row r="33" spans="1:12" ht="13" customHeight="1" x14ac:dyDescent="0.25">
      <c r="A33" s="10"/>
      <c r="B33" s="1" t="s">
        <v>6</v>
      </c>
      <c r="C33" s="3" t="s">
        <v>13</v>
      </c>
      <c r="D33" s="13"/>
      <c r="E33" s="13"/>
      <c r="F33" s="13"/>
      <c r="G33" s="13">
        <f t="shared" si="2"/>
        <v>174402792</v>
      </c>
      <c r="H33" s="4"/>
      <c r="I33" s="4"/>
      <c r="J33" s="4"/>
      <c r="K33" s="4"/>
      <c r="L33" s="4"/>
    </row>
    <row r="34" spans="1:12" ht="13" customHeight="1" x14ac:dyDescent="0.25">
      <c r="B34" s="1"/>
      <c r="C34" s="3"/>
      <c r="D34" s="13"/>
      <c r="E34" s="13"/>
      <c r="F34" s="13"/>
      <c r="H34" s="4"/>
      <c r="I34" s="4"/>
      <c r="J34" s="4"/>
      <c r="K34" s="4"/>
      <c r="L34" s="4"/>
    </row>
    <row r="35" spans="1:12" ht="13" customHeight="1" x14ac:dyDescent="0.25">
      <c r="B35" s="1"/>
      <c r="C35" s="3"/>
      <c r="D35" s="13"/>
      <c r="E35" s="13"/>
      <c r="F35" s="13"/>
      <c r="H35" s="4"/>
      <c r="I35" s="4"/>
      <c r="J35" s="4"/>
      <c r="K35" s="4"/>
      <c r="L35" s="4"/>
    </row>
    <row r="36" spans="1:12" x14ac:dyDescent="0.25">
      <c r="B36" s="2" t="s">
        <v>14</v>
      </c>
      <c r="C36" s="2"/>
      <c r="D36" s="12"/>
      <c r="E36" s="12"/>
      <c r="F36" s="12"/>
    </row>
    <row r="37" spans="1:12" x14ac:dyDescent="0.25">
      <c r="A37" s="10">
        <v>45658</v>
      </c>
      <c r="B37" s="1" t="s">
        <v>0</v>
      </c>
      <c r="C37" s="3" t="s">
        <v>1</v>
      </c>
      <c r="D37" s="13"/>
      <c r="E37" s="13"/>
      <c r="F37" s="4">
        <f>'REKAP PIUTANG BANK'!$R$6</f>
        <v>114739229</v>
      </c>
      <c r="I37" s="4"/>
      <c r="J37" s="4"/>
      <c r="K37" s="4"/>
      <c r="L37" s="4"/>
    </row>
    <row r="38" spans="1:12" x14ac:dyDescent="0.25">
      <c r="A38" s="10"/>
      <c r="B38" s="1" t="s">
        <v>0</v>
      </c>
      <c r="C38" s="3" t="s">
        <v>15</v>
      </c>
      <c r="D38" s="13"/>
      <c r="E38" s="4">
        <v>2389683</v>
      </c>
      <c r="F38" s="13"/>
      <c r="G38" s="11">
        <f>F37-E38</f>
        <v>112349546</v>
      </c>
      <c r="H38" s="4"/>
      <c r="I38" s="4"/>
      <c r="J38" s="4"/>
      <c r="K38" s="4"/>
      <c r="L38" s="4"/>
    </row>
    <row r="39" spans="1:12" ht="13" customHeight="1" x14ac:dyDescent="0.25">
      <c r="A39" s="10"/>
      <c r="B39" s="1" t="s">
        <v>6</v>
      </c>
      <c r="C39" s="3" t="s">
        <v>15</v>
      </c>
      <c r="D39" s="13"/>
      <c r="E39" s="4">
        <v>2411489</v>
      </c>
      <c r="F39" s="13"/>
      <c r="G39" s="11">
        <f>G38-E39</f>
        <v>109938057</v>
      </c>
      <c r="H39" s="4"/>
      <c r="I39" s="4"/>
      <c r="J39" s="4"/>
      <c r="K39" s="4"/>
      <c r="L39" s="4"/>
    </row>
    <row r="40" spans="1:12" ht="13" customHeight="1" x14ac:dyDescent="0.25">
      <c r="A40" s="10"/>
      <c r="B40" s="1" t="s">
        <v>6</v>
      </c>
      <c r="C40" s="3" t="s">
        <v>15</v>
      </c>
      <c r="D40" s="13"/>
      <c r="E40" s="4">
        <v>2433494</v>
      </c>
      <c r="F40" s="13"/>
      <c r="G40" s="11">
        <f t="shared" ref="G40:G49" si="3">G39-E40</f>
        <v>107504563</v>
      </c>
      <c r="H40" s="4"/>
      <c r="I40" s="4"/>
      <c r="J40" s="4"/>
      <c r="K40" s="4"/>
      <c r="L40" s="4"/>
    </row>
    <row r="41" spans="1:12" ht="13" customHeight="1" x14ac:dyDescent="0.25">
      <c r="A41" s="10"/>
      <c r="B41" s="1" t="s">
        <v>6</v>
      </c>
      <c r="C41" s="3" t="s">
        <v>15</v>
      </c>
      <c r="D41" s="13"/>
      <c r="E41" s="4">
        <v>2455699</v>
      </c>
      <c r="F41" s="13"/>
      <c r="G41" s="11">
        <f t="shared" si="3"/>
        <v>105048864</v>
      </c>
      <c r="H41" s="4"/>
      <c r="I41" s="4"/>
      <c r="J41" s="4"/>
      <c r="K41" s="4"/>
      <c r="L41" s="4"/>
    </row>
    <row r="42" spans="1:12" ht="13" customHeight="1" x14ac:dyDescent="0.25">
      <c r="A42" s="10"/>
      <c r="B42" s="1" t="s">
        <v>6</v>
      </c>
      <c r="C42" s="3" t="s">
        <v>15</v>
      </c>
      <c r="D42" s="13"/>
      <c r="E42" s="4"/>
      <c r="F42" s="13"/>
      <c r="G42" s="11">
        <f t="shared" si="3"/>
        <v>105048864</v>
      </c>
      <c r="H42" s="4"/>
      <c r="I42" s="4"/>
      <c r="J42" s="4"/>
      <c r="K42" s="4"/>
      <c r="L42" s="4"/>
    </row>
    <row r="43" spans="1:12" ht="13" customHeight="1" x14ac:dyDescent="0.25">
      <c r="A43" s="10"/>
      <c r="B43" s="1" t="s">
        <v>6</v>
      </c>
      <c r="C43" s="3" t="s">
        <v>15</v>
      </c>
      <c r="D43" s="13"/>
      <c r="E43" s="4"/>
      <c r="F43" s="13"/>
      <c r="G43" s="11">
        <f t="shared" si="3"/>
        <v>105048864</v>
      </c>
      <c r="H43" s="4"/>
      <c r="I43" s="4"/>
      <c r="J43" s="4"/>
      <c r="K43" s="4"/>
      <c r="L43" s="4"/>
    </row>
    <row r="44" spans="1:12" ht="13" customHeight="1" x14ac:dyDescent="0.25">
      <c r="A44" s="10"/>
      <c r="B44" s="1" t="s">
        <v>6</v>
      </c>
      <c r="C44" s="3" t="s">
        <v>15</v>
      </c>
      <c r="D44" s="13"/>
      <c r="E44" s="4"/>
      <c r="F44" s="13"/>
      <c r="G44" s="11">
        <f t="shared" si="3"/>
        <v>105048864</v>
      </c>
      <c r="H44" s="4"/>
      <c r="I44" s="4"/>
      <c r="J44" s="4"/>
      <c r="K44" s="4"/>
      <c r="L44" s="4"/>
    </row>
    <row r="45" spans="1:12" ht="13" customHeight="1" x14ac:dyDescent="0.25">
      <c r="A45" s="10"/>
      <c r="B45" s="1" t="s">
        <v>6</v>
      </c>
      <c r="C45" s="3" t="s">
        <v>15</v>
      </c>
      <c r="D45" s="13"/>
      <c r="E45" s="4"/>
      <c r="F45" s="13"/>
      <c r="G45" s="11">
        <f t="shared" si="3"/>
        <v>105048864</v>
      </c>
      <c r="H45" s="4"/>
      <c r="I45" s="4"/>
      <c r="J45" s="4"/>
      <c r="K45" s="4"/>
      <c r="L45" s="4"/>
    </row>
    <row r="46" spans="1:12" ht="13" customHeight="1" x14ac:dyDescent="0.25">
      <c r="A46" s="10"/>
      <c r="B46" s="1" t="s">
        <v>6</v>
      </c>
      <c r="C46" s="3" t="s">
        <v>15</v>
      </c>
      <c r="D46" s="13"/>
      <c r="E46" s="4"/>
      <c r="F46" s="13"/>
      <c r="G46" s="11">
        <f t="shared" si="3"/>
        <v>105048864</v>
      </c>
      <c r="H46" s="4"/>
      <c r="I46" s="4"/>
      <c r="J46" s="4"/>
      <c r="K46" s="4"/>
      <c r="L46" s="4"/>
    </row>
    <row r="47" spans="1:12" ht="13" customHeight="1" x14ac:dyDescent="0.25">
      <c r="A47" s="10"/>
      <c r="B47" s="1" t="s">
        <v>6</v>
      </c>
      <c r="C47" s="3" t="s">
        <v>15</v>
      </c>
      <c r="D47" s="13"/>
      <c r="E47" s="4"/>
      <c r="F47" s="13"/>
      <c r="G47" s="11">
        <f t="shared" si="3"/>
        <v>105048864</v>
      </c>
      <c r="H47" s="4"/>
      <c r="I47" s="4"/>
      <c r="J47" s="4"/>
      <c r="K47" s="4"/>
      <c r="L47" s="4"/>
    </row>
    <row r="48" spans="1:12" ht="13" customHeight="1" x14ac:dyDescent="0.25">
      <c r="A48" s="10"/>
      <c r="B48" s="1" t="s">
        <v>6</v>
      </c>
      <c r="C48" s="3" t="s">
        <v>15</v>
      </c>
      <c r="D48" s="13"/>
      <c r="E48" s="13"/>
      <c r="F48" s="13"/>
      <c r="G48" s="11">
        <f t="shared" si="3"/>
        <v>105048864</v>
      </c>
      <c r="H48" s="4"/>
      <c r="I48" s="4"/>
      <c r="J48" s="4"/>
      <c r="K48" s="4"/>
      <c r="L48" s="4"/>
    </row>
    <row r="49" spans="1:12" ht="13" customHeight="1" x14ac:dyDescent="0.25">
      <c r="A49" s="10"/>
      <c r="B49" s="1" t="s">
        <v>6</v>
      </c>
      <c r="C49" s="3" t="s">
        <v>15</v>
      </c>
      <c r="D49" s="13"/>
      <c r="E49" s="13"/>
      <c r="F49" s="13"/>
      <c r="G49" s="11">
        <f t="shared" si="3"/>
        <v>105048864</v>
      </c>
      <c r="H49" s="4"/>
      <c r="I49" s="4"/>
      <c r="J49" s="4"/>
      <c r="K49" s="4"/>
      <c r="L49" s="4"/>
    </row>
    <row r="50" spans="1:12" ht="13" customHeight="1" x14ac:dyDescent="0.25">
      <c r="B50" s="1"/>
      <c r="C50" s="3"/>
      <c r="D50" s="13"/>
      <c r="E50" s="13"/>
      <c r="F50" s="13"/>
      <c r="H50" s="4"/>
      <c r="I50" s="4"/>
      <c r="J50" s="4"/>
      <c r="K50" s="4"/>
      <c r="L50" s="4"/>
    </row>
    <row r="51" spans="1:12" x14ac:dyDescent="0.25">
      <c r="B51" s="2" t="s">
        <v>21</v>
      </c>
      <c r="C51" s="2"/>
      <c r="D51" s="12"/>
      <c r="E51" s="12"/>
      <c r="F51" s="12"/>
    </row>
    <row r="52" spans="1:12" x14ac:dyDescent="0.25">
      <c r="A52" s="10">
        <v>45658</v>
      </c>
      <c r="B52" s="1" t="s">
        <v>0</v>
      </c>
      <c r="C52" s="3" t="s">
        <v>1</v>
      </c>
      <c r="D52" s="13"/>
      <c r="E52" s="13"/>
      <c r="F52" s="13">
        <f>'REKAP PIUTANG BANK'!$R$12</f>
        <v>93386595</v>
      </c>
      <c r="H52" s="4"/>
      <c r="I52" s="4"/>
      <c r="J52" s="4"/>
      <c r="K52" s="4"/>
      <c r="L52" s="4"/>
    </row>
    <row r="53" spans="1:12" ht="13" customHeight="1" x14ac:dyDescent="0.25">
      <c r="A53" s="10"/>
      <c r="B53" s="1" t="s">
        <v>6</v>
      </c>
      <c r="C53" s="3" t="s">
        <v>22</v>
      </c>
      <c r="D53" s="13"/>
      <c r="E53" s="4">
        <v>3852288</v>
      </c>
      <c r="F53" s="13"/>
      <c r="G53" s="16">
        <f>F52-E53</f>
        <v>89534307</v>
      </c>
      <c r="H53" s="4"/>
      <c r="I53" s="4"/>
      <c r="J53" s="4"/>
      <c r="K53" s="4"/>
      <c r="L53" s="4"/>
    </row>
    <row r="54" spans="1:12" ht="13" customHeight="1" x14ac:dyDescent="0.25">
      <c r="A54" s="10"/>
      <c r="B54" s="1" t="s">
        <v>6</v>
      </c>
      <c r="C54" s="3" t="s">
        <v>22</v>
      </c>
      <c r="D54" s="13"/>
      <c r="E54" s="4">
        <v>3887440</v>
      </c>
      <c r="F54" s="13"/>
      <c r="G54" s="16">
        <f>G53-E54</f>
        <v>85646867</v>
      </c>
      <c r="H54" s="4"/>
      <c r="I54" s="4"/>
      <c r="J54" s="4"/>
      <c r="K54" s="4"/>
      <c r="L54" s="4"/>
    </row>
    <row r="55" spans="1:12" ht="13" customHeight="1" x14ac:dyDescent="0.25">
      <c r="A55" s="10"/>
      <c r="B55" s="1" t="s">
        <v>6</v>
      </c>
      <c r="C55" s="3" t="s">
        <v>22</v>
      </c>
      <c r="D55" s="13"/>
      <c r="E55" s="4">
        <v>3922913</v>
      </c>
      <c r="F55" s="13"/>
      <c r="G55" s="16">
        <f t="shared" ref="G55:G64" si="4">G54-E55</f>
        <v>81723954</v>
      </c>
      <c r="H55" s="4"/>
      <c r="I55" s="4"/>
      <c r="J55" s="4"/>
      <c r="K55" s="4"/>
      <c r="L55" s="4"/>
    </row>
    <row r="56" spans="1:12" ht="13" customHeight="1" x14ac:dyDescent="0.25">
      <c r="A56" s="10"/>
      <c r="B56" s="1" t="s">
        <v>6</v>
      </c>
      <c r="C56" s="3" t="s">
        <v>22</v>
      </c>
      <c r="D56" s="13"/>
      <c r="E56" s="4">
        <v>3958710</v>
      </c>
      <c r="F56" s="13"/>
      <c r="G56" s="16">
        <f t="shared" si="4"/>
        <v>77765244</v>
      </c>
      <c r="H56" s="4"/>
      <c r="I56" s="4"/>
      <c r="J56" s="4"/>
      <c r="K56" s="4"/>
      <c r="L56" s="4"/>
    </row>
    <row r="57" spans="1:12" ht="13" customHeight="1" x14ac:dyDescent="0.25">
      <c r="A57" s="10"/>
      <c r="B57" s="1" t="s">
        <v>6</v>
      </c>
      <c r="C57" s="3" t="s">
        <v>22</v>
      </c>
      <c r="D57" s="13"/>
      <c r="E57" s="4"/>
      <c r="F57" s="13"/>
      <c r="G57" s="16">
        <f t="shared" si="4"/>
        <v>77765244</v>
      </c>
      <c r="H57" s="4"/>
      <c r="I57" s="4"/>
      <c r="J57" s="4"/>
      <c r="K57" s="4"/>
      <c r="L57" s="4"/>
    </row>
    <row r="58" spans="1:12" ht="13" customHeight="1" x14ac:dyDescent="0.25">
      <c r="A58" s="10"/>
      <c r="B58" s="1" t="s">
        <v>6</v>
      </c>
      <c r="C58" s="3" t="s">
        <v>22</v>
      </c>
      <c r="D58" s="13"/>
      <c r="E58" s="4"/>
      <c r="F58" s="13"/>
      <c r="G58" s="16">
        <f t="shared" si="4"/>
        <v>77765244</v>
      </c>
      <c r="H58" s="4"/>
      <c r="I58" s="4"/>
      <c r="J58" s="4"/>
      <c r="K58" s="4"/>
      <c r="L58" s="4"/>
    </row>
    <row r="59" spans="1:12" ht="13" customHeight="1" x14ac:dyDescent="0.25">
      <c r="A59" s="10"/>
      <c r="B59" s="1" t="s">
        <v>6</v>
      </c>
      <c r="C59" s="3" t="s">
        <v>22</v>
      </c>
      <c r="D59" s="13"/>
      <c r="E59" s="4"/>
      <c r="F59" s="13"/>
      <c r="G59" s="16">
        <f t="shared" si="4"/>
        <v>77765244</v>
      </c>
      <c r="H59" s="4"/>
      <c r="I59" s="4"/>
      <c r="J59" s="4"/>
      <c r="K59" s="4"/>
      <c r="L59" s="4"/>
    </row>
    <row r="60" spans="1:12" ht="13" customHeight="1" x14ac:dyDescent="0.25">
      <c r="A60" s="10"/>
      <c r="B60" s="1" t="s">
        <v>6</v>
      </c>
      <c r="C60" s="3" t="s">
        <v>22</v>
      </c>
      <c r="D60" s="13"/>
      <c r="E60" s="4"/>
      <c r="F60" s="13"/>
      <c r="G60" s="16">
        <f t="shared" si="4"/>
        <v>77765244</v>
      </c>
      <c r="H60" s="4"/>
      <c r="I60" s="4"/>
      <c r="J60" s="4"/>
      <c r="K60" s="4"/>
      <c r="L60" s="4"/>
    </row>
    <row r="61" spans="1:12" ht="13" customHeight="1" x14ac:dyDescent="0.25">
      <c r="A61" s="10"/>
      <c r="B61" s="1" t="s">
        <v>6</v>
      </c>
      <c r="C61" s="3" t="s">
        <v>22</v>
      </c>
      <c r="D61" s="13"/>
      <c r="E61" s="4"/>
      <c r="F61" s="13"/>
      <c r="G61" s="16">
        <f t="shared" si="4"/>
        <v>77765244</v>
      </c>
      <c r="H61" s="4"/>
      <c r="I61" s="4"/>
      <c r="J61" s="4"/>
      <c r="K61" s="4"/>
      <c r="L61" s="4"/>
    </row>
    <row r="62" spans="1:12" ht="13" customHeight="1" x14ac:dyDescent="0.25">
      <c r="A62" s="10"/>
      <c r="B62" s="1" t="s">
        <v>6</v>
      </c>
      <c r="C62" s="3" t="s">
        <v>22</v>
      </c>
      <c r="D62" s="13"/>
      <c r="E62" s="4"/>
      <c r="F62" s="13"/>
      <c r="G62" s="16">
        <f t="shared" si="4"/>
        <v>77765244</v>
      </c>
      <c r="H62" s="4"/>
      <c r="I62" s="4"/>
      <c r="J62" s="4"/>
      <c r="K62" s="4"/>
      <c r="L62" s="4"/>
    </row>
    <row r="63" spans="1:12" ht="13" customHeight="1" x14ac:dyDescent="0.25">
      <c r="A63" s="10"/>
      <c r="B63" s="1" t="s">
        <v>6</v>
      </c>
      <c r="C63" s="3" t="s">
        <v>22</v>
      </c>
      <c r="D63" s="13"/>
      <c r="E63" s="4"/>
      <c r="F63" s="13"/>
      <c r="G63" s="16">
        <f t="shared" si="4"/>
        <v>77765244</v>
      </c>
      <c r="H63" s="4"/>
      <c r="I63" s="4"/>
      <c r="J63" s="4"/>
      <c r="K63" s="4"/>
      <c r="L63" s="4"/>
    </row>
    <row r="64" spans="1:12" ht="13" customHeight="1" x14ac:dyDescent="0.25">
      <c r="A64" s="10"/>
      <c r="B64" s="1" t="s">
        <v>6</v>
      </c>
      <c r="C64" s="3" t="s">
        <v>22</v>
      </c>
      <c r="D64" s="13"/>
      <c r="E64" s="4"/>
      <c r="F64" s="13"/>
      <c r="G64" s="16">
        <f t="shared" si="4"/>
        <v>77765244</v>
      </c>
      <c r="H64" s="4"/>
      <c r="I64" s="4"/>
      <c r="J64" s="4"/>
      <c r="K64" s="4"/>
      <c r="L64" s="4"/>
    </row>
    <row r="65" spans="1:12" ht="13" customHeight="1" x14ac:dyDescent="0.25">
      <c r="A65" s="10"/>
      <c r="B65" s="1"/>
      <c r="D65" s="13"/>
      <c r="E65" s="13"/>
      <c r="F65" s="13"/>
      <c r="H65" s="4"/>
      <c r="I65" s="4"/>
      <c r="J65" s="4"/>
      <c r="K65" s="4"/>
      <c r="L65" s="4"/>
    </row>
    <row r="66" spans="1:12" ht="13" customHeight="1" x14ac:dyDescent="0.25">
      <c r="C66" s="5" t="s">
        <v>2</v>
      </c>
      <c r="D66" s="14"/>
      <c r="E66" s="14"/>
      <c r="F66" s="14"/>
      <c r="G66" s="7"/>
      <c r="H66" s="7"/>
      <c r="I66" s="7"/>
      <c r="J66" s="7"/>
      <c r="K66" s="7"/>
      <c r="L66" s="7"/>
    </row>
    <row r="67" spans="1:12" x14ac:dyDescent="0.25">
      <c r="B67" s="2" t="s">
        <v>28</v>
      </c>
      <c r="C67" s="2"/>
      <c r="D67" s="12"/>
      <c r="E67" s="12"/>
      <c r="F67" s="12"/>
    </row>
    <row r="68" spans="1:12" x14ac:dyDescent="0.25">
      <c r="A68" s="10">
        <v>45658</v>
      </c>
      <c r="B68" s="1" t="s">
        <v>0</v>
      </c>
      <c r="C68" s="3" t="s">
        <v>1</v>
      </c>
      <c r="D68" s="13"/>
      <c r="E68" s="13"/>
      <c r="F68" s="13">
        <f>'REKAP PIUTANG BANK'!$R$7</f>
        <v>21629318</v>
      </c>
      <c r="G68" s="4"/>
      <c r="I68" s="4"/>
      <c r="J68" s="4"/>
      <c r="K68" s="4"/>
      <c r="L68" s="4"/>
    </row>
    <row r="69" spans="1:12" x14ac:dyDescent="0.25">
      <c r="A69" s="10"/>
      <c r="B69" s="1" t="s">
        <v>0</v>
      </c>
      <c r="C69" s="3" t="s">
        <v>29</v>
      </c>
      <c r="D69" s="13"/>
      <c r="E69" s="4">
        <v>4247634</v>
      </c>
      <c r="F69" s="13"/>
      <c r="G69" s="16">
        <f>F68-E69</f>
        <v>17381684</v>
      </c>
      <c r="H69" s="4"/>
      <c r="I69" s="4"/>
      <c r="J69" s="4"/>
      <c r="K69" s="4"/>
      <c r="L69" s="4"/>
    </row>
    <row r="70" spans="1:12" ht="13" customHeight="1" x14ac:dyDescent="0.25">
      <c r="A70" s="10"/>
      <c r="B70" s="1" t="s">
        <v>6</v>
      </c>
      <c r="C70" s="3" t="s">
        <v>29</v>
      </c>
      <c r="D70" s="13"/>
      <c r="E70" s="4">
        <v>4286393</v>
      </c>
      <c r="F70" s="13"/>
      <c r="G70" s="16">
        <f>G69-E70</f>
        <v>13095291</v>
      </c>
      <c r="H70" s="4"/>
      <c r="I70" s="4"/>
      <c r="J70" s="4"/>
      <c r="K70" s="4"/>
      <c r="L70" s="4"/>
    </row>
    <row r="71" spans="1:12" ht="13" customHeight="1" x14ac:dyDescent="0.25">
      <c r="A71" s="10"/>
      <c r="B71" s="1" t="s">
        <v>6</v>
      </c>
      <c r="C71" s="3" t="s">
        <v>29</v>
      </c>
      <c r="D71" s="13"/>
      <c r="E71" s="4">
        <v>4325507</v>
      </c>
      <c r="F71" s="13"/>
      <c r="G71" s="16">
        <f t="shared" ref="G71:G80" si="5">G70-E71</f>
        <v>8769784</v>
      </c>
      <c r="H71" s="4"/>
      <c r="I71" s="4"/>
      <c r="J71" s="4"/>
      <c r="K71" s="4"/>
      <c r="L71" s="4"/>
    </row>
    <row r="72" spans="1:12" ht="13" customHeight="1" x14ac:dyDescent="0.25">
      <c r="A72" s="10"/>
      <c r="B72" s="1" t="s">
        <v>6</v>
      </c>
      <c r="C72" s="3" t="s">
        <v>29</v>
      </c>
      <c r="D72" s="13"/>
      <c r="E72" s="4">
        <v>4364977</v>
      </c>
      <c r="F72" s="13"/>
      <c r="G72" s="16">
        <f t="shared" si="5"/>
        <v>4404807</v>
      </c>
      <c r="H72" s="4"/>
      <c r="I72" s="4"/>
      <c r="J72" s="4"/>
      <c r="K72" s="4"/>
      <c r="L72" s="4"/>
    </row>
    <row r="73" spans="1:12" ht="13" customHeight="1" x14ac:dyDescent="0.25">
      <c r="A73" s="10"/>
      <c r="B73" s="1" t="s">
        <v>6</v>
      </c>
      <c r="C73" s="3" t="s">
        <v>29</v>
      </c>
      <c r="D73" s="13"/>
      <c r="E73" s="4"/>
      <c r="F73" s="13"/>
      <c r="G73" s="16">
        <f t="shared" si="5"/>
        <v>4404807</v>
      </c>
      <c r="H73" s="4"/>
      <c r="I73" s="4"/>
      <c r="J73" s="4"/>
      <c r="K73" s="4"/>
      <c r="L73" s="4"/>
    </row>
    <row r="74" spans="1:12" ht="13" customHeight="1" x14ac:dyDescent="0.25">
      <c r="A74" s="10"/>
      <c r="B74" s="1" t="s">
        <v>6</v>
      </c>
      <c r="C74" s="3" t="s">
        <v>29</v>
      </c>
      <c r="D74" s="13"/>
      <c r="E74" s="4"/>
      <c r="F74" s="13"/>
      <c r="G74" s="16">
        <f t="shared" si="5"/>
        <v>4404807</v>
      </c>
      <c r="H74" s="4"/>
      <c r="I74" s="4"/>
      <c r="J74" s="4"/>
      <c r="K74" s="4"/>
      <c r="L74" s="4"/>
    </row>
    <row r="75" spans="1:12" ht="13" customHeight="1" x14ac:dyDescent="0.25">
      <c r="A75" s="10"/>
      <c r="B75" s="1" t="s">
        <v>6</v>
      </c>
      <c r="C75" s="3" t="s">
        <v>30</v>
      </c>
      <c r="D75" s="13"/>
      <c r="E75" s="4"/>
      <c r="F75" s="13"/>
      <c r="G75" s="16">
        <f t="shared" si="5"/>
        <v>4404807</v>
      </c>
      <c r="H75" s="4"/>
      <c r="I75" s="4"/>
      <c r="J75" s="4"/>
      <c r="K75" s="4"/>
      <c r="L75" s="4"/>
    </row>
    <row r="76" spans="1:12" ht="13" customHeight="1" x14ac:dyDescent="0.25">
      <c r="A76" s="10"/>
      <c r="B76" s="1" t="s">
        <v>6</v>
      </c>
      <c r="C76" s="3" t="s">
        <v>29</v>
      </c>
      <c r="D76" s="13"/>
      <c r="E76" s="4"/>
      <c r="F76" s="13"/>
      <c r="G76" s="16">
        <f t="shared" si="5"/>
        <v>4404807</v>
      </c>
      <c r="H76" s="4"/>
      <c r="I76" s="4"/>
      <c r="J76" s="4"/>
      <c r="K76" s="4"/>
      <c r="L76" s="4"/>
    </row>
    <row r="77" spans="1:12" ht="13" customHeight="1" x14ac:dyDescent="0.25">
      <c r="A77" s="10"/>
      <c r="B77" s="1" t="s">
        <v>6</v>
      </c>
      <c r="C77" s="3" t="s">
        <v>29</v>
      </c>
      <c r="D77" s="13"/>
      <c r="E77" s="4"/>
      <c r="F77" s="13"/>
      <c r="G77" s="16">
        <f t="shared" si="5"/>
        <v>4404807</v>
      </c>
      <c r="H77" s="4"/>
      <c r="I77" s="4"/>
      <c r="J77" s="4"/>
      <c r="K77" s="4"/>
      <c r="L77" s="4"/>
    </row>
    <row r="78" spans="1:12" ht="13" customHeight="1" x14ac:dyDescent="0.25">
      <c r="A78" s="10"/>
      <c r="B78" s="1" t="s">
        <v>6</v>
      </c>
      <c r="C78" s="3" t="s">
        <v>29</v>
      </c>
      <c r="D78" s="13"/>
      <c r="E78" s="4"/>
      <c r="F78" s="13"/>
      <c r="G78" s="16">
        <f t="shared" si="5"/>
        <v>4404807</v>
      </c>
      <c r="H78" s="4"/>
      <c r="I78" s="4"/>
      <c r="J78" s="4"/>
      <c r="K78" s="4"/>
      <c r="L78" s="4"/>
    </row>
    <row r="79" spans="1:12" ht="13" customHeight="1" x14ac:dyDescent="0.25">
      <c r="A79" s="10"/>
      <c r="B79" s="1" t="s">
        <v>6</v>
      </c>
      <c r="C79" s="3" t="s">
        <v>29</v>
      </c>
      <c r="D79" s="13"/>
      <c r="E79" s="4"/>
      <c r="F79" s="13"/>
      <c r="G79" s="16">
        <f t="shared" si="5"/>
        <v>4404807</v>
      </c>
      <c r="H79" s="4"/>
      <c r="I79" s="4"/>
      <c r="J79" s="4"/>
      <c r="K79" s="4"/>
      <c r="L79" s="4"/>
    </row>
    <row r="80" spans="1:12" ht="13" customHeight="1" x14ac:dyDescent="0.25">
      <c r="A80" s="10"/>
      <c r="B80" s="1" t="s">
        <v>6</v>
      </c>
      <c r="C80" s="3" t="s">
        <v>29</v>
      </c>
      <c r="D80" s="13"/>
      <c r="E80" s="13"/>
      <c r="F80" s="13"/>
      <c r="G80" s="16">
        <f t="shared" si="5"/>
        <v>4404807</v>
      </c>
      <c r="H80" s="4"/>
      <c r="I80" s="4"/>
      <c r="J80" s="4"/>
      <c r="K80" s="4"/>
      <c r="L80" s="4"/>
    </row>
    <row r="81" spans="1:12" ht="13" customHeight="1" x14ac:dyDescent="0.25">
      <c r="B81" s="1"/>
      <c r="F81" s="13"/>
      <c r="H81" s="4"/>
      <c r="I81" s="4"/>
      <c r="J81" s="4"/>
      <c r="K81" s="4"/>
      <c r="L81" s="4"/>
    </row>
    <row r="82" spans="1:12" ht="13" customHeight="1" x14ac:dyDescent="0.25">
      <c r="C82" s="5"/>
      <c r="D82" s="14"/>
      <c r="E82" s="14"/>
      <c r="F82" s="14"/>
      <c r="G82" s="7"/>
      <c r="H82" s="7"/>
      <c r="I82" s="7"/>
      <c r="J82" s="7"/>
      <c r="K82" s="7"/>
      <c r="L82" s="7"/>
    </row>
    <row r="83" spans="1:12" x14ac:dyDescent="0.25">
      <c r="B83" s="2" t="s">
        <v>32</v>
      </c>
      <c r="C83" s="2"/>
      <c r="D83" s="12"/>
      <c r="E83" s="12"/>
      <c r="F83" s="12"/>
    </row>
    <row r="84" spans="1:12" x14ac:dyDescent="0.25">
      <c r="A84" s="9">
        <v>45292</v>
      </c>
      <c r="B84" s="1" t="s">
        <v>0</v>
      </c>
      <c r="C84" s="3" t="s">
        <v>1</v>
      </c>
      <c r="D84" s="13"/>
      <c r="E84" s="13"/>
      <c r="F84" s="13">
        <v>25968558</v>
      </c>
      <c r="G84" s="4"/>
      <c r="I84" s="4"/>
      <c r="J84" s="4"/>
      <c r="K84" s="4"/>
      <c r="L84" s="4"/>
    </row>
    <row r="85" spans="1:12" x14ac:dyDescent="0.25">
      <c r="B85" s="1"/>
      <c r="C85" s="3" t="s">
        <v>62</v>
      </c>
      <c r="D85" s="13"/>
      <c r="E85" s="13"/>
      <c r="F85" s="13"/>
      <c r="G85" s="16">
        <f>F84</f>
        <v>25968558</v>
      </c>
      <c r="H85" s="4"/>
      <c r="I85" s="4"/>
      <c r="J85" s="4"/>
      <c r="K85" s="4"/>
      <c r="L85" s="4"/>
    </row>
    <row r="86" spans="1:12" ht="13" customHeight="1" x14ac:dyDescent="0.25">
      <c r="C86" s="5"/>
      <c r="D86" s="14"/>
      <c r="E86" s="14"/>
      <c r="F86" s="14"/>
      <c r="G86" s="7"/>
      <c r="H86" s="7"/>
      <c r="I86" s="7"/>
      <c r="J86" s="7"/>
      <c r="K86" s="7"/>
      <c r="L86" s="7"/>
    </row>
    <row r="87" spans="1:12" x14ac:dyDescent="0.25">
      <c r="B87" s="2" t="s">
        <v>33</v>
      </c>
      <c r="C87" s="2"/>
      <c r="D87" s="12"/>
      <c r="E87" s="12"/>
      <c r="F87" s="12"/>
    </row>
    <row r="88" spans="1:12" x14ac:dyDescent="0.25">
      <c r="A88" s="10">
        <v>45658</v>
      </c>
      <c r="B88" s="1" t="s">
        <v>0</v>
      </c>
      <c r="C88" s="3" t="s">
        <v>1</v>
      </c>
      <c r="D88" s="13"/>
      <c r="E88" s="13"/>
      <c r="F88" s="13">
        <f>'REKAP PIUTANG BANK'!$R$10</f>
        <v>86627393</v>
      </c>
      <c r="G88" s="4"/>
      <c r="I88" s="4"/>
      <c r="J88" s="4"/>
      <c r="K88" s="4"/>
      <c r="L88" s="4"/>
    </row>
    <row r="89" spans="1:12" x14ac:dyDescent="0.25">
      <c r="A89" s="10"/>
      <c r="B89" s="1" t="s">
        <v>0</v>
      </c>
      <c r="C89" s="3" t="s">
        <v>34</v>
      </c>
      <c r="D89" s="13"/>
      <c r="E89" s="4">
        <v>4196233</v>
      </c>
      <c r="F89" s="13"/>
      <c r="G89" s="16">
        <f>F88-E89</f>
        <v>82431160</v>
      </c>
      <c r="H89" s="4"/>
      <c r="I89" s="4"/>
      <c r="J89" s="4"/>
      <c r="K89" s="4"/>
      <c r="L89" s="4"/>
    </row>
    <row r="90" spans="1:12" ht="13" customHeight="1" x14ac:dyDescent="0.25">
      <c r="A90" s="10"/>
      <c r="B90" s="1" t="s">
        <v>6</v>
      </c>
      <c r="C90" s="3" t="s">
        <v>34</v>
      </c>
      <c r="D90" s="13"/>
      <c r="E90" s="4">
        <v>4234523</v>
      </c>
      <c r="F90" s="13"/>
      <c r="G90" s="16">
        <f>G89-E90</f>
        <v>78196637</v>
      </c>
      <c r="H90" s="4"/>
      <c r="I90" s="4"/>
      <c r="J90" s="4"/>
      <c r="K90" s="4"/>
      <c r="L90" s="4"/>
    </row>
    <row r="91" spans="1:12" ht="13" customHeight="1" x14ac:dyDescent="0.25">
      <c r="A91" s="10"/>
      <c r="B91" s="1" t="s">
        <v>6</v>
      </c>
      <c r="C91" s="3" t="s">
        <v>34</v>
      </c>
      <c r="D91" s="13"/>
      <c r="E91" s="4">
        <v>4273163</v>
      </c>
      <c r="F91" s="13"/>
      <c r="G91" s="16">
        <f t="shared" ref="G91:G100" si="6">G90-E91</f>
        <v>73923474</v>
      </c>
      <c r="H91" s="4"/>
      <c r="I91" s="4"/>
      <c r="J91" s="4"/>
      <c r="K91" s="4"/>
      <c r="L91" s="4"/>
    </row>
    <row r="92" spans="1:12" ht="13" customHeight="1" x14ac:dyDescent="0.25">
      <c r="A92" s="10"/>
      <c r="B92" s="1" t="s">
        <v>6</v>
      </c>
      <c r="C92" s="3" t="s">
        <v>34</v>
      </c>
      <c r="D92" s="13"/>
      <c r="E92" s="4">
        <v>4312156</v>
      </c>
      <c r="F92" s="13"/>
      <c r="G92" s="16">
        <f t="shared" si="6"/>
        <v>69611318</v>
      </c>
      <c r="H92" s="4"/>
      <c r="I92" s="4"/>
      <c r="J92" s="4"/>
      <c r="K92" s="4"/>
      <c r="L92" s="4"/>
    </row>
    <row r="93" spans="1:12" ht="13" customHeight="1" x14ac:dyDescent="0.25">
      <c r="A93" s="10"/>
      <c r="B93" s="1" t="s">
        <v>6</v>
      </c>
      <c r="C93" s="3" t="s">
        <v>34</v>
      </c>
      <c r="D93" s="13"/>
      <c r="E93" s="4"/>
      <c r="F93" s="13"/>
      <c r="G93" s="16">
        <f t="shared" si="6"/>
        <v>69611318</v>
      </c>
      <c r="H93" s="4"/>
      <c r="I93" s="4"/>
      <c r="J93" s="4"/>
      <c r="K93" s="4"/>
      <c r="L93" s="4"/>
    </row>
    <row r="94" spans="1:12" ht="13" customHeight="1" x14ac:dyDescent="0.25">
      <c r="A94" s="10"/>
      <c r="B94" s="1" t="s">
        <v>6</v>
      </c>
      <c r="C94" s="3" t="s">
        <v>34</v>
      </c>
      <c r="D94" s="13"/>
      <c r="E94" s="4"/>
      <c r="F94" s="13"/>
      <c r="G94" s="16">
        <f t="shared" si="6"/>
        <v>69611318</v>
      </c>
      <c r="H94" s="4"/>
      <c r="I94" s="4"/>
      <c r="J94" s="4"/>
      <c r="K94" s="4"/>
      <c r="L94" s="4"/>
    </row>
    <row r="95" spans="1:12" ht="13" customHeight="1" x14ac:dyDescent="0.25">
      <c r="A95" s="10"/>
      <c r="B95" s="1" t="s">
        <v>6</v>
      </c>
      <c r="C95" s="3" t="s">
        <v>34</v>
      </c>
      <c r="D95" s="13"/>
      <c r="E95" s="4"/>
      <c r="F95" s="13"/>
      <c r="G95" s="16">
        <f t="shared" si="6"/>
        <v>69611318</v>
      </c>
      <c r="H95" s="4"/>
      <c r="I95" s="4"/>
      <c r="J95" s="4"/>
      <c r="K95" s="4"/>
      <c r="L95" s="4"/>
    </row>
    <row r="96" spans="1:12" ht="13" customHeight="1" x14ac:dyDescent="0.25">
      <c r="A96" s="10"/>
      <c r="B96" s="1" t="s">
        <v>6</v>
      </c>
      <c r="C96" s="3" t="s">
        <v>34</v>
      </c>
      <c r="D96" s="13"/>
      <c r="E96" s="4"/>
      <c r="F96" s="13"/>
      <c r="G96" s="16">
        <f t="shared" si="6"/>
        <v>69611318</v>
      </c>
      <c r="H96" s="4"/>
      <c r="I96" s="4"/>
      <c r="J96" s="4"/>
      <c r="K96" s="4"/>
      <c r="L96" s="4"/>
    </row>
    <row r="97" spans="1:14" ht="13" customHeight="1" x14ac:dyDescent="0.25">
      <c r="A97" s="10"/>
      <c r="B97" s="1" t="s">
        <v>6</v>
      </c>
      <c r="C97" s="3" t="s">
        <v>34</v>
      </c>
      <c r="D97" s="13"/>
      <c r="E97" s="4"/>
      <c r="F97" s="13"/>
      <c r="G97" s="16">
        <f t="shared" si="6"/>
        <v>69611318</v>
      </c>
      <c r="H97" s="4"/>
      <c r="I97" s="4"/>
      <c r="J97" s="4"/>
      <c r="K97" s="4"/>
      <c r="L97" s="4"/>
    </row>
    <row r="98" spans="1:14" ht="13" customHeight="1" x14ac:dyDescent="0.25">
      <c r="A98" s="10"/>
      <c r="B98" s="1" t="s">
        <v>6</v>
      </c>
      <c r="C98" s="3" t="s">
        <v>34</v>
      </c>
      <c r="D98" s="13"/>
      <c r="E98" s="4"/>
      <c r="F98" s="13"/>
      <c r="G98" s="16">
        <f t="shared" si="6"/>
        <v>69611318</v>
      </c>
      <c r="H98" s="4"/>
      <c r="I98" s="4"/>
      <c r="J98" s="4"/>
      <c r="K98" s="4"/>
      <c r="L98" s="4"/>
    </row>
    <row r="99" spans="1:14" ht="13" customHeight="1" x14ac:dyDescent="0.25">
      <c r="A99" s="10"/>
      <c r="B99" s="1" t="s">
        <v>6</v>
      </c>
      <c r="C99" s="3" t="s">
        <v>34</v>
      </c>
      <c r="D99" s="13"/>
      <c r="E99" s="4"/>
      <c r="F99" s="13"/>
      <c r="G99" s="16">
        <f t="shared" si="6"/>
        <v>69611318</v>
      </c>
      <c r="H99" s="4"/>
      <c r="I99" s="4"/>
      <c r="J99" s="4"/>
      <c r="K99" s="4"/>
      <c r="L99" s="4"/>
    </row>
    <row r="100" spans="1:14" ht="13" customHeight="1" x14ac:dyDescent="0.25">
      <c r="A100" s="10"/>
      <c r="B100" s="1" t="s">
        <v>6</v>
      </c>
      <c r="C100" s="3" t="s">
        <v>34</v>
      </c>
      <c r="D100" s="13"/>
      <c r="E100" s="13"/>
      <c r="F100" s="13"/>
      <c r="G100" s="16">
        <f t="shared" si="6"/>
        <v>69611318</v>
      </c>
      <c r="H100" s="4"/>
      <c r="I100" s="4"/>
      <c r="J100" s="4"/>
      <c r="K100" s="4"/>
      <c r="L100" s="4"/>
    </row>
    <row r="101" spans="1:14" ht="13" customHeight="1" x14ac:dyDescent="0.25">
      <c r="B101" s="1"/>
      <c r="F101" s="13"/>
      <c r="G101" s="16"/>
      <c r="H101" s="4"/>
      <c r="I101" s="4"/>
      <c r="J101" s="4"/>
      <c r="K101" s="4"/>
      <c r="L101" s="4"/>
    </row>
    <row r="102" spans="1:14" ht="13" customHeight="1" x14ac:dyDescent="0.25">
      <c r="C102" s="5"/>
      <c r="D102" s="14"/>
      <c r="E102" s="14"/>
      <c r="F102" s="14"/>
      <c r="G102" s="7"/>
      <c r="H102" s="7"/>
      <c r="I102" s="7"/>
      <c r="J102" s="7"/>
      <c r="K102" s="7"/>
      <c r="L102" s="7"/>
    </row>
    <row r="103" spans="1:14" x14ac:dyDescent="0.25">
      <c r="B103" s="2" t="s">
        <v>35</v>
      </c>
      <c r="C103" s="2"/>
      <c r="D103" s="12"/>
      <c r="E103" s="12"/>
      <c r="F103" s="12"/>
      <c r="K103" s="4"/>
      <c r="L103" s="4"/>
      <c r="M103" s="4"/>
      <c r="N103" s="4"/>
    </row>
    <row r="104" spans="1:14" x14ac:dyDescent="0.25">
      <c r="A104" s="10">
        <v>45658</v>
      </c>
      <c r="B104" s="1" t="s">
        <v>0</v>
      </c>
      <c r="C104" s="3" t="s">
        <v>1</v>
      </c>
      <c r="D104" s="13"/>
      <c r="E104" s="13"/>
      <c r="F104" s="13">
        <f>'REKAP PIUTANG BANK'!$R$5</f>
        <v>183582771</v>
      </c>
      <c r="G104" s="4"/>
      <c r="I104" s="4"/>
      <c r="J104" s="4"/>
    </row>
    <row r="105" spans="1:14" x14ac:dyDescent="0.25">
      <c r="A105" s="10"/>
      <c r="B105" s="1" t="s">
        <v>0</v>
      </c>
      <c r="C105" s="3" t="s">
        <v>36</v>
      </c>
      <c r="D105" s="13"/>
      <c r="E105" s="4">
        <v>3823493</v>
      </c>
      <c r="F105" s="13"/>
      <c r="G105" s="16">
        <f>F104-E105</f>
        <v>179759278</v>
      </c>
      <c r="H105" s="4"/>
      <c r="I105" s="4"/>
      <c r="J105" s="4"/>
      <c r="K105" s="4"/>
      <c r="L105" s="4"/>
      <c r="M105" s="4"/>
      <c r="N105" s="4"/>
    </row>
    <row r="106" spans="1:14" ht="13" customHeight="1" x14ac:dyDescent="0.25">
      <c r="A106" s="10"/>
      <c r="B106" s="1" t="s">
        <v>6</v>
      </c>
      <c r="C106" s="3" t="s">
        <v>36</v>
      </c>
      <c r="D106" s="13"/>
      <c r="E106" s="4">
        <v>3858382</v>
      </c>
      <c r="F106" s="13"/>
      <c r="G106" s="16">
        <f>G105-E106</f>
        <v>175900896</v>
      </c>
      <c r="H106" s="4"/>
      <c r="I106" s="4"/>
      <c r="J106" s="4"/>
    </row>
    <row r="107" spans="1:14" ht="13" customHeight="1" x14ac:dyDescent="0.25">
      <c r="A107" s="10"/>
      <c r="B107" s="1" t="s">
        <v>6</v>
      </c>
      <c r="C107" s="3" t="s">
        <v>36</v>
      </c>
      <c r="D107" s="13"/>
      <c r="E107" s="4">
        <v>3893590</v>
      </c>
      <c r="F107" s="13"/>
      <c r="G107" s="16">
        <f t="shared" ref="G107:G116" si="7">G106-E107</f>
        <v>172007306</v>
      </c>
      <c r="H107" s="4"/>
      <c r="I107" s="4"/>
      <c r="J107" s="4"/>
      <c r="K107" s="4"/>
      <c r="L107" s="4"/>
      <c r="M107" s="4"/>
      <c r="N107" s="4"/>
    </row>
    <row r="108" spans="1:14" ht="13" customHeight="1" x14ac:dyDescent="0.25">
      <c r="A108" s="10"/>
      <c r="B108" s="1" t="s">
        <v>6</v>
      </c>
      <c r="C108" s="3" t="s">
        <v>36</v>
      </c>
      <c r="D108" s="13"/>
      <c r="E108" s="4">
        <v>3929119</v>
      </c>
      <c r="F108" s="13"/>
      <c r="G108" s="16">
        <f t="shared" si="7"/>
        <v>168078187</v>
      </c>
      <c r="H108" s="4"/>
      <c r="I108" s="4"/>
      <c r="J108" s="4"/>
    </row>
    <row r="109" spans="1:14" ht="13" customHeight="1" x14ac:dyDescent="0.25">
      <c r="A109" s="10"/>
      <c r="B109" s="1" t="s">
        <v>6</v>
      </c>
      <c r="C109" s="3" t="s">
        <v>36</v>
      </c>
      <c r="D109" s="13"/>
      <c r="E109" s="4"/>
      <c r="F109" s="13"/>
      <c r="G109" s="16">
        <f t="shared" si="7"/>
        <v>168078187</v>
      </c>
      <c r="H109" s="4"/>
      <c r="I109" s="4"/>
      <c r="J109" s="4"/>
      <c r="K109" s="4"/>
      <c r="L109" s="4"/>
      <c r="M109" s="4"/>
      <c r="N109" s="4"/>
    </row>
    <row r="110" spans="1:14" ht="13" customHeight="1" x14ac:dyDescent="0.25">
      <c r="A110" s="10"/>
      <c r="B110" s="1" t="s">
        <v>6</v>
      </c>
      <c r="C110" s="3" t="s">
        <v>36</v>
      </c>
      <c r="D110" s="13"/>
      <c r="E110" s="4"/>
      <c r="F110" s="13"/>
      <c r="G110" s="16">
        <f t="shared" si="7"/>
        <v>168078187</v>
      </c>
      <c r="H110" s="4"/>
      <c r="I110" s="4"/>
      <c r="J110" s="4"/>
    </row>
    <row r="111" spans="1:14" ht="13" customHeight="1" x14ac:dyDescent="0.25">
      <c r="A111" s="10"/>
      <c r="B111" s="1" t="s">
        <v>6</v>
      </c>
      <c r="C111" s="3" t="s">
        <v>36</v>
      </c>
      <c r="D111" s="13"/>
      <c r="E111" s="4"/>
      <c r="F111" s="13"/>
      <c r="G111" s="16">
        <f t="shared" si="7"/>
        <v>168078187</v>
      </c>
      <c r="H111" s="4"/>
      <c r="I111" s="4"/>
      <c r="J111" s="4"/>
      <c r="K111" s="4"/>
      <c r="L111" s="4"/>
      <c r="M111" s="4"/>
      <c r="N111" s="4"/>
    </row>
    <row r="112" spans="1:14" ht="13" customHeight="1" x14ac:dyDescent="0.25">
      <c r="A112" s="10"/>
      <c r="B112" s="1" t="s">
        <v>6</v>
      </c>
      <c r="C112" s="3" t="s">
        <v>36</v>
      </c>
      <c r="D112" s="13"/>
      <c r="E112" s="4"/>
      <c r="F112" s="13"/>
      <c r="G112" s="16">
        <f t="shared" si="7"/>
        <v>168078187</v>
      </c>
      <c r="H112" s="4"/>
      <c r="I112" s="4"/>
      <c r="J112" s="4"/>
    </row>
    <row r="113" spans="1:14" ht="13" customHeight="1" x14ac:dyDescent="0.25">
      <c r="A113" s="10"/>
      <c r="B113" s="1" t="s">
        <v>6</v>
      </c>
      <c r="C113" s="3" t="s">
        <v>36</v>
      </c>
      <c r="D113" s="13"/>
      <c r="E113" s="4"/>
      <c r="F113" s="13"/>
      <c r="G113" s="16">
        <f t="shared" si="7"/>
        <v>168078187</v>
      </c>
      <c r="H113" s="4"/>
      <c r="I113" s="4"/>
      <c r="J113" s="4"/>
      <c r="K113" s="4"/>
      <c r="L113" s="4"/>
      <c r="M113" s="4"/>
      <c r="N113" s="4"/>
    </row>
    <row r="114" spans="1:14" ht="13" customHeight="1" x14ac:dyDescent="0.25">
      <c r="A114" s="10"/>
      <c r="B114" s="1" t="s">
        <v>6</v>
      </c>
      <c r="C114" s="3" t="s">
        <v>36</v>
      </c>
      <c r="D114" s="13"/>
      <c r="E114" s="4"/>
      <c r="F114" s="13"/>
      <c r="G114" s="16">
        <f t="shared" si="7"/>
        <v>168078187</v>
      </c>
      <c r="H114" s="4"/>
      <c r="I114" s="4"/>
      <c r="J114" s="4"/>
    </row>
    <row r="115" spans="1:14" ht="13" customHeight="1" x14ac:dyDescent="0.25">
      <c r="A115" s="10"/>
      <c r="B115" s="1" t="s">
        <v>6</v>
      </c>
      <c r="C115" s="3" t="s">
        <v>36</v>
      </c>
      <c r="D115" s="13"/>
      <c r="E115" s="4"/>
      <c r="F115" s="13"/>
      <c r="G115" s="16">
        <f t="shared" si="7"/>
        <v>168078187</v>
      </c>
      <c r="H115" s="4"/>
      <c r="I115" s="4"/>
      <c r="J115" s="4"/>
      <c r="K115" s="4"/>
      <c r="L115" s="4"/>
      <c r="M115" s="4"/>
      <c r="N115" s="4"/>
    </row>
    <row r="116" spans="1:14" ht="13" customHeight="1" x14ac:dyDescent="0.25">
      <c r="A116" s="10"/>
      <c r="B116" s="1" t="s">
        <v>6</v>
      </c>
      <c r="C116" s="3" t="s">
        <v>36</v>
      </c>
      <c r="D116" s="13"/>
      <c r="E116" s="13"/>
      <c r="F116" s="13"/>
      <c r="G116" s="16">
        <f t="shared" si="7"/>
        <v>168078187</v>
      </c>
      <c r="H116" s="4"/>
      <c r="I116" s="4"/>
      <c r="J116" s="4"/>
    </row>
    <row r="117" spans="1:14" ht="13" customHeight="1" x14ac:dyDescent="0.25">
      <c r="B117" s="1"/>
      <c r="F117" s="13"/>
      <c r="G117" s="16"/>
      <c r="H117" s="4"/>
      <c r="I117" s="4"/>
      <c r="J117" s="4"/>
      <c r="K117" s="4"/>
      <c r="L117" s="4"/>
      <c r="M117" s="4"/>
      <c r="N117" s="4"/>
    </row>
    <row r="118" spans="1:14" ht="13" customHeight="1" x14ac:dyDescent="0.25">
      <c r="C118" s="5"/>
      <c r="D118" s="14"/>
      <c r="E118" s="14"/>
      <c r="F118" s="14"/>
      <c r="G118" s="7"/>
      <c r="H118" s="7"/>
      <c r="I118" s="7"/>
      <c r="J118" s="7"/>
    </row>
    <row r="119" spans="1:14" x14ac:dyDescent="0.25">
      <c r="B119" s="2" t="s">
        <v>37</v>
      </c>
      <c r="C119" s="2"/>
      <c r="D119" s="12"/>
      <c r="E119" s="12"/>
      <c r="F119" s="12"/>
      <c r="K119" s="4"/>
      <c r="L119" s="4"/>
      <c r="M119" s="4"/>
      <c r="N119" s="4"/>
    </row>
    <row r="120" spans="1:14" x14ac:dyDescent="0.25">
      <c r="A120" s="9">
        <v>45292</v>
      </c>
      <c r="B120" s="1" t="s">
        <v>0</v>
      </c>
      <c r="C120" s="3" t="s">
        <v>1</v>
      </c>
      <c r="D120" s="13"/>
      <c r="E120" s="13"/>
      <c r="F120" s="13">
        <v>-540450</v>
      </c>
      <c r="G120" s="4"/>
      <c r="I120" s="4"/>
      <c r="J120" s="4"/>
    </row>
    <row r="121" spans="1:14" x14ac:dyDescent="0.25">
      <c r="B121" s="1" t="s">
        <v>0</v>
      </c>
      <c r="C121" s="3" t="s">
        <v>62</v>
      </c>
      <c r="D121" s="13"/>
      <c r="E121" s="13"/>
      <c r="F121" s="13"/>
      <c r="G121" s="16">
        <f>F120</f>
        <v>-540450</v>
      </c>
      <c r="H121" s="4"/>
      <c r="I121" s="4"/>
      <c r="J121" s="4"/>
      <c r="K121" s="4"/>
      <c r="L121" s="4"/>
      <c r="M121" s="4"/>
      <c r="N121" s="4"/>
    </row>
    <row r="122" spans="1:14" ht="13" customHeight="1" x14ac:dyDescent="0.25">
      <c r="C122" s="5"/>
      <c r="D122" s="14"/>
      <c r="E122" s="14"/>
      <c r="F122" s="14"/>
      <c r="G122" s="7"/>
      <c r="H122" s="7"/>
      <c r="I122" s="7"/>
      <c r="J122" s="7"/>
      <c r="K122" s="7"/>
      <c r="L122" s="7"/>
    </row>
    <row r="123" spans="1:14" ht="13" customHeight="1" x14ac:dyDescent="0.25">
      <c r="C123" s="5"/>
      <c r="D123" s="14"/>
      <c r="E123" s="14"/>
      <c r="F123" s="14"/>
      <c r="G123" s="7"/>
      <c r="H123" s="7"/>
      <c r="I123" s="7"/>
      <c r="J123" s="7"/>
      <c r="K123" s="7"/>
      <c r="L123" s="7"/>
    </row>
    <row r="124" spans="1:14" ht="13" customHeight="1" x14ac:dyDescent="0.25">
      <c r="C124" s="5"/>
      <c r="D124" s="14"/>
      <c r="E124" s="14"/>
      <c r="F124" s="14"/>
      <c r="G124" s="7"/>
      <c r="H124" s="7"/>
      <c r="I124" s="7"/>
      <c r="J124" s="7"/>
      <c r="K124" s="7"/>
      <c r="L124" s="7"/>
    </row>
    <row r="125" spans="1:14" x14ac:dyDescent="0.25">
      <c r="B125" s="2" t="s">
        <v>38</v>
      </c>
      <c r="C125" s="2"/>
      <c r="D125" s="12"/>
      <c r="E125" s="12"/>
      <c r="F125" s="12"/>
    </row>
    <row r="126" spans="1:14" x14ac:dyDescent="0.25">
      <c r="A126" s="10">
        <v>45658</v>
      </c>
      <c r="B126" s="1" t="s">
        <v>0</v>
      </c>
      <c r="C126" s="3" t="s">
        <v>1</v>
      </c>
      <c r="D126" s="13"/>
      <c r="E126" s="13"/>
      <c r="F126" s="13"/>
      <c r="G126" s="4"/>
      <c r="I126" s="4"/>
      <c r="J126" s="4"/>
      <c r="K126" s="4"/>
      <c r="L126" s="4"/>
    </row>
    <row r="127" spans="1:14" ht="26" x14ac:dyDescent="0.25">
      <c r="A127" s="10"/>
      <c r="B127" s="1" t="s">
        <v>0</v>
      </c>
      <c r="C127" s="3" t="s">
        <v>39</v>
      </c>
      <c r="D127" s="13"/>
      <c r="E127" s="13">
        <v>4404185</v>
      </c>
      <c r="F127" s="13">
        <f>'REKAP PIUTANG BANK'!$R$14</f>
        <v>270594142</v>
      </c>
      <c r="H127" s="4"/>
      <c r="I127" s="4"/>
      <c r="J127" s="4"/>
      <c r="K127" s="4"/>
      <c r="L127" s="4"/>
    </row>
    <row r="128" spans="1:14" ht="13" customHeight="1" x14ac:dyDescent="0.25">
      <c r="A128" s="10"/>
      <c r="B128" s="1" t="s">
        <v>6</v>
      </c>
      <c r="C128" s="3" t="s">
        <v>39</v>
      </c>
      <c r="D128" s="13"/>
      <c r="E128" s="4">
        <v>4444373</v>
      </c>
      <c r="F128" s="13"/>
      <c r="G128" s="16">
        <f>F127-E128</f>
        <v>266149769</v>
      </c>
      <c r="H128" s="4"/>
      <c r="I128" s="4"/>
      <c r="J128" s="4"/>
      <c r="K128" s="4"/>
      <c r="L128" s="4"/>
    </row>
    <row r="129" spans="1:12" ht="13" customHeight="1" x14ac:dyDescent="0.25">
      <c r="A129" s="10"/>
      <c r="B129" s="1" t="s">
        <v>6</v>
      </c>
      <c r="C129" s="3" t="s">
        <v>39</v>
      </c>
      <c r="D129" s="13"/>
      <c r="E129" s="4">
        <v>4484928</v>
      </c>
      <c r="F129" s="13"/>
      <c r="G129" s="16">
        <f>G128-E129</f>
        <v>261664841</v>
      </c>
      <c r="H129" s="4"/>
      <c r="I129" s="4"/>
      <c r="J129" s="4"/>
      <c r="K129" s="4"/>
      <c r="L129" s="4"/>
    </row>
    <row r="130" spans="1:12" ht="13" customHeight="1" x14ac:dyDescent="0.25">
      <c r="A130" s="10"/>
      <c r="B130" s="1" t="s">
        <v>6</v>
      </c>
      <c r="C130" s="3" t="s">
        <v>39</v>
      </c>
      <c r="D130" s="13"/>
      <c r="E130" s="4">
        <v>4525853</v>
      </c>
      <c r="F130" s="13"/>
      <c r="G130" s="16">
        <f t="shared" ref="G130:G136" si="8">G129-E130</f>
        <v>257138988</v>
      </c>
      <c r="H130" s="4"/>
      <c r="I130" s="4"/>
      <c r="J130" s="4"/>
      <c r="K130" s="4"/>
      <c r="L130" s="4"/>
    </row>
    <row r="131" spans="1:12" ht="13" customHeight="1" x14ac:dyDescent="0.25">
      <c r="A131" s="10"/>
      <c r="B131" s="1" t="s">
        <v>6</v>
      </c>
      <c r="C131" s="3" t="s">
        <v>39</v>
      </c>
      <c r="D131" s="13"/>
      <c r="E131" s="4"/>
      <c r="F131" s="13"/>
      <c r="G131" s="16">
        <f t="shared" si="8"/>
        <v>257138988</v>
      </c>
      <c r="H131" s="4"/>
      <c r="I131" s="4"/>
      <c r="J131" s="4"/>
      <c r="K131" s="4"/>
      <c r="L131" s="4"/>
    </row>
    <row r="132" spans="1:12" ht="13" customHeight="1" x14ac:dyDescent="0.25">
      <c r="A132" s="10"/>
      <c r="B132" s="1" t="s">
        <v>6</v>
      </c>
      <c r="C132" s="3" t="s">
        <v>39</v>
      </c>
      <c r="D132" s="13"/>
      <c r="E132" s="4"/>
      <c r="F132" s="13"/>
      <c r="G132" s="16">
        <f t="shared" si="8"/>
        <v>257138988</v>
      </c>
      <c r="H132" s="4"/>
      <c r="I132" s="4"/>
      <c r="J132" s="4"/>
      <c r="K132" s="4"/>
      <c r="L132" s="4"/>
    </row>
    <row r="133" spans="1:12" ht="13" customHeight="1" x14ac:dyDescent="0.25">
      <c r="A133" s="10"/>
      <c r="B133" s="1" t="s">
        <v>6</v>
      </c>
      <c r="C133" s="3" t="s">
        <v>39</v>
      </c>
      <c r="D133" s="13"/>
      <c r="E133" s="4"/>
      <c r="F133" s="13"/>
      <c r="G133" s="16">
        <f t="shared" si="8"/>
        <v>257138988</v>
      </c>
      <c r="H133" s="4"/>
      <c r="I133" s="4"/>
      <c r="J133" s="4"/>
      <c r="K133" s="4"/>
      <c r="L133" s="4"/>
    </row>
    <row r="134" spans="1:12" ht="13" customHeight="1" x14ac:dyDescent="0.25">
      <c r="A134" s="10"/>
      <c r="B134" s="1" t="s">
        <v>6</v>
      </c>
      <c r="C134" s="3" t="s">
        <v>39</v>
      </c>
      <c r="D134" s="13"/>
      <c r="E134" s="4"/>
      <c r="F134" s="13"/>
      <c r="G134" s="16">
        <f t="shared" si="8"/>
        <v>257138988</v>
      </c>
      <c r="H134" s="4"/>
      <c r="I134" s="4"/>
      <c r="J134" s="4"/>
      <c r="K134" s="4"/>
      <c r="L134" s="4"/>
    </row>
    <row r="135" spans="1:12" ht="13" customHeight="1" x14ac:dyDescent="0.25">
      <c r="A135" s="10"/>
      <c r="B135" s="1" t="s">
        <v>6</v>
      </c>
      <c r="C135" s="3" t="s">
        <v>39</v>
      </c>
      <c r="D135" s="13"/>
      <c r="E135" s="4"/>
      <c r="F135" s="13"/>
      <c r="G135" s="16">
        <f t="shared" si="8"/>
        <v>257138988</v>
      </c>
      <c r="H135" s="4"/>
      <c r="I135" s="4"/>
      <c r="J135" s="4"/>
      <c r="K135" s="4"/>
      <c r="L135" s="4"/>
    </row>
    <row r="136" spans="1:12" ht="13" customHeight="1" x14ac:dyDescent="0.25">
      <c r="A136" s="10"/>
      <c r="B136" s="1" t="s">
        <v>6</v>
      </c>
      <c r="C136" s="3" t="s">
        <v>39</v>
      </c>
      <c r="D136" s="13"/>
      <c r="E136" s="4"/>
      <c r="F136" s="13"/>
      <c r="G136" s="16">
        <f t="shared" si="8"/>
        <v>257138988</v>
      </c>
      <c r="H136" s="4"/>
      <c r="I136" s="4"/>
      <c r="J136" s="4"/>
      <c r="K136" s="4"/>
      <c r="L136" s="4"/>
    </row>
    <row r="137" spans="1:12" ht="13" customHeight="1" x14ac:dyDescent="0.25">
      <c r="A137" s="10"/>
      <c r="B137" s="1" t="s">
        <v>6</v>
      </c>
      <c r="C137" s="3" t="s">
        <v>39</v>
      </c>
      <c r="D137" s="13"/>
      <c r="E137" s="4"/>
      <c r="F137" s="13"/>
      <c r="G137" s="16">
        <f>G136-E137</f>
        <v>257138988</v>
      </c>
      <c r="H137" s="4"/>
      <c r="I137" s="4"/>
      <c r="J137" s="4"/>
      <c r="K137" s="4"/>
      <c r="L137" s="4"/>
    </row>
    <row r="138" spans="1:12" ht="13" customHeight="1" x14ac:dyDescent="0.25">
      <c r="A138" s="10"/>
      <c r="B138" s="1" t="s">
        <v>6</v>
      </c>
      <c r="C138" s="3" t="s">
        <v>39</v>
      </c>
      <c r="D138" s="13"/>
      <c r="E138" s="4"/>
      <c r="F138" s="13"/>
      <c r="G138" s="16">
        <f t="shared" ref="G138:G139" si="9">G137-E138</f>
        <v>257138988</v>
      </c>
      <c r="H138" s="4"/>
      <c r="I138" s="4"/>
      <c r="J138" s="4"/>
      <c r="K138" s="4"/>
      <c r="L138" s="4"/>
    </row>
    <row r="139" spans="1:12" ht="13" customHeight="1" x14ac:dyDescent="0.25">
      <c r="A139" s="10"/>
      <c r="B139" s="1" t="s">
        <v>6</v>
      </c>
      <c r="C139" s="3" t="s">
        <v>39</v>
      </c>
      <c r="D139" s="13"/>
      <c r="E139" s="4"/>
      <c r="F139" s="13"/>
      <c r="G139" s="16">
        <f t="shared" si="9"/>
        <v>257138988</v>
      </c>
      <c r="H139" s="4"/>
      <c r="I139" s="4"/>
      <c r="J139" s="4"/>
      <c r="K139" s="4"/>
      <c r="L139" s="4"/>
    </row>
    <row r="140" spans="1:12" ht="13" customHeight="1" x14ac:dyDescent="0.25">
      <c r="A140" s="10"/>
      <c r="B140" s="1"/>
      <c r="C140" s="3"/>
      <c r="D140" s="13"/>
      <c r="E140" s="4"/>
      <c r="F140" s="13"/>
      <c r="G140" s="16"/>
      <c r="H140" s="4"/>
      <c r="I140" s="4"/>
      <c r="J140" s="4"/>
      <c r="K140" s="4"/>
      <c r="L140" s="4"/>
    </row>
    <row r="141" spans="1:12" x14ac:dyDescent="0.25">
      <c r="B141" s="2" t="s">
        <v>40</v>
      </c>
      <c r="C141" s="2"/>
      <c r="D141" s="12"/>
      <c r="E141" s="12"/>
      <c r="F141" s="12"/>
    </row>
    <row r="142" spans="1:12" x14ac:dyDescent="0.25">
      <c r="A142" s="10">
        <v>45658</v>
      </c>
      <c r="B142" s="1" t="s">
        <v>0</v>
      </c>
      <c r="C142" s="3" t="s">
        <v>1</v>
      </c>
      <c r="D142" s="13"/>
      <c r="E142" s="13"/>
      <c r="F142" s="13"/>
      <c r="G142" s="4"/>
      <c r="I142" s="4"/>
      <c r="J142" s="4"/>
      <c r="K142" s="4"/>
      <c r="L142" s="4"/>
    </row>
    <row r="143" spans="1:12" ht="26" x14ac:dyDescent="0.25">
      <c r="A143" s="10"/>
      <c r="B143" s="1" t="s">
        <v>0</v>
      </c>
      <c r="C143" s="3" t="s">
        <v>41</v>
      </c>
      <c r="D143" s="13"/>
      <c r="E143" s="13">
        <v>5419653</v>
      </c>
      <c r="F143" s="13">
        <f>'REKAP PIUTANG BANK'!$R$15</f>
        <v>80543953</v>
      </c>
      <c r="H143" s="4"/>
      <c r="I143" s="4"/>
      <c r="J143" s="4"/>
      <c r="K143" s="4"/>
      <c r="L143" s="4"/>
    </row>
    <row r="144" spans="1:12" ht="13" customHeight="1" x14ac:dyDescent="0.25">
      <c r="A144" s="10"/>
      <c r="B144" s="1" t="s">
        <v>6</v>
      </c>
      <c r="C144" s="3" t="s">
        <v>41</v>
      </c>
      <c r="D144" s="13"/>
      <c r="E144" s="4">
        <v>5469108</v>
      </c>
      <c r="F144" s="13"/>
      <c r="G144" s="16">
        <f>F143-E144</f>
        <v>75074845</v>
      </c>
      <c r="I144" s="4"/>
      <c r="J144" s="4"/>
      <c r="K144" s="4"/>
      <c r="L144" s="4"/>
    </row>
    <row r="145" spans="1:12" ht="13" customHeight="1" x14ac:dyDescent="0.25">
      <c r="A145" s="10"/>
      <c r="B145" s="1" t="s">
        <v>6</v>
      </c>
      <c r="C145" s="3" t="s">
        <v>41</v>
      </c>
      <c r="D145" s="13"/>
      <c r="E145" s="4">
        <v>5519013</v>
      </c>
      <c r="F145" s="13"/>
      <c r="G145" s="16">
        <f>G144-E145</f>
        <v>69555832</v>
      </c>
      <c r="I145" s="4"/>
      <c r="J145" s="4"/>
      <c r="K145" s="4"/>
      <c r="L145" s="4"/>
    </row>
    <row r="146" spans="1:12" ht="13" customHeight="1" x14ac:dyDescent="0.25">
      <c r="A146" s="10"/>
      <c r="B146" s="1" t="s">
        <v>6</v>
      </c>
      <c r="C146" s="3" t="s">
        <v>41</v>
      </c>
      <c r="D146" s="13"/>
      <c r="E146" s="4">
        <v>5569374</v>
      </c>
      <c r="F146" s="13"/>
      <c r="G146" s="16">
        <f t="shared" ref="G146:G155" si="10">G145-E146</f>
        <v>63986458</v>
      </c>
      <c r="I146" s="4"/>
      <c r="J146" s="4"/>
      <c r="K146" s="4"/>
      <c r="L146" s="4"/>
    </row>
    <row r="147" spans="1:12" ht="13" customHeight="1" x14ac:dyDescent="0.25">
      <c r="A147" s="10"/>
      <c r="B147" s="1" t="s">
        <v>6</v>
      </c>
      <c r="C147" s="3" t="s">
        <v>41</v>
      </c>
      <c r="D147" s="13"/>
      <c r="E147" s="4"/>
      <c r="F147" s="13"/>
      <c r="G147" s="16">
        <f t="shared" si="10"/>
        <v>63986458</v>
      </c>
      <c r="I147" s="4"/>
      <c r="J147" s="4"/>
      <c r="K147" s="4"/>
      <c r="L147" s="4"/>
    </row>
    <row r="148" spans="1:12" ht="13" customHeight="1" x14ac:dyDescent="0.25">
      <c r="A148" s="10"/>
      <c r="B148" s="1" t="s">
        <v>6</v>
      </c>
      <c r="C148" s="3" t="s">
        <v>41</v>
      </c>
      <c r="D148" s="13"/>
      <c r="E148" s="4"/>
      <c r="F148" s="13"/>
      <c r="G148" s="16">
        <f t="shared" si="10"/>
        <v>63986458</v>
      </c>
      <c r="I148" s="4"/>
      <c r="J148" s="4"/>
      <c r="K148" s="4"/>
      <c r="L148" s="4"/>
    </row>
    <row r="149" spans="1:12" ht="13" customHeight="1" x14ac:dyDescent="0.25">
      <c r="A149" s="10"/>
      <c r="B149" s="1" t="s">
        <v>6</v>
      </c>
      <c r="C149" s="3" t="s">
        <v>41</v>
      </c>
      <c r="D149" s="13"/>
      <c r="E149" s="4"/>
      <c r="F149" s="13"/>
      <c r="G149" s="16">
        <f t="shared" si="10"/>
        <v>63986458</v>
      </c>
      <c r="I149" s="4"/>
      <c r="J149" s="4"/>
      <c r="K149" s="4"/>
      <c r="L149" s="4"/>
    </row>
    <row r="150" spans="1:12" ht="13" customHeight="1" x14ac:dyDescent="0.25">
      <c r="A150" s="10"/>
      <c r="B150" s="1" t="s">
        <v>6</v>
      </c>
      <c r="C150" s="3" t="s">
        <v>41</v>
      </c>
      <c r="D150" s="13"/>
      <c r="E150" s="4"/>
      <c r="F150" s="13"/>
      <c r="G150" s="16">
        <f t="shared" si="10"/>
        <v>63986458</v>
      </c>
      <c r="I150" s="4"/>
      <c r="J150" s="4"/>
      <c r="K150" s="4"/>
      <c r="L150" s="4"/>
    </row>
    <row r="151" spans="1:12" ht="13" customHeight="1" x14ac:dyDescent="0.25">
      <c r="A151" s="10"/>
      <c r="B151" s="1" t="s">
        <v>6</v>
      </c>
      <c r="C151" s="3" t="s">
        <v>41</v>
      </c>
      <c r="D151" s="13"/>
      <c r="E151" s="4"/>
      <c r="F151" s="13"/>
      <c r="G151" s="16">
        <f t="shared" si="10"/>
        <v>63986458</v>
      </c>
      <c r="I151" s="4"/>
      <c r="J151" s="4"/>
      <c r="K151" s="4"/>
      <c r="L151" s="4"/>
    </row>
    <row r="152" spans="1:12" ht="13" customHeight="1" x14ac:dyDescent="0.25">
      <c r="A152" s="10"/>
      <c r="B152" s="1" t="s">
        <v>6</v>
      </c>
      <c r="C152" s="3" t="s">
        <v>41</v>
      </c>
      <c r="D152" s="13"/>
      <c r="E152" s="4"/>
      <c r="F152" s="13"/>
      <c r="G152" s="16">
        <f t="shared" si="10"/>
        <v>63986458</v>
      </c>
      <c r="I152" s="4"/>
      <c r="J152" s="4"/>
      <c r="K152" s="4"/>
      <c r="L152" s="4"/>
    </row>
    <row r="153" spans="1:12" ht="13" customHeight="1" x14ac:dyDescent="0.25">
      <c r="A153" s="10"/>
      <c r="B153" s="1" t="s">
        <v>6</v>
      </c>
      <c r="C153" s="3" t="s">
        <v>41</v>
      </c>
      <c r="D153" s="13"/>
      <c r="E153" s="4"/>
      <c r="F153" s="13"/>
      <c r="G153" s="16">
        <f t="shared" si="10"/>
        <v>63986458</v>
      </c>
      <c r="I153" s="4"/>
      <c r="J153" s="4"/>
      <c r="K153" s="4"/>
      <c r="L153" s="4"/>
    </row>
    <row r="154" spans="1:12" ht="13" customHeight="1" x14ac:dyDescent="0.25">
      <c r="A154" s="10"/>
      <c r="B154" s="1" t="s">
        <v>6</v>
      </c>
      <c r="C154" s="3" t="s">
        <v>41</v>
      </c>
      <c r="D154" s="13"/>
      <c r="E154" s="4"/>
      <c r="F154" s="13"/>
      <c r="G154" s="16">
        <f t="shared" si="10"/>
        <v>63986458</v>
      </c>
      <c r="I154" s="4"/>
      <c r="J154" s="4"/>
      <c r="K154" s="4"/>
      <c r="L154" s="4"/>
    </row>
    <row r="155" spans="1:12" ht="13" customHeight="1" x14ac:dyDescent="0.25">
      <c r="A155" s="10"/>
      <c r="B155" s="1" t="s">
        <v>6</v>
      </c>
      <c r="C155" s="3" t="s">
        <v>41</v>
      </c>
      <c r="D155" s="13"/>
      <c r="E155" s="4"/>
      <c r="F155" s="13"/>
      <c r="G155" s="16">
        <f t="shared" si="10"/>
        <v>63986458</v>
      </c>
      <c r="I155" s="4"/>
      <c r="J155" s="4"/>
      <c r="K155" s="4"/>
      <c r="L155" s="4"/>
    </row>
    <row r="156" spans="1:12" ht="13" customHeight="1" x14ac:dyDescent="0.25">
      <c r="B156" s="1"/>
      <c r="C156" s="3"/>
      <c r="D156" s="13"/>
      <c r="E156" s="4"/>
      <c r="F156" s="13"/>
      <c r="G156" s="16"/>
      <c r="I156" s="4"/>
      <c r="J156" s="4"/>
      <c r="K156" s="4"/>
      <c r="L156" s="4"/>
    </row>
    <row r="157" spans="1:12" ht="13" customHeight="1" x14ac:dyDescent="0.25">
      <c r="C157" s="5"/>
      <c r="D157" s="14"/>
      <c r="E157" s="14"/>
      <c r="F157" s="14"/>
      <c r="G157" s="7"/>
      <c r="H157" s="7"/>
      <c r="I157" s="7"/>
      <c r="J157" s="7"/>
      <c r="K157" s="7"/>
      <c r="L157" s="7"/>
    </row>
    <row r="158" spans="1:12" x14ac:dyDescent="0.25">
      <c r="B158" s="2" t="s">
        <v>43</v>
      </c>
      <c r="C158" s="2"/>
      <c r="D158" s="12"/>
      <c r="E158" s="12"/>
      <c r="F158" s="12"/>
    </row>
    <row r="159" spans="1:12" x14ac:dyDescent="0.25">
      <c r="A159" s="10">
        <v>45658</v>
      </c>
      <c r="B159" s="1" t="s">
        <v>0</v>
      </c>
      <c r="C159" s="3" t="s">
        <v>1</v>
      </c>
      <c r="D159" s="13"/>
      <c r="E159" s="13"/>
      <c r="F159" s="13">
        <f>'REKAP PIUTANG BANK'!$R$11</f>
        <v>321227329</v>
      </c>
      <c r="G159" s="4"/>
      <c r="I159" s="4"/>
      <c r="J159" s="4"/>
      <c r="K159" s="4"/>
      <c r="L159" s="4"/>
    </row>
    <row r="160" spans="1:12" x14ac:dyDescent="0.25">
      <c r="A160" s="10"/>
      <c r="B160" s="1" t="s">
        <v>0</v>
      </c>
      <c r="C160" s="3" t="s">
        <v>44</v>
      </c>
      <c r="D160" s="13"/>
      <c r="E160" s="4">
        <v>4629493</v>
      </c>
      <c r="F160" s="13"/>
      <c r="G160" s="16">
        <f>F159-E160</f>
        <v>316597836</v>
      </c>
      <c r="H160" s="4"/>
      <c r="I160" s="4"/>
      <c r="J160" s="4"/>
      <c r="K160" s="4"/>
      <c r="L160" s="4"/>
    </row>
    <row r="161" spans="1:12" ht="13" customHeight="1" x14ac:dyDescent="0.25">
      <c r="A161" s="10"/>
      <c r="B161" s="1" t="s">
        <v>6</v>
      </c>
      <c r="C161" s="3" t="s">
        <v>44</v>
      </c>
      <c r="D161" s="13"/>
      <c r="E161" s="4">
        <v>4671737</v>
      </c>
      <c r="F161" s="13"/>
      <c r="G161" s="16">
        <f>G160-E161</f>
        <v>311926099</v>
      </c>
      <c r="I161" s="4"/>
      <c r="J161" s="4"/>
      <c r="K161" s="4"/>
      <c r="L161" s="4"/>
    </row>
    <row r="162" spans="1:12" ht="13" customHeight="1" x14ac:dyDescent="0.25">
      <c r="A162" s="10"/>
      <c r="B162" s="1" t="s">
        <v>6</v>
      </c>
      <c r="C162" s="3" t="s">
        <v>44</v>
      </c>
      <c r="D162" s="13"/>
      <c r="E162" s="4">
        <v>4714367</v>
      </c>
      <c r="F162" s="13"/>
      <c r="G162" s="16">
        <f t="shared" ref="G162:G171" si="11">G161-E162</f>
        <v>307211732</v>
      </c>
      <c r="I162" s="4"/>
      <c r="J162" s="4"/>
      <c r="K162" s="4"/>
      <c r="L162" s="4"/>
    </row>
    <row r="163" spans="1:12" ht="13" customHeight="1" x14ac:dyDescent="0.25">
      <c r="A163" s="10"/>
      <c r="B163" s="1" t="s">
        <v>6</v>
      </c>
      <c r="C163" s="3" t="s">
        <v>44</v>
      </c>
      <c r="D163" s="13"/>
      <c r="E163" s="4">
        <v>4757385</v>
      </c>
      <c r="F163" s="13"/>
      <c r="G163" s="16">
        <f t="shared" si="11"/>
        <v>302454347</v>
      </c>
      <c r="I163" s="4"/>
      <c r="J163" s="4"/>
      <c r="K163" s="4"/>
      <c r="L163" s="4"/>
    </row>
    <row r="164" spans="1:12" ht="13" customHeight="1" x14ac:dyDescent="0.25">
      <c r="A164" s="10"/>
      <c r="B164" s="1" t="s">
        <v>6</v>
      </c>
      <c r="C164" s="3" t="s">
        <v>44</v>
      </c>
      <c r="D164" s="13"/>
      <c r="E164" s="4"/>
      <c r="F164" s="13"/>
      <c r="G164" s="16">
        <f t="shared" si="11"/>
        <v>302454347</v>
      </c>
      <c r="I164" s="4"/>
      <c r="J164" s="4"/>
      <c r="K164" s="4"/>
      <c r="L164" s="4"/>
    </row>
    <row r="165" spans="1:12" ht="13" customHeight="1" x14ac:dyDescent="0.25">
      <c r="A165" s="10"/>
      <c r="B165" s="1" t="s">
        <v>6</v>
      </c>
      <c r="C165" s="3" t="s">
        <v>44</v>
      </c>
      <c r="D165" s="13"/>
      <c r="E165" s="4"/>
      <c r="F165" s="13"/>
      <c r="G165" s="16">
        <f t="shared" si="11"/>
        <v>302454347</v>
      </c>
      <c r="I165" s="4"/>
      <c r="J165" s="4"/>
      <c r="K165" s="4"/>
      <c r="L165" s="4"/>
    </row>
    <row r="166" spans="1:12" ht="13" customHeight="1" x14ac:dyDescent="0.25">
      <c r="A166" s="10"/>
      <c r="B166" s="1" t="s">
        <v>6</v>
      </c>
      <c r="C166" s="3" t="s">
        <v>45</v>
      </c>
      <c r="D166" s="13"/>
      <c r="E166" s="4"/>
      <c r="F166" s="13"/>
      <c r="G166" s="16">
        <f t="shared" si="11"/>
        <v>302454347</v>
      </c>
      <c r="I166" s="4"/>
      <c r="J166" s="4"/>
      <c r="K166" s="4"/>
      <c r="L166" s="4"/>
    </row>
    <row r="167" spans="1:12" ht="13" customHeight="1" x14ac:dyDescent="0.25">
      <c r="A167" s="10"/>
      <c r="B167" s="1" t="s">
        <v>6</v>
      </c>
      <c r="C167" s="3" t="s">
        <v>44</v>
      </c>
      <c r="D167" s="13"/>
      <c r="E167" s="4"/>
      <c r="F167" s="13"/>
      <c r="G167" s="16">
        <f t="shared" si="11"/>
        <v>302454347</v>
      </c>
      <c r="I167" s="4"/>
      <c r="J167" s="4"/>
      <c r="K167" s="4"/>
      <c r="L167" s="4"/>
    </row>
    <row r="168" spans="1:12" ht="13" customHeight="1" x14ac:dyDescent="0.25">
      <c r="A168" s="10"/>
      <c r="B168" s="1" t="s">
        <v>6</v>
      </c>
      <c r="C168" s="3" t="s">
        <v>45</v>
      </c>
      <c r="D168" s="13"/>
      <c r="E168" s="4"/>
      <c r="F168" s="13"/>
      <c r="G168" s="16">
        <f t="shared" si="11"/>
        <v>302454347</v>
      </c>
      <c r="I168" s="4"/>
      <c r="J168" s="4"/>
      <c r="K168" s="4"/>
      <c r="L168" s="4"/>
    </row>
    <row r="169" spans="1:12" ht="13" customHeight="1" x14ac:dyDescent="0.25">
      <c r="A169" s="10"/>
      <c r="B169" s="1" t="s">
        <v>6</v>
      </c>
      <c r="C169" s="3" t="s">
        <v>45</v>
      </c>
      <c r="D169" s="13"/>
      <c r="E169" s="4"/>
      <c r="F169" s="13"/>
      <c r="G169" s="16">
        <f t="shared" si="11"/>
        <v>302454347</v>
      </c>
      <c r="I169" s="4"/>
      <c r="J169" s="4"/>
      <c r="K169" s="4"/>
      <c r="L169" s="4"/>
    </row>
    <row r="170" spans="1:12" ht="13" customHeight="1" x14ac:dyDescent="0.25">
      <c r="A170" s="10"/>
      <c r="B170" s="1" t="s">
        <v>6</v>
      </c>
      <c r="C170" s="3" t="s">
        <v>45</v>
      </c>
      <c r="D170" s="13"/>
      <c r="E170" s="4"/>
      <c r="F170" s="13"/>
      <c r="G170" s="16">
        <f>G169-E170</f>
        <v>302454347</v>
      </c>
      <c r="I170" s="4"/>
      <c r="J170" s="4"/>
      <c r="K170" s="4"/>
      <c r="L170" s="4"/>
    </row>
    <row r="171" spans="1:12" ht="13" customHeight="1" x14ac:dyDescent="0.25">
      <c r="A171" s="10"/>
      <c r="B171" s="1" t="s">
        <v>6</v>
      </c>
      <c r="C171" s="3" t="s">
        <v>45</v>
      </c>
      <c r="D171" s="13"/>
      <c r="E171" s="4"/>
      <c r="F171" s="13"/>
      <c r="G171" s="16">
        <f t="shared" si="11"/>
        <v>302454347</v>
      </c>
      <c r="I171" s="4"/>
      <c r="J171" s="4"/>
      <c r="K171" s="4"/>
      <c r="L171" s="4"/>
    </row>
    <row r="172" spans="1:12" ht="13" customHeight="1" x14ac:dyDescent="0.25">
      <c r="A172" s="10"/>
      <c r="B172" s="1"/>
      <c r="F172" s="13"/>
      <c r="G172" s="16"/>
      <c r="I172" s="4"/>
      <c r="J172" s="4"/>
      <c r="K172" s="4"/>
      <c r="L172" s="4"/>
    </row>
    <row r="173" spans="1:12" x14ac:dyDescent="0.25">
      <c r="B173" s="2" t="s">
        <v>48</v>
      </c>
      <c r="C173" s="2"/>
      <c r="D173" s="12"/>
      <c r="E173" s="12"/>
      <c r="F173" s="12"/>
    </row>
    <row r="174" spans="1:12" x14ac:dyDescent="0.25">
      <c r="A174" s="10">
        <v>45658</v>
      </c>
      <c r="B174" s="1" t="s">
        <v>0</v>
      </c>
      <c r="C174" s="3" t="s">
        <v>1</v>
      </c>
      <c r="D174" s="13"/>
      <c r="E174" s="13"/>
      <c r="F174" s="13"/>
      <c r="G174" s="4"/>
      <c r="I174" s="4"/>
      <c r="J174" s="4"/>
      <c r="K174" s="4"/>
      <c r="L174" s="4"/>
    </row>
    <row r="175" spans="1:12" ht="26" x14ac:dyDescent="0.25">
      <c r="A175" s="10"/>
      <c r="B175" s="1" t="s">
        <v>0</v>
      </c>
      <c r="C175" s="3" t="s">
        <v>49</v>
      </c>
      <c r="D175" s="13"/>
      <c r="E175" s="13">
        <v>4911398</v>
      </c>
      <c r="F175" s="13">
        <f>'REKAP PIUTANG BANK'!$R$4</f>
        <v>215009141</v>
      </c>
      <c r="H175" s="4"/>
      <c r="I175" s="4"/>
      <c r="J175" s="4"/>
      <c r="K175" s="4"/>
      <c r="L175" s="4"/>
    </row>
    <row r="176" spans="1:12" ht="13" customHeight="1" x14ac:dyDescent="0.25">
      <c r="A176" s="10"/>
      <c r="B176" s="1" t="s">
        <v>6</v>
      </c>
      <c r="C176" s="3" t="s">
        <v>49</v>
      </c>
      <c r="D176" s="13"/>
      <c r="E176" s="4">
        <v>4956215</v>
      </c>
      <c r="F176" s="13"/>
      <c r="G176" s="16">
        <f>F175-E176</f>
        <v>210052926</v>
      </c>
      <c r="I176" s="4"/>
      <c r="J176" s="4"/>
      <c r="K176" s="4"/>
      <c r="L176" s="4"/>
    </row>
    <row r="177" spans="1:12" ht="13" customHeight="1" x14ac:dyDescent="0.25">
      <c r="A177" s="10"/>
      <c r="B177" s="1" t="s">
        <v>6</v>
      </c>
      <c r="C177" s="3" t="s">
        <v>49</v>
      </c>
      <c r="D177" s="13"/>
      <c r="E177" s="4">
        <v>5001440</v>
      </c>
      <c r="F177" s="13"/>
      <c r="G177" s="16">
        <f>G176-E177</f>
        <v>205051486</v>
      </c>
      <c r="I177" s="4"/>
      <c r="J177" s="4"/>
      <c r="K177" s="4"/>
      <c r="L177" s="4"/>
    </row>
    <row r="178" spans="1:12" ht="13" customHeight="1" x14ac:dyDescent="0.25">
      <c r="A178" s="10"/>
      <c r="B178" s="1" t="s">
        <v>6</v>
      </c>
      <c r="C178" s="3" t="s">
        <v>49</v>
      </c>
      <c r="D178" s="13"/>
      <c r="E178" s="4">
        <v>5047078</v>
      </c>
      <c r="F178" s="13"/>
      <c r="G178" s="16">
        <f t="shared" ref="G178:G187" si="12">G177-E178</f>
        <v>200004408</v>
      </c>
      <c r="I178" s="4"/>
      <c r="J178" s="4"/>
      <c r="K178" s="4"/>
      <c r="L178" s="4"/>
    </row>
    <row r="179" spans="1:12" ht="13" customHeight="1" x14ac:dyDescent="0.25">
      <c r="A179" s="10"/>
      <c r="B179" s="1" t="s">
        <v>6</v>
      </c>
      <c r="C179" s="3" t="s">
        <v>49</v>
      </c>
      <c r="D179" s="13"/>
      <c r="E179" s="4"/>
      <c r="F179" s="13"/>
      <c r="G179" s="16">
        <f t="shared" si="12"/>
        <v>200004408</v>
      </c>
      <c r="I179" s="4"/>
      <c r="J179" s="4"/>
      <c r="K179" s="4"/>
      <c r="L179" s="4"/>
    </row>
    <row r="180" spans="1:12" ht="13" customHeight="1" x14ac:dyDescent="0.25">
      <c r="A180" s="10"/>
      <c r="B180" s="1" t="s">
        <v>6</v>
      </c>
      <c r="C180" s="3" t="s">
        <v>49</v>
      </c>
      <c r="D180" s="13"/>
      <c r="E180" s="4"/>
      <c r="F180" s="13"/>
      <c r="G180" s="16">
        <f t="shared" si="12"/>
        <v>200004408</v>
      </c>
      <c r="I180" s="4"/>
      <c r="J180" s="4"/>
      <c r="K180" s="4"/>
      <c r="L180" s="4"/>
    </row>
    <row r="181" spans="1:12" ht="13" customHeight="1" x14ac:dyDescent="0.25">
      <c r="A181" s="10"/>
      <c r="B181" s="1" t="s">
        <v>6</v>
      </c>
      <c r="C181" s="3" t="s">
        <v>49</v>
      </c>
      <c r="D181" s="13"/>
      <c r="E181" s="4"/>
      <c r="F181" s="13"/>
      <c r="G181" s="16">
        <f t="shared" si="12"/>
        <v>200004408</v>
      </c>
      <c r="I181" s="4"/>
      <c r="J181" s="4"/>
      <c r="K181" s="4"/>
      <c r="L181" s="4"/>
    </row>
    <row r="182" spans="1:12" ht="13" customHeight="1" x14ac:dyDescent="0.25">
      <c r="A182" s="10"/>
      <c r="B182" s="1" t="s">
        <v>6</v>
      </c>
      <c r="C182" s="3" t="s">
        <v>49</v>
      </c>
      <c r="D182" s="13"/>
      <c r="E182" s="4"/>
      <c r="F182" s="13"/>
      <c r="G182" s="16">
        <f t="shared" si="12"/>
        <v>200004408</v>
      </c>
      <c r="I182" s="4"/>
      <c r="J182" s="4"/>
      <c r="K182" s="4"/>
      <c r="L182" s="4"/>
    </row>
    <row r="183" spans="1:12" ht="13" customHeight="1" x14ac:dyDescent="0.25">
      <c r="A183" s="10"/>
      <c r="B183" s="1" t="s">
        <v>6</v>
      </c>
      <c r="C183" s="3" t="s">
        <v>49</v>
      </c>
      <c r="D183" s="13"/>
      <c r="E183" s="4"/>
      <c r="F183" s="13"/>
      <c r="G183" s="16">
        <f t="shared" si="12"/>
        <v>200004408</v>
      </c>
      <c r="I183" s="4"/>
      <c r="J183" s="4"/>
      <c r="K183" s="4"/>
      <c r="L183" s="4"/>
    </row>
    <row r="184" spans="1:12" ht="13" customHeight="1" x14ac:dyDescent="0.25">
      <c r="A184" s="10"/>
      <c r="B184" s="1" t="s">
        <v>6</v>
      </c>
      <c r="C184" s="3" t="s">
        <v>49</v>
      </c>
      <c r="D184" s="13"/>
      <c r="E184" s="4"/>
      <c r="F184" s="13"/>
      <c r="G184" s="16">
        <f t="shared" si="12"/>
        <v>200004408</v>
      </c>
      <c r="I184" s="4"/>
      <c r="J184" s="4"/>
      <c r="K184" s="4"/>
      <c r="L184" s="4"/>
    </row>
    <row r="185" spans="1:12" ht="13" customHeight="1" x14ac:dyDescent="0.25">
      <c r="A185" s="10"/>
      <c r="B185" s="1" t="s">
        <v>6</v>
      </c>
      <c r="C185" s="3" t="s">
        <v>49</v>
      </c>
      <c r="D185" s="13"/>
      <c r="E185" s="4"/>
      <c r="F185" s="13"/>
      <c r="G185" s="16">
        <f t="shared" si="12"/>
        <v>200004408</v>
      </c>
      <c r="I185" s="4"/>
      <c r="J185" s="4"/>
      <c r="K185" s="4"/>
      <c r="L185" s="4"/>
    </row>
    <row r="186" spans="1:12" ht="13" customHeight="1" x14ac:dyDescent="0.25">
      <c r="A186" s="10"/>
      <c r="B186" s="1" t="s">
        <v>6</v>
      </c>
      <c r="C186" s="3" t="s">
        <v>49</v>
      </c>
      <c r="D186" s="13"/>
      <c r="E186" s="4"/>
      <c r="F186" s="13"/>
      <c r="G186" s="16">
        <f t="shared" si="12"/>
        <v>200004408</v>
      </c>
      <c r="I186" s="4"/>
      <c r="J186" s="4"/>
      <c r="K186" s="4"/>
      <c r="L186" s="4"/>
    </row>
    <row r="187" spans="1:12" ht="13" customHeight="1" x14ac:dyDescent="0.25">
      <c r="A187" s="10"/>
      <c r="B187" s="1" t="s">
        <v>6</v>
      </c>
      <c r="C187" s="3" t="s">
        <v>49</v>
      </c>
      <c r="D187" s="13"/>
      <c r="E187" s="4"/>
      <c r="F187" s="13"/>
      <c r="G187" s="16">
        <f t="shared" si="12"/>
        <v>200004408</v>
      </c>
      <c r="I187" s="4"/>
      <c r="J187" s="4"/>
      <c r="K187" s="4"/>
      <c r="L187" s="4"/>
    </row>
    <row r="188" spans="1:12" ht="13" customHeight="1" x14ac:dyDescent="0.25">
      <c r="A188" s="10"/>
      <c r="B188" s="1"/>
      <c r="C188" s="3"/>
      <c r="D188" s="13"/>
      <c r="E188" s="4"/>
      <c r="F188" s="13"/>
      <c r="G188" s="16"/>
      <c r="I188" s="4"/>
      <c r="J188" s="4"/>
      <c r="K188" s="4"/>
      <c r="L188" s="4"/>
    </row>
    <row r="189" spans="1:12" ht="13" customHeight="1" x14ac:dyDescent="0.25">
      <c r="C189" s="5"/>
      <c r="D189" s="14"/>
      <c r="E189" s="14"/>
      <c r="F189" s="14"/>
      <c r="G189" s="7"/>
      <c r="H189" s="7"/>
      <c r="I189" s="7"/>
      <c r="J189" s="7"/>
      <c r="K189" s="7"/>
      <c r="L189" s="7"/>
    </row>
    <row r="190" spans="1:12" x14ac:dyDescent="0.25">
      <c r="B190" s="2" t="s">
        <v>50</v>
      </c>
      <c r="C190" s="2"/>
      <c r="D190" s="12"/>
      <c r="E190" s="12"/>
      <c r="F190" s="12"/>
    </row>
    <row r="191" spans="1:12" x14ac:dyDescent="0.25">
      <c r="A191" s="10">
        <v>45658</v>
      </c>
      <c r="B191" s="1" t="s">
        <v>0</v>
      </c>
      <c r="C191" s="3" t="s">
        <v>1</v>
      </c>
      <c r="D191" s="13"/>
      <c r="E191" s="13"/>
      <c r="F191" s="13">
        <f>'REKAP PIUTANG BANK'!$R$18</f>
        <v>182646755</v>
      </c>
      <c r="G191" s="4"/>
      <c r="I191" s="4"/>
      <c r="J191" s="4"/>
      <c r="K191" s="4"/>
      <c r="L191" s="4"/>
    </row>
    <row r="192" spans="1:12" ht="13" customHeight="1" x14ac:dyDescent="0.25">
      <c r="A192" s="10"/>
      <c r="B192" s="1" t="s">
        <v>6</v>
      </c>
      <c r="C192" s="3" t="s">
        <v>51</v>
      </c>
      <c r="D192" s="13"/>
      <c r="E192" s="4">
        <v>4605936</v>
      </c>
      <c r="F192" s="13"/>
      <c r="G192" s="16">
        <f>F191-E192</f>
        <v>178040819</v>
      </c>
      <c r="I192" s="4"/>
      <c r="J192" s="4"/>
      <c r="K192" s="4"/>
      <c r="L192" s="4"/>
    </row>
    <row r="193" spans="1:12" ht="13" customHeight="1" x14ac:dyDescent="0.25">
      <c r="A193" s="10"/>
      <c r="B193" s="1" t="s">
        <v>6</v>
      </c>
      <c r="C193" s="3" t="s">
        <v>52</v>
      </c>
      <c r="D193" s="13"/>
      <c r="E193" s="4">
        <v>4647966</v>
      </c>
      <c r="F193" s="13"/>
      <c r="G193" s="16">
        <f>G192-E193</f>
        <v>173392853</v>
      </c>
      <c r="I193" s="4"/>
      <c r="J193" s="4"/>
      <c r="K193" s="4"/>
      <c r="L193" s="4"/>
    </row>
    <row r="194" spans="1:12" ht="13" customHeight="1" x14ac:dyDescent="0.25">
      <c r="A194" s="10"/>
      <c r="B194" s="1" t="s">
        <v>6</v>
      </c>
      <c r="C194" s="3" t="s">
        <v>51</v>
      </c>
      <c r="D194" s="13"/>
      <c r="E194" s="4">
        <v>4690378</v>
      </c>
      <c r="F194" s="13"/>
      <c r="G194" s="16">
        <f t="shared" ref="G194:G203" si="13">G193-E194</f>
        <v>168702475</v>
      </c>
      <c r="I194" s="4"/>
      <c r="J194" s="4"/>
      <c r="K194" s="4"/>
      <c r="L194" s="4"/>
    </row>
    <row r="195" spans="1:12" ht="13" customHeight="1" x14ac:dyDescent="0.25">
      <c r="A195" s="10"/>
      <c r="B195" s="1" t="s">
        <v>6</v>
      </c>
      <c r="C195" s="3" t="s">
        <v>51</v>
      </c>
      <c r="D195" s="13"/>
      <c r="E195" s="4">
        <v>4733178</v>
      </c>
      <c r="F195" s="13"/>
      <c r="G195" s="16">
        <f t="shared" si="13"/>
        <v>163969297</v>
      </c>
      <c r="I195" s="4"/>
      <c r="J195" s="4"/>
      <c r="K195" s="4"/>
      <c r="L195" s="4"/>
    </row>
    <row r="196" spans="1:12" ht="13" customHeight="1" x14ac:dyDescent="0.25">
      <c r="A196" s="10"/>
      <c r="B196" s="1" t="s">
        <v>6</v>
      </c>
      <c r="C196" s="3" t="s">
        <v>51</v>
      </c>
      <c r="D196" s="13"/>
      <c r="E196" s="4"/>
      <c r="F196" s="13"/>
      <c r="G196" s="16">
        <f t="shared" si="13"/>
        <v>163969297</v>
      </c>
      <c r="I196" s="4"/>
      <c r="J196" s="4"/>
      <c r="K196" s="4"/>
      <c r="L196" s="4"/>
    </row>
    <row r="197" spans="1:12" ht="13" customHeight="1" x14ac:dyDescent="0.25">
      <c r="A197" s="10"/>
      <c r="B197" s="1" t="s">
        <v>6</v>
      </c>
      <c r="C197" s="3" t="s">
        <v>51</v>
      </c>
      <c r="D197" s="13"/>
      <c r="E197" s="4"/>
      <c r="F197" s="13"/>
      <c r="G197" s="16">
        <f t="shared" si="13"/>
        <v>163969297</v>
      </c>
      <c r="I197" s="4"/>
      <c r="J197" s="4"/>
      <c r="K197" s="4"/>
      <c r="L197" s="4"/>
    </row>
    <row r="198" spans="1:12" ht="13" customHeight="1" x14ac:dyDescent="0.25">
      <c r="A198" s="10"/>
      <c r="B198" s="1" t="s">
        <v>6</v>
      </c>
      <c r="C198" s="3" t="s">
        <v>51</v>
      </c>
      <c r="D198" s="13"/>
      <c r="E198" s="4"/>
      <c r="F198" s="13"/>
      <c r="G198" s="16">
        <f t="shared" si="13"/>
        <v>163969297</v>
      </c>
      <c r="I198" s="4"/>
      <c r="J198" s="4"/>
      <c r="K198" s="4"/>
      <c r="L198" s="4"/>
    </row>
    <row r="199" spans="1:12" ht="13" customHeight="1" x14ac:dyDescent="0.25">
      <c r="A199" s="10"/>
      <c r="B199" s="1" t="s">
        <v>6</v>
      </c>
      <c r="C199" s="3" t="s">
        <v>53</v>
      </c>
      <c r="D199" s="13"/>
      <c r="E199" s="4"/>
      <c r="F199" s="13"/>
      <c r="G199" s="16">
        <f t="shared" si="13"/>
        <v>163969297</v>
      </c>
      <c r="I199" s="4"/>
      <c r="J199" s="4"/>
      <c r="K199" s="4"/>
      <c r="L199" s="4"/>
    </row>
    <row r="200" spans="1:12" ht="13" customHeight="1" x14ac:dyDescent="0.25">
      <c r="A200" s="10"/>
      <c r="B200" s="1" t="s">
        <v>6</v>
      </c>
      <c r="C200" s="3" t="s">
        <v>51</v>
      </c>
      <c r="D200" s="13"/>
      <c r="E200" s="4"/>
      <c r="F200" s="13"/>
      <c r="G200" s="16">
        <f t="shared" si="13"/>
        <v>163969297</v>
      </c>
      <c r="I200" s="4"/>
      <c r="J200" s="4"/>
      <c r="K200" s="4"/>
      <c r="L200" s="4"/>
    </row>
    <row r="201" spans="1:12" ht="13" customHeight="1" x14ac:dyDescent="0.25">
      <c r="A201" s="10"/>
      <c r="B201" s="1" t="s">
        <v>6</v>
      </c>
      <c r="C201" s="3" t="s">
        <v>51</v>
      </c>
      <c r="D201" s="13"/>
      <c r="E201" s="4"/>
      <c r="F201" s="13"/>
      <c r="G201" s="16">
        <f t="shared" si="13"/>
        <v>163969297</v>
      </c>
      <c r="I201" s="4"/>
      <c r="J201" s="4"/>
      <c r="K201" s="4"/>
      <c r="L201" s="4"/>
    </row>
    <row r="202" spans="1:12" ht="13" customHeight="1" x14ac:dyDescent="0.25">
      <c r="A202" s="10"/>
      <c r="B202" s="1" t="s">
        <v>6</v>
      </c>
      <c r="C202" s="3" t="s">
        <v>51</v>
      </c>
      <c r="D202" s="13"/>
      <c r="E202" s="4"/>
      <c r="F202" s="13"/>
      <c r="G202" s="16">
        <f t="shared" si="13"/>
        <v>163969297</v>
      </c>
      <c r="I202" s="4"/>
      <c r="J202" s="4"/>
      <c r="K202" s="4"/>
      <c r="L202" s="4"/>
    </row>
    <row r="203" spans="1:12" ht="13" customHeight="1" x14ac:dyDescent="0.25">
      <c r="A203" s="10"/>
      <c r="B203" s="1" t="s">
        <v>6</v>
      </c>
      <c r="C203" s="3" t="s">
        <v>51</v>
      </c>
      <c r="D203" s="13"/>
      <c r="E203" s="4"/>
      <c r="F203" s="13"/>
      <c r="G203" s="16">
        <f t="shared" si="13"/>
        <v>163969297</v>
      </c>
      <c r="I203" s="4"/>
      <c r="J203" s="4"/>
      <c r="K203" s="4"/>
      <c r="L203" s="4"/>
    </row>
    <row r="204" spans="1:12" ht="13" customHeight="1" x14ac:dyDescent="0.25">
      <c r="A204" s="10"/>
      <c r="B204" s="1" t="s">
        <v>6</v>
      </c>
      <c r="F204" s="13"/>
      <c r="G204" s="16"/>
      <c r="I204" s="4"/>
      <c r="J204" s="4"/>
      <c r="K204" s="4"/>
      <c r="L204" s="4"/>
    </row>
    <row r="205" spans="1:12" ht="13" customHeight="1" x14ac:dyDescent="0.25">
      <c r="A205" s="10"/>
      <c r="C205" s="5"/>
      <c r="D205" s="14"/>
      <c r="E205" s="14"/>
      <c r="F205" s="14"/>
      <c r="G205" s="7"/>
      <c r="H205" s="7"/>
      <c r="I205" s="7"/>
      <c r="J205" s="7"/>
      <c r="K205" s="7"/>
      <c r="L205" s="7"/>
    </row>
    <row r="206" spans="1:12" ht="13" customHeight="1" x14ac:dyDescent="0.25">
      <c r="C206" s="5"/>
      <c r="D206" s="14"/>
      <c r="E206" s="14"/>
      <c r="F206" s="14"/>
      <c r="G206" s="7"/>
      <c r="H206" s="7"/>
    </row>
    <row r="207" spans="1:12" x14ac:dyDescent="0.25">
      <c r="B207" s="2" t="s">
        <v>56</v>
      </c>
      <c r="C207" s="2"/>
      <c r="D207" s="12"/>
      <c r="E207" s="12"/>
      <c r="F207" s="12"/>
    </row>
    <row r="208" spans="1:12" x14ac:dyDescent="0.25">
      <c r="A208" s="9">
        <v>45292</v>
      </c>
      <c r="B208" s="1" t="s">
        <v>0</v>
      </c>
      <c r="C208" s="3" t="s">
        <v>1</v>
      </c>
      <c r="D208" s="13"/>
      <c r="E208" s="13"/>
      <c r="F208" s="13">
        <v>33334677</v>
      </c>
      <c r="G208" s="4"/>
      <c r="I208" s="4"/>
      <c r="J208" s="4"/>
      <c r="K208" s="4"/>
      <c r="L208" s="4"/>
    </row>
    <row r="209" spans="3:12" ht="13" customHeight="1" x14ac:dyDescent="0.25">
      <c r="C209" s="5" t="s">
        <v>62</v>
      </c>
      <c r="D209" s="14"/>
      <c r="E209" s="14"/>
      <c r="F209" s="14"/>
      <c r="G209" s="4">
        <f>F208</f>
        <v>33334677</v>
      </c>
      <c r="I209" s="7"/>
      <c r="J209" s="7"/>
      <c r="K209" s="7"/>
      <c r="L209" s="7"/>
    </row>
    <row r="210" spans="3:12" x14ac:dyDescent="0.25">
      <c r="D210" s="18"/>
      <c r="E210" s="18"/>
      <c r="F210" s="18"/>
      <c r="G210" s="18"/>
    </row>
    <row r="211" spans="3:12" x14ac:dyDescent="0.25">
      <c r="F211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C027-D685-4492-9D4C-33BF558D5246}">
  <dimension ref="A3:M557"/>
  <sheetViews>
    <sheetView topLeftCell="A530" zoomScale="90" zoomScaleNormal="90" workbookViewId="0">
      <selection activeCell="H553" sqref="H553"/>
    </sheetView>
  </sheetViews>
  <sheetFormatPr defaultColWidth="8.7265625" defaultRowHeight="13" x14ac:dyDescent="0.25"/>
  <cols>
    <col min="1" max="1" width="9" style="8" bestFit="1" customWidth="1"/>
    <col min="2" max="2" width="8.7265625" style="8"/>
    <col min="3" max="3" width="27.453125" style="8" customWidth="1"/>
    <col min="4" max="4" width="17.26953125" style="74" customWidth="1"/>
    <col min="5" max="5" width="18.26953125" style="73" customWidth="1"/>
    <col min="6" max="6" width="17.1796875" style="74" customWidth="1"/>
    <col min="7" max="7" width="17.81640625" style="74" customWidth="1"/>
    <col min="8" max="10" width="13" style="8" bestFit="1" customWidth="1"/>
    <col min="11" max="16384" width="8.7265625" style="8"/>
  </cols>
  <sheetData>
    <row r="3" spans="1:13" x14ac:dyDescent="0.25">
      <c r="A3" s="45" t="s">
        <v>120</v>
      </c>
      <c r="B3" s="45"/>
      <c r="C3" s="45"/>
      <c r="D3" s="72"/>
      <c r="H3" s="51"/>
      <c r="I3" s="51"/>
      <c r="J3" s="51"/>
      <c r="K3" s="51"/>
      <c r="L3" s="51"/>
      <c r="M3" s="51"/>
    </row>
    <row r="4" spans="1:13" x14ac:dyDescent="0.25">
      <c r="A4" s="45"/>
      <c r="B4" s="45"/>
      <c r="C4" s="45"/>
      <c r="D4" s="72"/>
      <c r="H4" s="51"/>
      <c r="I4" s="51"/>
      <c r="J4" s="51"/>
      <c r="K4" s="51"/>
      <c r="L4" s="51"/>
      <c r="M4" s="51"/>
    </row>
    <row r="5" spans="1:13" x14ac:dyDescent="0.25">
      <c r="B5" s="2"/>
      <c r="C5" s="2"/>
      <c r="D5" s="75" t="s">
        <v>57</v>
      </c>
      <c r="E5" s="76"/>
      <c r="F5" s="75" t="s">
        <v>58</v>
      </c>
      <c r="G5" s="75" t="s">
        <v>61</v>
      </c>
      <c r="H5" s="51"/>
      <c r="I5" s="51"/>
      <c r="J5" s="51"/>
      <c r="K5" s="51"/>
      <c r="L5" s="51"/>
      <c r="M5" s="51"/>
    </row>
    <row r="6" spans="1:13" x14ac:dyDescent="0.25">
      <c r="B6" s="2"/>
      <c r="C6" s="2"/>
      <c r="D6" s="75" t="s">
        <v>59</v>
      </c>
      <c r="E6" s="76" t="s">
        <v>60</v>
      </c>
      <c r="F6" s="75"/>
      <c r="H6" s="51"/>
      <c r="I6" s="51"/>
      <c r="J6" s="51"/>
      <c r="K6" s="51"/>
      <c r="L6" s="51"/>
      <c r="M6" s="51"/>
    </row>
    <row r="7" spans="1:13" x14ac:dyDescent="0.25">
      <c r="A7" s="51"/>
      <c r="B7" s="50" t="s">
        <v>116</v>
      </c>
      <c r="C7" s="50"/>
      <c r="D7" s="75"/>
      <c r="E7" s="76"/>
      <c r="H7" s="51"/>
      <c r="I7" s="51"/>
      <c r="J7" s="51"/>
      <c r="K7" s="51"/>
      <c r="L7" s="51"/>
      <c r="M7" s="51"/>
    </row>
    <row r="8" spans="1:13" x14ac:dyDescent="0.3">
      <c r="A8" s="10">
        <v>45658</v>
      </c>
      <c r="B8" s="43" t="s">
        <v>0</v>
      </c>
      <c r="C8" s="48" t="s">
        <v>1</v>
      </c>
      <c r="D8" s="77"/>
      <c r="E8" s="78"/>
      <c r="F8" s="79">
        <v>405421172</v>
      </c>
      <c r="G8" s="80"/>
      <c r="H8" s="49"/>
      <c r="I8" s="51"/>
      <c r="J8" s="49"/>
      <c r="K8" s="49"/>
      <c r="L8" s="49"/>
      <c r="M8" s="49"/>
    </row>
    <row r="9" spans="1:13" ht="13" customHeight="1" x14ac:dyDescent="0.25">
      <c r="A9" s="10">
        <v>45682</v>
      </c>
      <c r="B9" s="43" t="s">
        <v>6</v>
      </c>
      <c r="C9" s="48" t="s">
        <v>121</v>
      </c>
      <c r="D9" s="77"/>
      <c r="E9" s="61">
        <v>3171140</v>
      </c>
      <c r="G9" s="80">
        <f>F8-E9</f>
        <v>402250032</v>
      </c>
      <c r="H9" s="51"/>
      <c r="I9" s="49"/>
      <c r="J9" s="49"/>
      <c r="K9" s="49"/>
      <c r="L9" s="49"/>
      <c r="M9" s="49"/>
    </row>
    <row r="10" spans="1:13" ht="13" customHeight="1" x14ac:dyDescent="0.25">
      <c r="A10" s="10">
        <v>45711</v>
      </c>
      <c r="B10" s="43" t="s">
        <v>6</v>
      </c>
      <c r="C10" s="48" t="s">
        <v>121</v>
      </c>
      <c r="D10" s="77"/>
      <c r="E10" s="61">
        <v>3200209</v>
      </c>
      <c r="G10" s="80">
        <f>G9-E10</f>
        <v>399049823</v>
      </c>
      <c r="H10" s="51"/>
      <c r="I10" s="49"/>
      <c r="J10" s="49"/>
      <c r="K10" s="49"/>
      <c r="L10" s="49"/>
      <c r="M10" s="49"/>
    </row>
    <row r="11" spans="1:13" ht="13" customHeight="1" x14ac:dyDescent="0.25">
      <c r="A11" s="10">
        <v>45741</v>
      </c>
      <c r="B11" s="43" t="s">
        <v>6</v>
      </c>
      <c r="C11" s="48" t="s">
        <v>121</v>
      </c>
      <c r="D11" s="77"/>
      <c r="E11" s="61">
        <v>3229544</v>
      </c>
      <c r="G11" s="80">
        <f>G10-E11</f>
        <v>395820279</v>
      </c>
      <c r="H11" s="51"/>
      <c r="I11" s="49"/>
      <c r="J11" s="49"/>
      <c r="K11" s="49"/>
      <c r="L11" s="49"/>
      <c r="M11" s="49"/>
    </row>
    <row r="12" spans="1:13" ht="13" customHeight="1" x14ac:dyDescent="0.25">
      <c r="A12" s="10">
        <v>45772</v>
      </c>
      <c r="B12" s="43" t="s">
        <v>6</v>
      </c>
      <c r="C12" s="48" t="s">
        <v>121</v>
      </c>
      <c r="D12" s="77"/>
      <c r="E12" s="61">
        <v>3259148</v>
      </c>
      <c r="G12" s="80">
        <f>G11-E12</f>
        <v>392561131</v>
      </c>
      <c r="H12" s="51"/>
      <c r="I12" s="49"/>
      <c r="J12" s="49"/>
      <c r="K12" s="49"/>
      <c r="L12" s="49"/>
      <c r="M12" s="49"/>
    </row>
    <row r="13" spans="1:13" ht="13" customHeight="1" x14ac:dyDescent="0.25">
      <c r="A13" s="47"/>
      <c r="B13" s="43" t="s">
        <v>6</v>
      </c>
      <c r="C13" s="48" t="s">
        <v>121</v>
      </c>
      <c r="D13" s="77"/>
      <c r="E13" s="61"/>
      <c r="G13" s="80">
        <f t="shared" ref="G13:G19" si="0">G12-E13</f>
        <v>392561131</v>
      </c>
      <c r="H13" s="51"/>
      <c r="I13" s="49"/>
      <c r="J13" s="49"/>
      <c r="K13" s="49"/>
      <c r="L13" s="49"/>
      <c r="M13" s="49"/>
    </row>
    <row r="14" spans="1:13" ht="13" customHeight="1" x14ac:dyDescent="0.25">
      <c r="A14" s="47"/>
      <c r="B14" s="43" t="s">
        <v>6</v>
      </c>
      <c r="C14" s="48" t="s">
        <v>121</v>
      </c>
      <c r="D14" s="77"/>
      <c r="E14" s="61"/>
      <c r="G14" s="80">
        <f t="shared" si="0"/>
        <v>392561131</v>
      </c>
      <c r="H14" s="51"/>
      <c r="I14" s="49"/>
      <c r="J14" s="49"/>
      <c r="K14" s="49"/>
      <c r="L14" s="49"/>
      <c r="M14" s="49"/>
    </row>
    <row r="15" spans="1:13" ht="13" customHeight="1" x14ac:dyDescent="0.25">
      <c r="A15" s="47"/>
      <c r="B15" s="43" t="s">
        <v>6</v>
      </c>
      <c r="C15" s="48" t="s">
        <v>121</v>
      </c>
      <c r="D15" s="77"/>
      <c r="E15" s="61"/>
      <c r="G15" s="80">
        <f t="shared" si="0"/>
        <v>392561131</v>
      </c>
      <c r="H15" s="51"/>
      <c r="I15" s="49"/>
      <c r="J15" s="49"/>
      <c r="K15" s="49"/>
      <c r="L15" s="49"/>
      <c r="M15" s="49"/>
    </row>
    <row r="16" spans="1:13" ht="13" customHeight="1" x14ac:dyDescent="0.25">
      <c r="A16" s="47"/>
      <c r="B16" s="43" t="s">
        <v>6</v>
      </c>
      <c r="C16" s="48" t="s">
        <v>121</v>
      </c>
      <c r="D16" s="77"/>
      <c r="E16" s="61"/>
      <c r="G16" s="80">
        <f t="shared" si="0"/>
        <v>392561131</v>
      </c>
      <c r="H16" s="51"/>
      <c r="I16" s="49"/>
      <c r="J16" s="49"/>
      <c r="K16" s="49"/>
      <c r="L16" s="49"/>
      <c r="M16" s="49"/>
    </row>
    <row r="17" spans="1:13" ht="13" customHeight="1" x14ac:dyDescent="0.25">
      <c r="A17" s="47"/>
      <c r="B17" s="43" t="s">
        <v>6</v>
      </c>
      <c r="C17" s="48" t="s">
        <v>121</v>
      </c>
      <c r="D17" s="77"/>
      <c r="E17" s="61"/>
      <c r="G17" s="80">
        <f t="shared" si="0"/>
        <v>392561131</v>
      </c>
      <c r="H17" s="51"/>
      <c r="I17" s="49"/>
      <c r="J17" s="49"/>
      <c r="K17" s="49"/>
      <c r="L17" s="49"/>
      <c r="M17" s="49"/>
    </row>
    <row r="18" spans="1:13" ht="13" customHeight="1" x14ac:dyDescent="0.25">
      <c r="A18" s="47"/>
      <c r="B18" s="43" t="s">
        <v>6</v>
      </c>
      <c r="C18" s="48" t="s">
        <v>121</v>
      </c>
      <c r="D18" s="77"/>
      <c r="E18" s="61"/>
      <c r="G18" s="80">
        <f t="shared" si="0"/>
        <v>392561131</v>
      </c>
      <c r="H18" s="51"/>
      <c r="I18" s="49"/>
      <c r="J18" s="49"/>
      <c r="K18" s="49"/>
      <c r="L18" s="49"/>
      <c r="M18" s="49"/>
    </row>
    <row r="19" spans="1:13" ht="13" customHeight="1" x14ac:dyDescent="0.25">
      <c r="A19" s="47"/>
      <c r="B19" s="43" t="s">
        <v>6</v>
      </c>
      <c r="C19" s="48" t="s">
        <v>121</v>
      </c>
      <c r="D19" s="77"/>
      <c r="E19" s="61"/>
      <c r="G19" s="80">
        <f t="shared" si="0"/>
        <v>392561131</v>
      </c>
      <c r="H19" s="51"/>
      <c r="I19" s="49"/>
      <c r="J19" s="49"/>
      <c r="K19" s="49"/>
      <c r="L19" s="49"/>
      <c r="M19" s="49"/>
    </row>
    <row r="20" spans="1:13" ht="13" customHeight="1" x14ac:dyDescent="0.25">
      <c r="A20" s="47"/>
      <c r="B20" s="43" t="s">
        <v>6</v>
      </c>
      <c r="C20" s="48" t="s">
        <v>121</v>
      </c>
      <c r="D20" s="77"/>
      <c r="E20" s="61"/>
      <c r="G20" s="80"/>
      <c r="H20" s="51"/>
      <c r="I20" s="49"/>
      <c r="J20" s="49"/>
      <c r="K20" s="49"/>
      <c r="L20" s="49"/>
      <c r="M20" s="49"/>
    </row>
    <row r="21" spans="1:13" x14ac:dyDescent="0.25">
      <c r="A21" s="51"/>
      <c r="B21" s="50" t="s">
        <v>122</v>
      </c>
      <c r="C21" s="50"/>
      <c r="D21" s="75"/>
      <c r="E21" s="76"/>
      <c r="H21" s="51"/>
      <c r="I21" s="51"/>
      <c r="J21" s="51"/>
      <c r="K21" s="51"/>
      <c r="L21" s="51"/>
      <c r="M21" s="51"/>
    </row>
    <row r="22" spans="1:13" x14ac:dyDescent="0.25">
      <c r="A22" s="47">
        <v>45658</v>
      </c>
      <c r="B22" s="43" t="s">
        <v>0</v>
      </c>
      <c r="C22" s="48" t="s">
        <v>1</v>
      </c>
      <c r="D22" s="77"/>
      <c r="E22" s="78"/>
      <c r="F22" s="49">
        <v>0</v>
      </c>
      <c r="G22" s="80"/>
      <c r="H22" s="49"/>
      <c r="I22" s="51"/>
      <c r="K22" s="49"/>
      <c r="L22" s="49"/>
      <c r="M22" s="49"/>
    </row>
    <row r="23" spans="1:13" ht="13" customHeight="1" x14ac:dyDescent="0.25">
      <c r="A23" s="47"/>
      <c r="B23" s="43" t="s">
        <v>6</v>
      </c>
      <c r="C23" s="48" t="s">
        <v>123</v>
      </c>
      <c r="D23" s="77"/>
      <c r="E23" s="80">
        <v>0</v>
      </c>
      <c r="G23" s="80">
        <v>0</v>
      </c>
      <c r="H23" s="51"/>
      <c r="J23" s="49"/>
      <c r="K23" s="49"/>
      <c r="L23" s="49"/>
      <c r="M23" s="49"/>
    </row>
    <row r="24" spans="1:13" ht="13" customHeight="1" x14ac:dyDescent="0.25">
      <c r="A24" s="47"/>
      <c r="B24" s="43" t="s">
        <v>6</v>
      </c>
      <c r="C24" s="48" t="s">
        <v>123</v>
      </c>
      <c r="D24" s="77"/>
      <c r="E24" s="80">
        <v>0</v>
      </c>
      <c r="G24" s="80">
        <v>0</v>
      </c>
      <c r="H24" s="51"/>
      <c r="J24" s="49"/>
      <c r="K24" s="49"/>
      <c r="L24" s="49"/>
      <c r="M24" s="49"/>
    </row>
    <row r="25" spans="1:13" ht="13" customHeight="1" x14ac:dyDescent="0.25">
      <c r="A25" s="47"/>
      <c r="B25" s="43" t="s">
        <v>6</v>
      </c>
      <c r="C25" s="48" t="s">
        <v>123</v>
      </c>
      <c r="D25" s="77"/>
      <c r="E25" s="80">
        <v>0</v>
      </c>
      <c r="G25" s="80">
        <v>0</v>
      </c>
      <c r="H25" s="51"/>
      <c r="J25" s="49"/>
      <c r="K25" s="49"/>
      <c r="L25" s="49"/>
      <c r="M25" s="49"/>
    </row>
    <row r="26" spans="1:13" ht="13" customHeight="1" x14ac:dyDescent="0.25">
      <c r="A26" s="47"/>
      <c r="B26" s="43" t="s">
        <v>6</v>
      </c>
      <c r="C26" s="48" t="s">
        <v>123</v>
      </c>
      <c r="D26" s="77"/>
      <c r="E26" s="80">
        <v>0</v>
      </c>
      <c r="G26" s="80">
        <v>0</v>
      </c>
      <c r="H26" s="51"/>
      <c r="J26" s="49"/>
      <c r="K26" s="49"/>
      <c r="L26" s="49"/>
      <c r="M26" s="49"/>
    </row>
    <row r="27" spans="1:13" ht="13" customHeight="1" x14ac:dyDescent="0.25">
      <c r="A27" s="47"/>
      <c r="B27" s="43" t="s">
        <v>6</v>
      </c>
      <c r="C27" s="48" t="s">
        <v>123</v>
      </c>
      <c r="D27" s="77"/>
      <c r="E27" s="80">
        <v>0</v>
      </c>
      <c r="G27" s="80">
        <v>0</v>
      </c>
      <c r="H27" s="51"/>
      <c r="J27" s="49"/>
      <c r="K27" s="49"/>
      <c r="L27" s="49"/>
      <c r="M27" s="49"/>
    </row>
    <row r="28" spans="1:13" ht="13" customHeight="1" x14ac:dyDescent="0.25">
      <c r="A28" s="47"/>
      <c r="B28" s="43" t="s">
        <v>6</v>
      </c>
      <c r="C28" s="48" t="s">
        <v>123</v>
      </c>
      <c r="D28" s="77"/>
      <c r="E28" s="80">
        <v>0</v>
      </c>
      <c r="G28" s="80">
        <v>0</v>
      </c>
      <c r="H28" s="51"/>
      <c r="J28" s="49"/>
      <c r="K28" s="49"/>
      <c r="L28" s="49"/>
      <c r="M28" s="49"/>
    </row>
    <row r="29" spans="1:13" ht="13" customHeight="1" x14ac:dyDescent="0.25">
      <c r="A29" s="47"/>
      <c r="B29" s="43" t="s">
        <v>6</v>
      </c>
      <c r="C29" s="48" t="s">
        <v>123</v>
      </c>
      <c r="D29" s="77"/>
      <c r="E29" s="80">
        <v>0</v>
      </c>
      <c r="G29" s="80">
        <v>0</v>
      </c>
      <c r="H29" s="51"/>
      <c r="J29" s="49"/>
      <c r="K29" s="49"/>
      <c r="L29" s="49"/>
      <c r="M29" s="49"/>
    </row>
    <row r="30" spans="1:13" ht="13" customHeight="1" x14ac:dyDescent="0.25">
      <c r="A30" s="47"/>
      <c r="B30" s="43" t="s">
        <v>6</v>
      </c>
      <c r="C30" s="48" t="s">
        <v>123</v>
      </c>
      <c r="D30" s="77"/>
      <c r="E30" s="80">
        <v>0</v>
      </c>
      <c r="G30" s="80">
        <v>0</v>
      </c>
      <c r="H30" s="51"/>
      <c r="J30" s="49"/>
      <c r="K30" s="49"/>
      <c r="L30" s="49"/>
      <c r="M30" s="49"/>
    </row>
    <row r="31" spans="1:13" ht="13" customHeight="1" x14ac:dyDescent="0.25">
      <c r="A31" s="47"/>
      <c r="B31" s="43" t="s">
        <v>6</v>
      </c>
      <c r="C31" s="48" t="s">
        <v>123</v>
      </c>
      <c r="D31" s="77"/>
      <c r="E31" s="80">
        <v>0</v>
      </c>
      <c r="G31" s="80">
        <v>0</v>
      </c>
      <c r="H31" s="51"/>
      <c r="J31" s="51"/>
      <c r="K31" s="51"/>
      <c r="L31" s="51"/>
      <c r="M31" s="51"/>
    </row>
    <row r="32" spans="1:13" ht="13" customHeight="1" x14ac:dyDescent="0.25">
      <c r="A32" s="47"/>
      <c r="B32" s="43"/>
      <c r="C32" s="48"/>
      <c r="D32" s="77"/>
      <c r="E32" s="61"/>
      <c r="G32" s="80"/>
      <c r="H32" s="51"/>
      <c r="J32" s="51"/>
      <c r="K32" s="51"/>
      <c r="L32" s="51"/>
      <c r="M32" s="51"/>
    </row>
    <row r="33" spans="1:13" ht="13" customHeight="1" x14ac:dyDescent="0.25">
      <c r="A33" s="47"/>
      <c r="B33" s="43"/>
      <c r="C33" s="48"/>
      <c r="D33" s="77"/>
      <c r="E33" s="61"/>
      <c r="G33" s="80"/>
      <c r="H33" s="51"/>
      <c r="J33" s="51"/>
      <c r="K33" s="51"/>
      <c r="L33" s="51"/>
      <c r="M33" s="51"/>
    </row>
    <row r="34" spans="1:13" ht="13" customHeight="1" x14ac:dyDescent="0.25">
      <c r="A34" s="47"/>
      <c r="B34" s="43"/>
      <c r="C34" s="48"/>
      <c r="D34" s="77"/>
      <c r="E34" s="61"/>
      <c r="G34" s="80"/>
      <c r="H34" s="51"/>
      <c r="J34" s="51"/>
      <c r="K34" s="51"/>
      <c r="L34" s="51"/>
      <c r="M34" s="51"/>
    </row>
    <row r="35" spans="1:13" x14ac:dyDescent="0.25">
      <c r="A35" s="51"/>
      <c r="B35" s="50" t="s">
        <v>110</v>
      </c>
      <c r="C35" s="50"/>
      <c r="D35" s="75"/>
      <c r="E35" s="76"/>
      <c r="H35" s="51"/>
      <c r="I35" s="51"/>
      <c r="J35" s="51"/>
      <c r="K35" s="51"/>
      <c r="L35" s="51"/>
      <c r="M35" s="51"/>
    </row>
    <row r="36" spans="1:13" x14ac:dyDescent="0.25">
      <c r="A36" s="47">
        <v>45658</v>
      </c>
      <c r="B36" s="43" t="s">
        <v>0</v>
      </c>
      <c r="C36" s="48" t="s">
        <v>1</v>
      </c>
      <c r="D36" s="77"/>
      <c r="E36" s="78"/>
      <c r="F36" s="61">
        <v>193016940</v>
      </c>
      <c r="G36" s="80"/>
      <c r="H36" s="49"/>
      <c r="I36" s="51"/>
      <c r="J36" s="49"/>
      <c r="K36" s="49"/>
      <c r="L36" s="49"/>
      <c r="M36" s="49"/>
    </row>
    <row r="37" spans="1:13" ht="13" customHeight="1" x14ac:dyDescent="0.25">
      <c r="A37" s="10">
        <v>45682</v>
      </c>
      <c r="B37" s="43" t="s">
        <v>6</v>
      </c>
      <c r="C37" s="48" t="s">
        <v>124</v>
      </c>
      <c r="D37" s="77"/>
      <c r="E37" s="61">
        <v>5840526</v>
      </c>
      <c r="G37" s="80">
        <f>F36-E37</f>
        <v>187176414</v>
      </c>
      <c r="H37" s="51"/>
      <c r="J37" s="49"/>
      <c r="K37" s="49"/>
      <c r="L37" s="49"/>
      <c r="M37" s="49"/>
    </row>
    <row r="38" spans="1:13" ht="13" customHeight="1" x14ac:dyDescent="0.25">
      <c r="A38" s="10">
        <v>45711</v>
      </c>
      <c r="B38" s="43" t="s">
        <v>6</v>
      </c>
      <c r="C38" s="48" t="s">
        <v>124</v>
      </c>
      <c r="D38" s="77"/>
      <c r="E38" s="61">
        <v>5894064</v>
      </c>
      <c r="G38" s="80">
        <f>G37-E38</f>
        <v>181282350</v>
      </c>
      <c r="H38" s="51"/>
      <c r="J38" s="49"/>
      <c r="K38" s="49"/>
      <c r="L38" s="49"/>
      <c r="M38" s="49"/>
    </row>
    <row r="39" spans="1:13" ht="13" customHeight="1" x14ac:dyDescent="0.25">
      <c r="A39" s="10">
        <v>45741</v>
      </c>
      <c r="B39" s="43" t="s">
        <v>6</v>
      </c>
      <c r="C39" s="48" t="s">
        <v>124</v>
      </c>
      <c r="D39" s="77"/>
      <c r="E39" s="61">
        <v>5948093</v>
      </c>
      <c r="G39" s="80">
        <f>G38-E39</f>
        <v>175334257</v>
      </c>
      <c r="H39" s="51"/>
      <c r="J39" s="49"/>
      <c r="K39" s="49"/>
      <c r="L39" s="49"/>
      <c r="M39" s="49"/>
    </row>
    <row r="40" spans="1:13" ht="13" customHeight="1" x14ac:dyDescent="0.25">
      <c r="A40" s="10">
        <v>45772</v>
      </c>
      <c r="B40" s="43" t="s">
        <v>6</v>
      </c>
      <c r="C40" s="48" t="s">
        <v>124</v>
      </c>
      <c r="D40" s="77"/>
      <c r="E40" s="61">
        <v>6002617</v>
      </c>
      <c r="G40" s="80">
        <f>G39-E40</f>
        <v>169331640</v>
      </c>
      <c r="H40" s="51"/>
      <c r="J40" s="49"/>
      <c r="K40" s="49"/>
      <c r="L40" s="49"/>
      <c r="M40" s="49"/>
    </row>
    <row r="41" spans="1:13" ht="13" customHeight="1" x14ac:dyDescent="0.25">
      <c r="A41" s="47"/>
      <c r="B41" s="43" t="s">
        <v>6</v>
      </c>
      <c r="C41" s="48" t="s">
        <v>124</v>
      </c>
      <c r="D41" s="77"/>
      <c r="E41" s="61"/>
      <c r="G41" s="80">
        <f t="shared" ref="G41:G47" si="1">G40-E41</f>
        <v>169331640</v>
      </c>
      <c r="H41" s="51"/>
      <c r="J41" s="49"/>
      <c r="K41" s="49"/>
      <c r="L41" s="49"/>
      <c r="M41" s="49"/>
    </row>
    <row r="42" spans="1:13" ht="13" customHeight="1" x14ac:dyDescent="0.25">
      <c r="A42" s="47"/>
      <c r="B42" s="43" t="s">
        <v>6</v>
      </c>
      <c r="C42" s="48" t="s">
        <v>124</v>
      </c>
      <c r="D42" s="77"/>
      <c r="E42" s="61"/>
      <c r="G42" s="80">
        <f t="shared" si="1"/>
        <v>169331640</v>
      </c>
      <c r="H42" s="51"/>
      <c r="J42" s="49"/>
      <c r="K42" s="49"/>
      <c r="L42" s="49"/>
      <c r="M42" s="49"/>
    </row>
    <row r="43" spans="1:13" ht="13" customHeight="1" x14ac:dyDescent="0.25">
      <c r="A43" s="47"/>
      <c r="B43" s="43" t="s">
        <v>6</v>
      </c>
      <c r="C43" s="48" t="s">
        <v>124</v>
      </c>
      <c r="D43" s="77"/>
      <c r="E43" s="61"/>
      <c r="G43" s="80">
        <f t="shared" si="1"/>
        <v>169331640</v>
      </c>
      <c r="H43" s="51"/>
      <c r="J43" s="49"/>
      <c r="K43" s="49"/>
      <c r="L43" s="49"/>
      <c r="M43" s="49"/>
    </row>
    <row r="44" spans="1:13" ht="13" customHeight="1" x14ac:dyDescent="0.25">
      <c r="A44" s="47"/>
      <c r="B44" s="43" t="s">
        <v>6</v>
      </c>
      <c r="C44" s="48" t="s">
        <v>124</v>
      </c>
      <c r="D44" s="77"/>
      <c r="E44" s="61"/>
      <c r="G44" s="80">
        <f t="shared" si="1"/>
        <v>169331640</v>
      </c>
      <c r="H44" s="51"/>
      <c r="J44" s="49"/>
      <c r="K44" s="49"/>
      <c r="L44" s="49"/>
      <c r="M44" s="49"/>
    </row>
    <row r="45" spans="1:13" ht="13" customHeight="1" x14ac:dyDescent="0.25">
      <c r="A45" s="47"/>
      <c r="B45" s="43" t="s">
        <v>6</v>
      </c>
      <c r="C45" s="48" t="s">
        <v>124</v>
      </c>
      <c r="D45" s="77"/>
      <c r="E45" s="61"/>
      <c r="G45" s="80">
        <f t="shared" si="1"/>
        <v>169331640</v>
      </c>
      <c r="H45" s="51"/>
      <c r="J45" s="49"/>
      <c r="K45" s="49"/>
      <c r="L45" s="49"/>
      <c r="M45" s="49"/>
    </row>
    <row r="46" spans="1:13" ht="13" customHeight="1" x14ac:dyDescent="0.25">
      <c r="A46" s="47"/>
      <c r="B46" s="43" t="s">
        <v>6</v>
      </c>
      <c r="C46" s="48" t="s">
        <v>124</v>
      </c>
      <c r="D46" s="77"/>
      <c r="E46" s="61"/>
      <c r="G46" s="80">
        <f t="shared" si="1"/>
        <v>169331640</v>
      </c>
      <c r="H46" s="51"/>
      <c r="J46" s="49"/>
      <c r="K46" s="49"/>
      <c r="L46" s="49"/>
      <c r="M46" s="49"/>
    </row>
    <row r="47" spans="1:13" ht="26" x14ac:dyDescent="0.25">
      <c r="A47" s="47"/>
      <c r="B47" s="43" t="s">
        <v>6</v>
      </c>
      <c r="C47" s="48" t="s">
        <v>124</v>
      </c>
      <c r="G47" s="80">
        <f t="shared" si="1"/>
        <v>169331640</v>
      </c>
      <c r="H47" s="51"/>
      <c r="I47" s="51"/>
      <c r="J47" s="51"/>
      <c r="K47" s="51"/>
      <c r="L47" s="51"/>
      <c r="M47" s="51"/>
    </row>
    <row r="48" spans="1:13" ht="26" x14ac:dyDescent="0.25">
      <c r="A48" s="47"/>
      <c r="B48" s="43" t="s">
        <v>6</v>
      </c>
      <c r="C48" s="48" t="s">
        <v>124</v>
      </c>
      <c r="G48" s="80"/>
      <c r="H48" s="51"/>
      <c r="I48" s="51"/>
      <c r="J48" s="51"/>
      <c r="K48" s="51"/>
      <c r="L48" s="51"/>
      <c r="M48" s="51"/>
    </row>
    <row r="49" spans="1:13" x14ac:dyDescent="0.25">
      <c r="A49" s="51"/>
      <c r="B49" s="50" t="s">
        <v>125</v>
      </c>
      <c r="C49" s="50"/>
      <c r="D49" s="75"/>
      <c r="E49" s="76"/>
      <c r="H49" s="51"/>
      <c r="I49" s="51"/>
      <c r="J49" s="51"/>
      <c r="K49" s="51"/>
      <c r="L49" s="51"/>
      <c r="M49" s="51"/>
    </row>
    <row r="50" spans="1:13" x14ac:dyDescent="0.25">
      <c r="A50" s="47">
        <v>45658</v>
      </c>
      <c r="B50" s="43" t="s">
        <v>0</v>
      </c>
      <c r="C50" s="48" t="s">
        <v>1</v>
      </c>
      <c r="D50" s="77"/>
      <c r="E50" s="78"/>
      <c r="F50" s="49">
        <v>0</v>
      </c>
      <c r="G50" s="80"/>
      <c r="H50" s="49"/>
      <c r="I50" s="51"/>
      <c r="J50" s="49"/>
      <c r="K50" s="49"/>
      <c r="L50" s="49"/>
      <c r="M50" s="49"/>
    </row>
    <row r="51" spans="1:13" ht="13" customHeight="1" x14ac:dyDescent="0.25">
      <c r="A51" s="10">
        <v>45682</v>
      </c>
      <c r="B51" s="43" t="s">
        <v>6</v>
      </c>
      <c r="C51" s="48" t="s">
        <v>126</v>
      </c>
      <c r="D51" s="77"/>
      <c r="E51" s="81" t="s">
        <v>194</v>
      </c>
      <c r="F51" s="82"/>
      <c r="G51" s="83" t="s">
        <v>194</v>
      </c>
      <c r="H51" s="51"/>
      <c r="J51" s="49"/>
      <c r="K51" s="49"/>
      <c r="L51" s="49"/>
      <c r="M51" s="49"/>
    </row>
    <row r="52" spans="1:13" ht="13" customHeight="1" x14ac:dyDescent="0.25">
      <c r="A52" s="10">
        <v>45711</v>
      </c>
      <c r="B52" s="43" t="s">
        <v>6</v>
      </c>
      <c r="C52" s="48" t="s">
        <v>126</v>
      </c>
      <c r="D52" s="77"/>
      <c r="E52" s="81" t="s">
        <v>194</v>
      </c>
      <c r="F52" s="82"/>
      <c r="G52" s="83" t="s">
        <v>194</v>
      </c>
      <c r="H52" s="51"/>
      <c r="J52" s="49"/>
      <c r="K52" s="49"/>
      <c r="L52" s="49"/>
      <c r="M52" s="49"/>
    </row>
    <row r="53" spans="1:13" ht="13" customHeight="1" x14ac:dyDescent="0.25">
      <c r="A53" s="10">
        <v>45741</v>
      </c>
      <c r="B53" s="43" t="s">
        <v>6</v>
      </c>
      <c r="C53" s="48" t="s">
        <v>127</v>
      </c>
      <c r="D53" s="77"/>
      <c r="E53" s="81" t="s">
        <v>194</v>
      </c>
      <c r="F53" s="82"/>
      <c r="G53" s="83" t="s">
        <v>194</v>
      </c>
      <c r="H53" s="51"/>
      <c r="J53" s="49"/>
      <c r="K53" s="49"/>
      <c r="L53" s="49"/>
      <c r="M53" s="49"/>
    </row>
    <row r="54" spans="1:13" ht="13" customHeight="1" x14ac:dyDescent="0.25">
      <c r="A54" s="10">
        <v>45772</v>
      </c>
      <c r="B54" s="43" t="s">
        <v>6</v>
      </c>
      <c r="C54" s="48" t="s">
        <v>126</v>
      </c>
      <c r="D54" s="77"/>
      <c r="E54" s="81" t="s">
        <v>194</v>
      </c>
      <c r="F54" s="82"/>
      <c r="G54" s="83" t="s">
        <v>194</v>
      </c>
      <c r="H54" s="51"/>
      <c r="J54" s="49"/>
      <c r="K54" s="49"/>
      <c r="L54" s="49"/>
      <c r="M54" s="49"/>
    </row>
    <row r="55" spans="1:13" ht="13" customHeight="1" x14ac:dyDescent="0.25">
      <c r="A55" s="47"/>
      <c r="B55" s="43" t="s">
        <v>6</v>
      </c>
      <c r="C55" s="48" t="s">
        <v>126</v>
      </c>
      <c r="D55" s="77"/>
      <c r="E55" s="61"/>
      <c r="G55" s="80"/>
      <c r="H55" s="51"/>
      <c r="J55" s="49"/>
      <c r="K55" s="49"/>
      <c r="L55" s="49"/>
      <c r="M55" s="49"/>
    </row>
    <row r="56" spans="1:13" ht="13" customHeight="1" x14ac:dyDescent="0.25">
      <c r="A56" s="47"/>
      <c r="B56" s="43" t="s">
        <v>6</v>
      </c>
      <c r="C56" s="48" t="s">
        <v>126</v>
      </c>
      <c r="D56" s="77"/>
      <c r="E56" s="61"/>
      <c r="G56" s="80"/>
      <c r="H56" s="51"/>
      <c r="J56" s="49"/>
      <c r="K56" s="49"/>
      <c r="L56" s="49"/>
      <c r="M56" s="49"/>
    </row>
    <row r="57" spans="1:13" ht="13" customHeight="1" x14ac:dyDescent="0.25">
      <c r="A57" s="47"/>
      <c r="B57" s="43" t="s">
        <v>6</v>
      </c>
      <c r="C57" s="48" t="s">
        <v>126</v>
      </c>
      <c r="D57" s="77"/>
      <c r="E57" s="61"/>
      <c r="G57" s="80"/>
      <c r="H57" s="51"/>
      <c r="J57" s="49"/>
      <c r="K57" s="49"/>
      <c r="L57" s="49"/>
      <c r="M57" s="49"/>
    </row>
    <row r="58" spans="1:13" ht="13" customHeight="1" x14ac:dyDescent="0.25">
      <c r="A58" s="47"/>
      <c r="B58" s="43" t="s">
        <v>6</v>
      </c>
      <c r="C58" s="48" t="s">
        <v>126</v>
      </c>
      <c r="D58" s="77"/>
      <c r="E58" s="61"/>
      <c r="G58" s="80"/>
      <c r="H58" s="51"/>
      <c r="J58" s="49"/>
      <c r="K58" s="49"/>
      <c r="L58" s="49"/>
      <c r="M58" s="49"/>
    </row>
    <row r="59" spans="1:13" ht="13" customHeight="1" x14ac:dyDescent="0.25">
      <c r="A59" s="47"/>
      <c r="B59" s="43" t="s">
        <v>6</v>
      </c>
      <c r="C59" s="48" t="s">
        <v>126</v>
      </c>
      <c r="D59" s="77"/>
      <c r="E59" s="61"/>
      <c r="G59" s="80"/>
      <c r="H59" s="51"/>
      <c r="J59" s="49"/>
      <c r="K59" s="49"/>
      <c r="L59" s="49"/>
      <c r="M59" s="49"/>
    </row>
    <row r="60" spans="1:13" ht="13" customHeight="1" x14ac:dyDescent="0.25">
      <c r="A60" s="47"/>
      <c r="B60" s="43"/>
      <c r="C60" s="48"/>
      <c r="D60" s="77"/>
      <c r="E60" s="61"/>
      <c r="G60" s="80"/>
      <c r="H60" s="51"/>
      <c r="J60" s="49"/>
      <c r="K60" s="49"/>
      <c r="L60" s="49"/>
      <c r="M60" s="49"/>
    </row>
    <row r="61" spans="1:13" x14ac:dyDescent="0.25">
      <c r="A61" s="143" t="s">
        <v>189</v>
      </c>
      <c r="B61" s="143"/>
      <c r="C61" s="143"/>
      <c r="D61" s="143"/>
      <c r="E61" s="143"/>
      <c r="F61" s="143"/>
      <c r="G61" s="80"/>
      <c r="H61" s="51"/>
      <c r="I61" s="51"/>
      <c r="J61" s="51"/>
      <c r="K61" s="51"/>
      <c r="L61" s="51"/>
      <c r="M61" s="51"/>
    </row>
    <row r="62" spans="1:13" x14ac:dyDescent="0.25">
      <c r="A62" s="51"/>
      <c r="B62" s="51"/>
      <c r="C62" s="51"/>
      <c r="G62" s="80"/>
      <c r="H62" s="51"/>
      <c r="I62" s="51"/>
      <c r="J62" s="51"/>
      <c r="K62" s="51"/>
      <c r="L62" s="51"/>
      <c r="M62" s="51"/>
    </row>
    <row r="63" spans="1:13" ht="13" customHeight="1" x14ac:dyDescent="0.25">
      <c r="A63" s="51"/>
      <c r="B63" s="51"/>
      <c r="C63" s="44"/>
      <c r="D63" s="72"/>
      <c r="E63" s="84"/>
      <c r="F63" s="72"/>
      <c r="G63" s="72"/>
      <c r="H63" s="46"/>
      <c r="I63" s="46"/>
      <c r="J63" s="46"/>
      <c r="K63" s="46"/>
      <c r="L63" s="46"/>
      <c r="M63" s="46"/>
    </row>
    <row r="64" spans="1:13" x14ac:dyDescent="0.25">
      <c r="A64" s="51"/>
      <c r="B64" s="50" t="s">
        <v>115</v>
      </c>
      <c r="C64" s="50"/>
      <c r="D64" s="75"/>
      <c r="E64" s="76"/>
      <c r="H64" s="51"/>
      <c r="I64" s="51"/>
      <c r="J64" s="51"/>
      <c r="K64" s="51"/>
      <c r="L64" s="51"/>
      <c r="M64" s="51"/>
    </row>
    <row r="65" spans="1:13" x14ac:dyDescent="0.25">
      <c r="A65" s="47">
        <v>45658</v>
      </c>
      <c r="B65" s="43" t="s">
        <v>0</v>
      </c>
      <c r="C65" s="48" t="s">
        <v>1</v>
      </c>
      <c r="D65" s="77"/>
      <c r="E65" s="78"/>
      <c r="F65" s="49">
        <v>290740407</v>
      </c>
      <c r="G65" s="80"/>
      <c r="H65" s="49"/>
      <c r="I65" s="51"/>
      <c r="K65" s="49"/>
      <c r="L65" s="49"/>
      <c r="M65" s="49"/>
    </row>
    <row r="66" spans="1:13" ht="13" customHeight="1" x14ac:dyDescent="0.25">
      <c r="A66" s="10">
        <v>45682</v>
      </c>
      <c r="B66" s="43" t="s">
        <v>6</v>
      </c>
      <c r="C66" s="48" t="s">
        <v>128</v>
      </c>
      <c r="D66" s="77"/>
      <c r="E66" s="61">
        <v>2831434</v>
      </c>
      <c r="G66" s="80">
        <f>F65-E66</f>
        <v>287908973</v>
      </c>
      <c r="H66" s="51"/>
      <c r="J66" s="49"/>
      <c r="K66" s="49"/>
      <c r="L66" s="49"/>
      <c r="M66" s="49"/>
    </row>
    <row r="67" spans="1:13" ht="13" customHeight="1" x14ac:dyDescent="0.25">
      <c r="A67" s="10">
        <v>45711</v>
      </c>
      <c r="B67" s="43" t="s">
        <v>6</v>
      </c>
      <c r="C67" s="48" t="s">
        <v>128</v>
      </c>
      <c r="D67" s="77"/>
      <c r="E67" s="61">
        <v>2859748</v>
      </c>
      <c r="G67" s="80">
        <f>G66-E67</f>
        <v>285049225</v>
      </c>
      <c r="H67" s="51"/>
      <c r="J67" s="49"/>
      <c r="K67" s="49"/>
      <c r="L67" s="49"/>
      <c r="M67" s="49"/>
    </row>
    <row r="68" spans="1:13" ht="13" customHeight="1" x14ac:dyDescent="0.25">
      <c r="A68" s="10">
        <v>45741</v>
      </c>
      <c r="B68" s="43" t="s">
        <v>6</v>
      </c>
      <c r="C68" s="48" t="s">
        <v>128</v>
      </c>
      <c r="D68" s="77"/>
      <c r="E68" s="61">
        <v>2888346</v>
      </c>
      <c r="G68" s="80">
        <f>G67-E68</f>
        <v>282160879</v>
      </c>
      <c r="H68" s="51"/>
      <c r="J68" s="49"/>
      <c r="K68" s="49"/>
      <c r="L68" s="49"/>
      <c r="M68" s="49"/>
    </row>
    <row r="69" spans="1:13" ht="13" customHeight="1" x14ac:dyDescent="0.25">
      <c r="A69" s="10">
        <v>45772</v>
      </c>
      <c r="B69" s="43" t="s">
        <v>6</v>
      </c>
      <c r="C69" s="48" t="s">
        <v>129</v>
      </c>
      <c r="D69" s="77"/>
      <c r="E69" s="61">
        <v>2917229</v>
      </c>
      <c r="G69" s="80">
        <f t="shared" ref="G69:G76" si="2">G68-E69</f>
        <v>279243650</v>
      </c>
      <c r="H69" s="51"/>
      <c r="J69" s="49"/>
      <c r="K69" s="49"/>
      <c r="L69" s="49"/>
      <c r="M69" s="49"/>
    </row>
    <row r="70" spans="1:13" ht="13" customHeight="1" x14ac:dyDescent="0.25">
      <c r="A70" s="47"/>
      <c r="B70" s="43" t="s">
        <v>6</v>
      </c>
      <c r="C70" s="48" t="s">
        <v>128</v>
      </c>
      <c r="D70" s="77"/>
      <c r="E70" s="61"/>
      <c r="G70" s="80">
        <f t="shared" si="2"/>
        <v>279243650</v>
      </c>
      <c r="H70" s="51"/>
      <c r="J70" s="49"/>
      <c r="K70" s="49"/>
      <c r="L70" s="49"/>
      <c r="M70" s="49"/>
    </row>
    <row r="71" spans="1:13" ht="13" customHeight="1" x14ac:dyDescent="0.25">
      <c r="A71" s="47"/>
      <c r="B71" s="43" t="s">
        <v>6</v>
      </c>
      <c r="C71" s="48" t="s">
        <v>128</v>
      </c>
      <c r="D71" s="77"/>
      <c r="E71" s="61"/>
      <c r="G71" s="80">
        <f t="shared" si="2"/>
        <v>279243650</v>
      </c>
      <c r="H71" s="51"/>
      <c r="J71" s="49"/>
      <c r="K71" s="49"/>
      <c r="L71" s="49"/>
      <c r="M71" s="49"/>
    </row>
    <row r="72" spans="1:13" ht="13" customHeight="1" x14ac:dyDescent="0.25">
      <c r="A72" s="47"/>
      <c r="B72" s="43" t="s">
        <v>6</v>
      </c>
      <c r="C72" s="48" t="s">
        <v>128</v>
      </c>
      <c r="D72" s="77"/>
      <c r="E72" s="61"/>
      <c r="G72" s="80">
        <f t="shared" si="2"/>
        <v>279243650</v>
      </c>
      <c r="H72" s="51"/>
      <c r="J72" s="49"/>
      <c r="K72" s="49"/>
      <c r="L72" s="49"/>
      <c r="M72" s="49"/>
    </row>
    <row r="73" spans="1:13" ht="13" customHeight="1" x14ac:dyDescent="0.25">
      <c r="A73" s="47"/>
      <c r="B73" s="43" t="s">
        <v>6</v>
      </c>
      <c r="C73" s="48" t="s">
        <v>128</v>
      </c>
      <c r="D73" s="77"/>
      <c r="E73" s="61"/>
      <c r="G73" s="80">
        <f t="shared" si="2"/>
        <v>279243650</v>
      </c>
      <c r="H73" s="51"/>
      <c r="J73" s="49"/>
      <c r="K73" s="49"/>
      <c r="L73" s="49"/>
      <c r="M73" s="49"/>
    </row>
    <row r="74" spans="1:13" ht="13" customHeight="1" x14ac:dyDescent="0.25">
      <c r="A74" s="47"/>
      <c r="B74" s="43" t="s">
        <v>6</v>
      </c>
      <c r="C74" s="48" t="s">
        <v>128</v>
      </c>
      <c r="D74" s="77"/>
      <c r="E74" s="61"/>
      <c r="G74" s="80">
        <f t="shared" si="2"/>
        <v>279243650</v>
      </c>
      <c r="H74" s="51"/>
      <c r="J74" s="49"/>
      <c r="K74" s="49"/>
      <c r="L74" s="49"/>
      <c r="M74" s="49"/>
    </row>
    <row r="75" spans="1:13" ht="13" customHeight="1" x14ac:dyDescent="0.25">
      <c r="A75" s="47"/>
      <c r="B75" s="43" t="s">
        <v>6</v>
      </c>
      <c r="C75" s="48" t="s">
        <v>128</v>
      </c>
      <c r="D75" s="77"/>
      <c r="E75" s="61"/>
      <c r="G75" s="80">
        <f t="shared" si="2"/>
        <v>279243650</v>
      </c>
      <c r="H75" s="51"/>
      <c r="J75" s="49"/>
      <c r="K75" s="49"/>
      <c r="L75" s="49"/>
      <c r="M75" s="49"/>
    </row>
    <row r="76" spans="1:13" ht="14.25" customHeight="1" x14ac:dyDescent="0.25">
      <c r="A76" s="47"/>
      <c r="B76" s="43" t="s">
        <v>6</v>
      </c>
      <c r="C76" s="48" t="s">
        <v>128</v>
      </c>
      <c r="G76" s="80">
        <f t="shared" si="2"/>
        <v>279243650</v>
      </c>
      <c r="H76" s="51"/>
      <c r="I76" s="51"/>
      <c r="J76" s="51"/>
      <c r="K76" s="51"/>
      <c r="L76" s="51"/>
      <c r="M76" s="51"/>
    </row>
    <row r="77" spans="1:13" ht="26" x14ac:dyDescent="0.25">
      <c r="A77" s="47"/>
      <c r="B77" s="43" t="s">
        <v>6</v>
      </c>
      <c r="C77" s="48" t="s">
        <v>128</v>
      </c>
      <c r="G77" s="80"/>
      <c r="H77" s="51"/>
      <c r="I77" s="51"/>
      <c r="J77" s="51"/>
      <c r="K77" s="51"/>
      <c r="L77" s="51"/>
      <c r="M77" s="51"/>
    </row>
    <row r="78" spans="1:13" x14ac:dyDescent="0.25">
      <c r="A78" s="51"/>
      <c r="B78" s="50" t="s">
        <v>130</v>
      </c>
      <c r="C78" s="50"/>
      <c r="D78" s="75"/>
      <c r="E78" s="76"/>
      <c r="H78" s="51"/>
      <c r="I78" s="51"/>
      <c r="J78" s="51"/>
      <c r="K78" s="51"/>
      <c r="L78" s="51"/>
      <c r="M78" s="51"/>
    </row>
    <row r="79" spans="1:13" x14ac:dyDescent="0.25">
      <c r="A79" s="47">
        <v>45658</v>
      </c>
      <c r="B79" s="43" t="s">
        <v>0</v>
      </c>
      <c r="C79" s="48" t="s">
        <v>1</v>
      </c>
      <c r="D79" s="77"/>
      <c r="E79" s="78"/>
      <c r="F79" s="49">
        <v>189601020</v>
      </c>
      <c r="G79" s="80"/>
      <c r="H79" s="49"/>
      <c r="I79" s="51"/>
      <c r="J79" s="49"/>
      <c r="K79" s="49"/>
      <c r="L79" s="49"/>
      <c r="M79" s="49"/>
    </row>
    <row r="80" spans="1:13" ht="13" customHeight="1" x14ac:dyDescent="0.25">
      <c r="A80" s="10">
        <v>45682</v>
      </c>
      <c r="B80" s="43" t="s">
        <v>6</v>
      </c>
      <c r="C80" s="48" t="s">
        <v>131</v>
      </c>
      <c r="D80" s="77"/>
      <c r="E80" s="61">
        <v>7460150</v>
      </c>
      <c r="G80" s="80">
        <f>F79-E80</f>
        <v>182140870</v>
      </c>
      <c r="H80" s="51"/>
      <c r="J80" s="49"/>
      <c r="K80" s="49"/>
      <c r="L80" s="49"/>
      <c r="M80" s="49"/>
    </row>
    <row r="81" spans="1:13" ht="13" customHeight="1" x14ac:dyDescent="0.25">
      <c r="A81" s="10">
        <v>45711</v>
      </c>
      <c r="B81" s="43" t="s">
        <v>6</v>
      </c>
      <c r="C81" s="48" t="s">
        <v>131</v>
      </c>
      <c r="D81" s="77"/>
      <c r="E81" s="61">
        <v>7526981</v>
      </c>
      <c r="G81" s="80">
        <f>G80-E81</f>
        <v>174613889</v>
      </c>
      <c r="H81" s="51"/>
      <c r="J81" s="49"/>
      <c r="K81" s="49"/>
      <c r="L81" s="49"/>
      <c r="M81" s="49"/>
    </row>
    <row r="82" spans="1:13" ht="13" customHeight="1" x14ac:dyDescent="0.25">
      <c r="A82" s="10">
        <v>45741</v>
      </c>
      <c r="B82" s="43" t="s">
        <v>6</v>
      </c>
      <c r="C82" s="48" t="s">
        <v>131</v>
      </c>
      <c r="D82" s="77"/>
      <c r="E82" s="61">
        <v>7594410</v>
      </c>
      <c r="G82" s="80">
        <f t="shared" ref="G82:G90" si="3">G81-E82</f>
        <v>167019479</v>
      </c>
      <c r="H82" s="51"/>
      <c r="J82" s="49"/>
      <c r="K82" s="49"/>
      <c r="L82" s="49"/>
      <c r="M82" s="49"/>
    </row>
    <row r="83" spans="1:13" ht="13" customHeight="1" x14ac:dyDescent="0.25">
      <c r="A83" s="10">
        <v>45772</v>
      </c>
      <c r="B83" s="43" t="s">
        <v>6</v>
      </c>
      <c r="C83" s="48" t="s">
        <v>131</v>
      </c>
      <c r="D83" s="77"/>
      <c r="E83" s="61">
        <v>7662443</v>
      </c>
      <c r="G83" s="80">
        <f t="shared" si="3"/>
        <v>159357036</v>
      </c>
      <c r="H83" s="51"/>
      <c r="J83" s="49"/>
      <c r="K83" s="49"/>
      <c r="L83" s="49"/>
      <c r="M83" s="49"/>
    </row>
    <row r="84" spans="1:13" ht="13" customHeight="1" x14ac:dyDescent="0.25">
      <c r="A84" s="47"/>
      <c r="B84" s="43" t="s">
        <v>6</v>
      </c>
      <c r="C84" s="48" t="s">
        <v>132</v>
      </c>
      <c r="D84" s="77"/>
      <c r="E84" s="61"/>
      <c r="G84" s="80">
        <f t="shared" si="3"/>
        <v>159357036</v>
      </c>
      <c r="H84" s="51"/>
      <c r="J84" s="49"/>
      <c r="K84" s="49"/>
      <c r="L84" s="49"/>
      <c r="M84" s="49"/>
    </row>
    <row r="85" spans="1:13" ht="13" customHeight="1" x14ac:dyDescent="0.25">
      <c r="A85" s="47"/>
      <c r="B85" s="43" t="s">
        <v>0</v>
      </c>
      <c r="C85" s="48" t="s">
        <v>133</v>
      </c>
      <c r="D85" s="61"/>
      <c r="E85" s="78"/>
      <c r="G85" s="80">
        <f>G84+D85</f>
        <v>159357036</v>
      </c>
      <c r="I85" s="51"/>
      <c r="J85" s="49"/>
      <c r="K85" s="49"/>
      <c r="L85" s="49"/>
      <c r="M85" s="49"/>
    </row>
    <row r="86" spans="1:13" ht="13" customHeight="1" x14ac:dyDescent="0.25">
      <c r="A86" s="47"/>
      <c r="B86" s="43" t="s">
        <v>6</v>
      </c>
      <c r="C86" s="48" t="s">
        <v>131</v>
      </c>
      <c r="D86" s="77"/>
      <c r="E86" s="61"/>
      <c r="G86" s="80">
        <f>G85-E86</f>
        <v>159357036</v>
      </c>
      <c r="H86" s="51"/>
      <c r="J86" s="49"/>
      <c r="K86" s="49"/>
      <c r="L86" s="49"/>
      <c r="M86" s="49"/>
    </row>
    <row r="87" spans="1:13" ht="13" customHeight="1" x14ac:dyDescent="0.25">
      <c r="A87" s="47"/>
      <c r="B87" s="43" t="s">
        <v>6</v>
      </c>
      <c r="C87" s="48" t="s">
        <v>131</v>
      </c>
      <c r="D87" s="77"/>
      <c r="E87" s="61"/>
      <c r="G87" s="80">
        <f t="shared" si="3"/>
        <v>159357036</v>
      </c>
      <c r="H87" s="51"/>
      <c r="J87" s="49"/>
      <c r="K87" s="49"/>
      <c r="L87" s="49"/>
      <c r="M87" s="49"/>
    </row>
    <row r="88" spans="1:13" ht="13" customHeight="1" x14ac:dyDescent="0.25">
      <c r="A88" s="47"/>
      <c r="B88" s="43" t="s">
        <v>6</v>
      </c>
      <c r="C88" s="48" t="s">
        <v>131</v>
      </c>
      <c r="D88" s="77"/>
      <c r="E88" s="61"/>
      <c r="G88" s="80">
        <f t="shared" si="3"/>
        <v>159357036</v>
      </c>
      <c r="H88" s="51"/>
      <c r="J88" s="49"/>
      <c r="K88" s="49"/>
      <c r="L88" s="49"/>
      <c r="M88" s="49"/>
    </row>
    <row r="89" spans="1:13" ht="13" customHeight="1" x14ac:dyDescent="0.25">
      <c r="A89" s="47"/>
      <c r="B89" s="43" t="s">
        <v>6</v>
      </c>
      <c r="C89" s="48" t="s">
        <v>131</v>
      </c>
      <c r="D89" s="77"/>
      <c r="E89" s="61"/>
      <c r="G89" s="80">
        <f t="shared" si="3"/>
        <v>159357036</v>
      </c>
      <c r="H89" s="51"/>
      <c r="J89" s="49"/>
      <c r="K89" s="49"/>
      <c r="L89" s="49"/>
      <c r="M89" s="49"/>
    </row>
    <row r="90" spans="1:13" ht="13" customHeight="1" x14ac:dyDescent="0.25">
      <c r="A90" s="47"/>
      <c r="B90" s="43" t="s">
        <v>6</v>
      </c>
      <c r="C90" s="48" t="s">
        <v>131</v>
      </c>
      <c r="D90" s="77"/>
      <c r="E90" s="61"/>
      <c r="G90" s="80">
        <f t="shared" si="3"/>
        <v>159357036</v>
      </c>
      <c r="H90" s="51"/>
      <c r="J90" s="49"/>
      <c r="K90" s="49"/>
      <c r="L90" s="49"/>
      <c r="M90" s="49"/>
    </row>
    <row r="91" spans="1:13" ht="26" x14ac:dyDescent="0.25">
      <c r="A91" s="57"/>
      <c r="B91" s="51"/>
      <c r="C91" s="48" t="s">
        <v>131</v>
      </c>
      <c r="G91" s="80">
        <f>G90-E91</f>
        <v>159357036</v>
      </c>
      <c r="H91" s="51"/>
      <c r="I91" s="51"/>
      <c r="J91" s="51"/>
      <c r="K91" s="51"/>
      <c r="L91" s="51"/>
      <c r="M91" s="51"/>
    </row>
    <row r="92" spans="1:13" x14ac:dyDescent="0.25">
      <c r="A92" s="57"/>
      <c r="B92" s="51"/>
      <c r="C92" s="48"/>
      <c r="G92" s="80"/>
      <c r="H92" s="51"/>
      <c r="I92" s="51"/>
      <c r="J92" s="51"/>
      <c r="K92" s="51"/>
      <c r="L92" s="51"/>
      <c r="M92" s="51"/>
    </row>
    <row r="93" spans="1:13" x14ac:dyDescent="0.25">
      <c r="A93" s="51"/>
      <c r="B93" s="50" t="s">
        <v>3</v>
      </c>
      <c r="C93" s="50"/>
      <c r="D93" s="75"/>
      <c r="E93" s="76"/>
      <c r="H93" s="51"/>
      <c r="I93" s="51"/>
      <c r="J93" s="51"/>
      <c r="K93" s="51"/>
      <c r="L93" s="51"/>
      <c r="M93" s="51"/>
    </row>
    <row r="95" spans="1:13" x14ac:dyDescent="0.25">
      <c r="A95" s="47">
        <v>45658</v>
      </c>
      <c r="B95" s="43" t="s">
        <v>0</v>
      </c>
      <c r="C95" s="48" t="s">
        <v>1</v>
      </c>
      <c r="D95" s="77"/>
      <c r="E95" s="78"/>
      <c r="F95" s="49">
        <v>51162179</v>
      </c>
      <c r="G95" s="80"/>
      <c r="H95" s="49"/>
      <c r="I95" s="51"/>
      <c r="K95" s="49"/>
      <c r="L95" s="49"/>
      <c r="M95" s="49"/>
    </row>
    <row r="96" spans="1:13" ht="13" customHeight="1" x14ac:dyDescent="0.25">
      <c r="A96" s="10">
        <v>45682</v>
      </c>
      <c r="B96" s="43" t="s">
        <v>6</v>
      </c>
      <c r="C96" s="48" t="s">
        <v>134</v>
      </c>
      <c r="D96" s="77"/>
      <c r="E96" s="61">
        <v>4441821</v>
      </c>
      <c r="G96" s="80">
        <f>F95-E96</f>
        <v>46720358</v>
      </c>
      <c r="H96" s="51"/>
      <c r="J96" s="49"/>
      <c r="K96" s="49"/>
      <c r="L96" s="49"/>
      <c r="M96" s="49"/>
    </row>
    <row r="97" spans="1:13" ht="13" customHeight="1" x14ac:dyDescent="0.25">
      <c r="A97" s="10">
        <v>45711</v>
      </c>
      <c r="B97" s="43" t="s">
        <v>6</v>
      </c>
      <c r="C97" s="48" t="s">
        <v>134</v>
      </c>
      <c r="D97" s="77"/>
      <c r="E97" s="61">
        <v>4482538</v>
      </c>
      <c r="G97" s="80">
        <f>G96-E97</f>
        <v>42237820</v>
      </c>
      <c r="H97" s="51"/>
      <c r="J97" s="49"/>
      <c r="K97" s="49"/>
      <c r="L97" s="49"/>
      <c r="M97" s="49"/>
    </row>
    <row r="98" spans="1:13" ht="13" customHeight="1" x14ac:dyDescent="0.25">
      <c r="A98" s="10">
        <v>45741</v>
      </c>
      <c r="B98" s="43" t="s">
        <v>6</v>
      </c>
      <c r="C98" s="48" t="s">
        <v>134</v>
      </c>
      <c r="D98" s="77"/>
      <c r="E98" s="61">
        <v>4523628</v>
      </c>
      <c r="G98" s="80">
        <f t="shared" ref="G98:G107" si="4">G97-E98</f>
        <v>37714192</v>
      </c>
      <c r="H98" s="51"/>
      <c r="J98" s="49"/>
      <c r="K98" s="49"/>
      <c r="L98" s="49"/>
      <c r="M98" s="49"/>
    </row>
    <row r="99" spans="1:13" ht="13" customHeight="1" x14ac:dyDescent="0.25">
      <c r="A99" s="10">
        <v>45772</v>
      </c>
      <c r="B99" s="43" t="s">
        <v>6</v>
      </c>
      <c r="C99" s="48" t="s">
        <v>134</v>
      </c>
      <c r="D99" s="77"/>
      <c r="E99" s="61">
        <v>4565094</v>
      </c>
      <c r="G99" s="80">
        <f t="shared" si="4"/>
        <v>33149098</v>
      </c>
      <c r="H99" s="51"/>
      <c r="J99" s="49"/>
      <c r="K99" s="49"/>
      <c r="L99" s="49"/>
      <c r="M99" s="49"/>
    </row>
    <row r="100" spans="1:13" ht="13" customHeight="1" x14ac:dyDescent="0.25">
      <c r="A100" s="47"/>
      <c r="B100" s="43" t="s">
        <v>6</v>
      </c>
      <c r="C100" s="48" t="s">
        <v>134</v>
      </c>
      <c r="D100" s="77"/>
      <c r="E100" s="61"/>
      <c r="G100" s="80">
        <f t="shared" si="4"/>
        <v>33149098</v>
      </c>
      <c r="H100" s="51"/>
      <c r="J100" s="49"/>
      <c r="K100" s="49"/>
      <c r="L100" s="49"/>
      <c r="M100" s="49"/>
    </row>
    <row r="101" spans="1:13" ht="13" customHeight="1" x14ac:dyDescent="0.25">
      <c r="A101" s="47"/>
      <c r="B101" s="43" t="s">
        <v>6</v>
      </c>
      <c r="C101" s="48" t="s">
        <v>134</v>
      </c>
      <c r="D101" s="77"/>
      <c r="E101" s="61"/>
      <c r="G101" s="80">
        <f t="shared" si="4"/>
        <v>33149098</v>
      </c>
      <c r="H101" s="51"/>
      <c r="J101" s="49"/>
      <c r="K101" s="49"/>
      <c r="L101" s="49"/>
      <c r="M101" s="49"/>
    </row>
    <row r="102" spans="1:13" ht="13" customHeight="1" x14ac:dyDescent="0.25">
      <c r="A102" s="47"/>
      <c r="B102" s="43" t="s">
        <v>6</v>
      </c>
      <c r="C102" s="48" t="s">
        <v>134</v>
      </c>
      <c r="D102" s="77"/>
      <c r="E102" s="61"/>
      <c r="G102" s="80">
        <f t="shared" si="4"/>
        <v>33149098</v>
      </c>
      <c r="H102" s="51"/>
      <c r="J102" s="49"/>
      <c r="K102" s="49"/>
      <c r="L102" s="49"/>
      <c r="M102" s="49"/>
    </row>
    <row r="103" spans="1:13" ht="13" customHeight="1" x14ac:dyDescent="0.25">
      <c r="A103" s="47"/>
      <c r="B103" s="43" t="s">
        <v>6</v>
      </c>
      <c r="C103" s="48" t="s">
        <v>134</v>
      </c>
      <c r="D103" s="77"/>
      <c r="E103" s="61"/>
      <c r="G103" s="80">
        <f t="shared" si="4"/>
        <v>33149098</v>
      </c>
      <c r="H103" s="51"/>
      <c r="J103" s="49"/>
      <c r="K103" s="49"/>
      <c r="L103" s="49"/>
      <c r="M103" s="49"/>
    </row>
    <row r="104" spans="1:13" ht="13" customHeight="1" x14ac:dyDescent="0.25">
      <c r="A104" s="47"/>
      <c r="B104" s="43" t="s">
        <v>6</v>
      </c>
      <c r="C104" s="48" t="s">
        <v>134</v>
      </c>
      <c r="D104" s="77"/>
      <c r="E104" s="61"/>
      <c r="G104" s="80">
        <f t="shared" si="4"/>
        <v>33149098</v>
      </c>
      <c r="H104" s="51"/>
      <c r="J104" s="49"/>
      <c r="K104" s="49"/>
      <c r="L104" s="49"/>
      <c r="M104" s="49"/>
    </row>
    <row r="105" spans="1:13" ht="13" customHeight="1" x14ac:dyDescent="0.25">
      <c r="A105" s="47"/>
      <c r="B105" s="43" t="s">
        <v>6</v>
      </c>
      <c r="C105" s="48" t="s">
        <v>134</v>
      </c>
      <c r="D105" s="77"/>
      <c r="E105" s="61"/>
      <c r="G105" s="80">
        <f t="shared" si="4"/>
        <v>33149098</v>
      </c>
      <c r="H105" s="51"/>
      <c r="J105" s="49"/>
      <c r="K105" s="49"/>
      <c r="L105" s="49"/>
      <c r="M105" s="49"/>
    </row>
    <row r="106" spans="1:13" ht="26" x14ac:dyDescent="0.25">
      <c r="A106" s="47"/>
      <c r="B106" s="43" t="s">
        <v>6</v>
      </c>
      <c r="C106" s="48" t="s">
        <v>134</v>
      </c>
      <c r="G106" s="80">
        <f t="shared" si="4"/>
        <v>33149098</v>
      </c>
      <c r="H106" s="51"/>
      <c r="I106" s="51"/>
      <c r="J106" s="51"/>
      <c r="K106" s="51"/>
      <c r="L106" s="51"/>
      <c r="M106" s="51"/>
    </row>
    <row r="107" spans="1:13" ht="26" x14ac:dyDescent="0.25">
      <c r="A107" s="47"/>
      <c r="B107" s="43" t="s">
        <v>6</v>
      </c>
      <c r="C107" s="48" t="s">
        <v>134</v>
      </c>
      <c r="G107" s="80">
        <f t="shared" si="4"/>
        <v>33149098</v>
      </c>
      <c r="H107" s="51"/>
      <c r="I107" s="51"/>
      <c r="J107" s="51"/>
      <c r="K107" s="51"/>
      <c r="L107" s="51"/>
      <c r="M107" s="51"/>
    </row>
    <row r="108" spans="1:13" x14ac:dyDescent="0.25">
      <c r="A108" s="51"/>
      <c r="B108" s="50" t="s">
        <v>4</v>
      </c>
      <c r="C108" s="50"/>
      <c r="D108" s="75"/>
      <c r="E108" s="76"/>
      <c r="H108" s="51"/>
      <c r="I108" s="51"/>
      <c r="J108" s="51"/>
      <c r="K108" s="51"/>
      <c r="L108" s="51"/>
      <c r="M108" s="51"/>
    </row>
    <row r="109" spans="1:13" x14ac:dyDescent="0.25">
      <c r="A109" s="47">
        <v>45658</v>
      </c>
      <c r="B109" s="43" t="s">
        <v>0</v>
      </c>
      <c r="C109" s="48" t="s">
        <v>1</v>
      </c>
      <c r="D109" s="77"/>
      <c r="E109" s="78"/>
      <c r="F109" s="49">
        <v>130741700</v>
      </c>
      <c r="G109" s="80"/>
      <c r="H109" s="49"/>
      <c r="I109" s="51"/>
      <c r="K109" s="49"/>
      <c r="L109" s="49"/>
      <c r="M109" s="49"/>
    </row>
    <row r="110" spans="1:13" ht="13" customHeight="1" x14ac:dyDescent="0.25">
      <c r="A110" s="10">
        <v>45682</v>
      </c>
      <c r="B110" s="43" t="s">
        <v>6</v>
      </c>
      <c r="C110" s="48" t="s">
        <v>135</v>
      </c>
      <c r="D110" s="77"/>
      <c r="E110" s="61">
        <v>1314883</v>
      </c>
      <c r="G110" s="80">
        <f>F109-E110</f>
        <v>129426817</v>
      </c>
      <c r="H110" s="51"/>
      <c r="J110" s="49"/>
      <c r="K110" s="49"/>
      <c r="L110" s="49"/>
      <c r="M110" s="49"/>
    </row>
    <row r="111" spans="1:13" ht="13" customHeight="1" x14ac:dyDescent="0.25">
      <c r="A111" s="10">
        <v>45711</v>
      </c>
      <c r="B111" s="43" t="s">
        <v>6</v>
      </c>
      <c r="C111" s="48" t="s">
        <v>135</v>
      </c>
      <c r="D111" s="77"/>
      <c r="E111" s="61">
        <v>1326936</v>
      </c>
      <c r="G111" s="80">
        <f>G110-E111</f>
        <v>128099881</v>
      </c>
      <c r="H111" s="51"/>
      <c r="J111" s="49"/>
      <c r="K111" s="49"/>
      <c r="L111" s="49"/>
      <c r="M111" s="49"/>
    </row>
    <row r="112" spans="1:13" ht="13" customHeight="1" x14ac:dyDescent="0.25">
      <c r="A112" s="10">
        <v>45741</v>
      </c>
      <c r="B112" s="43" t="s">
        <v>6</v>
      </c>
      <c r="C112" s="48" t="s">
        <v>135</v>
      </c>
      <c r="D112" s="77"/>
      <c r="E112" s="61">
        <v>1339099</v>
      </c>
      <c r="G112" s="80">
        <f t="shared" ref="G112:G121" si="5">G111-E112</f>
        <v>126760782</v>
      </c>
      <c r="H112" s="51"/>
      <c r="J112" s="49"/>
      <c r="K112" s="49"/>
      <c r="L112" s="49"/>
      <c r="M112" s="49"/>
    </row>
    <row r="113" spans="1:13" ht="13" customHeight="1" x14ac:dyDescent="0.25">
      <c r="A113" s="10">
        <v>45772</v>
      </c>
      <c r="B113" s="43" t="s">
        <v>6</v>
      </c>
      <c r="C113" s="48" t="s">
        <v>135</v>
      </c>
      <c r="D113" s="77"/>
      <c r="E113" s="61">
        <v>1351374</v>
      </c>
      <c r="G113" s="80">
        <f t="shared" si="5"/>
        <v>125409408</v>
      </c>
      <c r="H113" s="51"/>
      <c r="J113" s="49"/>
      <c r="K113" s="49"/>
      <c r="L113" s="49"/>
      <c r="M113" s="49"/>
    </row>
    <row r="114" spans="1:13" ht="13" customHeight="1" x14ac:dyDescent="0.25">
      <c r="A114" s="47"/>
      <c r="B114" s="43" t="s">
        <v>6</v>
      </c>
      <c r="C114" s="48" t="s">
        <v>135</v>
      </c>
      <c r="D114" s="77"/>
      <c r="E114" s="61"/>
      <c r="G114" s="80">
        <f t="shared" si="5"/>
        <v>125409408</v>
      </c>
      <c r="H114" s="51"/>
      <c r="J114" s="49"/>
      <c r="K114" s="49"/>
      <c r="L114" s="49"/>
      <c r="M114" s="49"/>
    </row>
    <row r="115" spans="1:13" ht="13" customHeight="1" x14ac:dyDescent="0.25">
      <c r="A115" s="47"/>
      <c r="B115" s="43" t="s">
        <v>6</v>
      </c>
      <c r="C115" s="48" t="s">
        <v>135</v>
      </c>
      <c r="D115" s="77"/>
      <c r="E115" s="61"/>
      <c r="G115" s="80">
        <f t="shared" si="5"/>
        <v>125409408</v>
      </c>
      <c r="H115" s="51"/>
      <c r="J115" s="49"/>
      <c r="K115" s="49"/>
      <c r="L115" s="49"/>
      <c r="M115" s="49"/>
    </row>
    <row r="116" spans="1:13" ht="13" customHeight="1" x14ac:dyDescent="0.25">
      <c r="A116" s="47"/>
      <c r="B116" s="43" t="s">
        <v>6</v>
      </c>
      <c r="C116" s="48" t="s">
        <v>135</v>
      </c>
      <c r="D116" s="77"/>
      <c r="E116" s="61"/>
      <c r="G116" s="80">
        <f t="shared" si="5"/>
        <v>125409408</v>
      </c>
      <c r="H116" s="51"/>
      <c r="J116" s="49"/>
      <c r="K116" s="49"/>
      <c r="L116" s="49"/>
      <c r="M116" s="49"/>
    </row>
    <row r="117" spans="1:13" ht="13" customHeight="1" x14ac:dyDescent="0.25">
      <c r="A117" s="47"/>
      <c r="B117" s="43" t="s">
        <v>6</v>
      </c>
      <c r="C117" s="48" t="s">
        <v>135</v>
      </c>
      <c r="D117" s="77"/>
      <c r="E117" s="61"/>
      <c r="G117" s="80">
        <f t="shared" si="5"/>
        <v>125409408</v>
      </c>
      <c r="H117" s="51"/>
      <c r="J117" s="49"/>
      <c r="K117" s="49"/>
      <c r="L117" s="49"/>
      <c r="M117" s="49"/>
    </row>
    <row r="118" spans="1:13" ht="13" customHeight="1" x14ac:dyDescent="0.25">
      <c r="A118" s="47"/>
      <c r="B118" s="43" t="s">
        <v>6</v>
      </c>
      <c r="C118" s="48" t="s">
        <v>135</v>
      </c>
      <c r="D118" s="77"/>
      <c r="E118" s="61"/>
      <c r="G118" s="80">
        <f t="shared" si="5"/>
        <v>125409408</v>
      </c>
      <c r="H118" s="51"/>
      <c r="J118" s="49"/>
      <c r="K118" s="49"/>
      <c r="L118" s="49"/>
      <c r="M118" s="49"/>
    </row>
    <row r="119" spans="1:13" ht="13" customHeight="1" x14ac:dyDescent="0.25">
      <c r="A119" s="47"/>
      <c r="B119" s="43" t="s">
        <v>6</v>
      </c>
      <c r="C119" s="48" t="s">
        <v>135</v>
      </c>
      <c r="D119" s="77"/>
      <c r="E119" s="61"/>
      <c r="G119" s="80">
        <f t="shared" si="5"/>
        <v>125409408</v>
      </c>
      <c r="H119" s="51"/>
      <c r="J119" s="49"/>
      <c r="K119" s="49"/>
      <c r="L119" s="49"/>
      <c r="M119" s="49"/>
    </row>
    <row r="120" spans="1:13" ht="26" x14ac:dyDescent="0.25">
      <c r="A120" s="47"/>
      <c r="B120" s="43" t="s">
        <v>6</v>
      </c>
      <c r="C120" s="48" t="s">
        <v>135</v>
      </c>
      <c r="G120" s="80">
        <f t="shared" si="5"/>
        <v>125409408</v>
      </c>
      <c r="H120" s="51"/>
      <c r="I120" s="51"/>
      <c r="J120" s="51"/>
      <c r="K120" s="51"/>
      <c r="L120" s="51"/>
      <c r="M120" s="51"/>
    </row>
    <row r="121" spans="1:13" ht="26" x14ac:dyDescent="0.25">
      <c r="A121" s="47"/>
      <c r="B121" s="43" t="s">
        <v>6</v>
      </c>
      <c r="C121" s="48" t="s">
        <v>135</v>
      </c>
      <c r="G121" s="80">
        <f t="shared" si="5"/>
        <v>125409408</v>
      </c>
      <c r="H121" s="51"/>
      <c r="I121" s="51"/>
      <c r="J121" s="51"/>
      <c r="K121" s="51"/>
      <c r="L121" s="51"/>
      <c r="M121" s="51"/>
    </row>
    <row r="122" spans="1:13" x14ac:dyDescent="0.25">
      <c r="A122" s="51"/>
      <c r="B122" s="50" t="s">
        <v>9</v>
      </c>
      <c r="C122" s="50"/>
      <c r="D122" s="75"/>
      <c r="E122" s="76"/>
      <c r="H122" s="51"/>
      <c r="I122" s="51"/>
      <c r="J122" s="51"/>
      <c r="K122" s="51"/>
      <c r="L122" s="51"/>
      <c r="M122" s="51"/>
    </row>
    <row r="123" spans="1:13" x14ac:dyDescent="0.25">
      <c r="A123" s="47">
        <v>45658</v>
      </c>
      <c r="B123" s="43" t="s">
        <v>0</v>
      </c>
      <c r="C123" s="48" t="s">
        <v>1</v>
      </c>
      <c r="D123" s="77"/>
      <c r="E123" s="78"/>
      <c r="F123" s="49">
        <v>427096376</v>
      </c>
      <c r="G123" s="80"/>
      <c r="H123" s="49"/>
      <c r="I123" s="51"/>
      <c r="K123" s="49"/>
      <c r="L123" s="49"/>
      <c r="M123" s="49"/>
    </row>
    <row r="124" spans="1:13" ht="13" customHeight="1" x14ac:dyDescent="0.25">
      <c r="A124" s="10">
        <v>45682</v>
      </c>
      <c r="B124" s="43" t="s">
        <v>6</v>
      </c>
      <c r="C124" s="48" t="s">
        <v>136</v>
      </c>
      <c r="D124" s="77"/>
      <c r="E124" s="61">
        <v>3397880</v>
      </c>
      <c r="G124" s="80">
        <f>F123-E124</f>
        <v>423698496</v>
      </c>
      <c r="H124" s="51"/>
      <c r="J124" s="49"/>
      <c r="K124" s="49"/>
      <c r="L124" s="49"/>
      <c r="M124" s="49"/>
    </row>
    <row r="125" spans="1:13" ht="13" customHeight="1" x14ac:dyDescent="0.25">
      <c r="A125" s="10">
        <v>45711</v>
      </c>
      <c r="B125" s="43" t="s">
        <v>6</v>
      </c>
      <c r="C125" s="48" t="s">
        <v>136</v>
      </c>
      <c r="D125" s="77"/>
      <c r="E125" s="61">
        <v>3429028</v>
      </c>
      <c r="G125" s="80">
        <f>G124-E125</f>
        <v>420269468</v>
      </c>
      <c r="H125" s="51"/>
      <c r="J125" s="49"/>
      <c r="K125" s="49"/>
      <c r="L125" s="49"/>
      <c r="M125" s="49"/>
    </row>
    <row r="126" spans="1:13" ht="13" customHeight="1" x14ac:dyDescent="0.25">
      <c r="A126" s="10">
        <v>45741</v>
      </c>
      <c r="B126" s="43" t="s">
        <v>6</v>
      </c>
      <c r="C126" s="48" t="s">
        <v>136</v>
      </c>
      <c r="D126" s="77"/>
      <c r="E126" s="61">
        <v>3460460</v>
      </c>
      <c r="G126" s="80">
        <f t="shared" ref="G126:G135" si="6">G125-E126</f>
        <v>416809008</v>
      </c>
      <c r="H126" s="51"/>
      <c r="J126" s="49"/>
      <c r="K126" s="49"/>
      <c r="L126" s="49"/>
      <c r="M126" s="49"/>
    </row>
    <row r="127" spans="1:13" ht="13" customHeight="1" x14ac:dyDescent="0.25">
      <c r="A127" s="10">
        <v>45772</v>
      </c>
      <c r="B127" s="43" t="s">
        <v>6</v>
      </c>
      <c r="C127" s="48" t="s">
        <v>136</v>
      </c>
      <c r="D127" s="77"/>
      <c r="E127" s="61">
        <v>3492181</v>
      </c>
      <c r="G127" s="80">
        <f t="shared" si="6"/>
        <v>413316827</v>
      </c>
      <c r="H127" s="51"/>
      <c r="J127" s="49"/>
      <c r="K127" s="49"/>
      <c r="L127" s="49"/>
      <c r="M127" s="49"/>
    </row>
    <row r="128" spans="1:13" ht="13" customHeight="1" x14ac:dyDescent="0.25">
      <c r="A128" s="47"/>
      <c r="B128" s="43" t="s">
        <v>6</v>
      </c>
      <c r="C128" s="48" t="s">
        <v>136</v>
      </c>
      <c r="D128" s="77"/>
      <c r="E128" s="61"/>
      <c r="G128" s="80">
        <f t="shared" si="6"/>
        <v>413316827</v>
      </c>
      <c r="H128" s="51"/>
      <c r="J128" s="49"/>
      <c r="K128" s="49"/>
      <c r="L128" s="49"/>
      <c r="M128" s="49"/>
    </row>
    <row r="129" spans="1:13" ht="13" customHeight="1" x14ac:dyDescent="0.25">
      <c r="A129" s="47"/>
      <c r="B129" s="43" t="s">
        <v>6</v>
      </c>
      <c r="C129" s="48" t="s">
        <v>136</v>
      </c>
      <c r="D129" s="77"/>
      <c r="E129" s="61"/>
      <c r="G129" s="80">
        <f t="shared" si="6"/>
        <v>413316827</v>
      </c>
      <c r="H129" s="51"/>
      <c r="J129" s="49"/>
      <c r="K129" s="49"/>
      <c r="L129" s="49"/>
      <c r="M129" s="49"/>
    </row>
    <row r="130" spans="1:13" ht="13" customHeight="1" x14ac:dyDescent="0.25">
      <c r="A130" s="47"/>
      <c r="B130" s="43" t="s">
        <v>6</v>
      </c>
      <c r="C130" s="48" t="s">
        <v>136</v>
      </c>
      <c r="D130" s="77"/>
      <c r="E130" s="61"/>
      <c r="G130" s="80">
        <f t="shared" si="6"/>
        <v>413316827</v>
      </c>
      <c r="H130" s="51"/>
      <c r="J130" s="49"/>
      <c r="K130" s="49"/>
      <c r="L130" s="49"/>
      <c r="M130" s="49"/>
    </row>
    <row r="131" spans="1:13" ht="13" customHeight="1" x14ac:dyDescent="0.25">
      <c r="A131" s="47"/>
      <c r="B131" s="43" t="s">
        <v>6</v>
      </c>
      <c r="C131" s="48" t="s">
        <v>136</v>
      </c>
      <c r="D131" s="77"/>
      <c r="E131" s="61"/>
      <c r="G131" s="80">
        <f t="shared" si="6"/>
        <v>413316827</v>
      </c>
      <c r="H131" s="51"/>
      <c r="J131" s="49"/>
      <c r="K131" s="49"/>
      <c r="L131" s="49"/>
      <c r="M131" s="49"/>
    </row>
    <row r="132" spans="1:13" ht="13" customHeight="1" x14ac:dyDescent="0.25">
      <c r="A132" s="47"/>
      <c r="B132" s="43" t="s">
        <v>6</v>
      </c>
      <c r="C132" s="48" t="s">
        <v>136</v>
      </c>
      <c r="D132" s="77"/>
      <c r="E132" s="61"/>
      <c r="G132" s="80">
        <f t="shared" si="6"/>
        <v>413316827</v>
      </c>
      <c r="H132" s="51"/>
      <c r="J132" s="49"/>
      <c r="K132" s="49"/>
      <c r="L132" s="49"/>
      <c r="M132" s="49"/>
    </row>
    <row r="133" spans="1:13" ht="13" customHeight="1" x14ac:dyDescent="0.25">
      <c r="A133" s="47"/>
      <c r="B133" s="43" t="s">
        <v>6</v>
      </c>
      <c r="C133" s="48" t="s">
        <v>136</v>
      </c>
      <c r="D133" s="77"/>
      <c r="E133" s="61"/>
      <c r="G133" s="80">
        <f t="shared" si="6"/>
        <v>413316827</v>
      </c>
      <c r="H133" s="51"/>
      <c r="J133" s="49"/>
      <c r="K133" s="49"/>
      <c r="L133" s="49"/>
      <c r="M133" s="49"/>
    </row>
    <row r="134" spans="1:13" ht="26" x14ac:dyDescent="0.25">
      <c r="A134" s="57"/>
      <c r="B134" s="51"/>
      <c r="C134" s="48" t="s">
        <v>136</v>
      </c>
      <c r="G134" s="80">
        <f t="shared" si="6"/>
        <v>413316827</v>
      </c>
      <c r="H134" s="51"/>
      <c r="I134" s="51"/>
      <c r="J134" s="51"/>
      <c r="K134" s="51"/>
      <c r="L134" s="51"/>
      <c r="M134" s="51"/>
    </row>
    <row r="135" spans="1:13" ht="26" x14ac:dyDescent="0.25">
      <c r="A135" s="57"/>
      <c r="B135" s="51"/>
      <c r="C135" s="48" t="s">
        <v>136</v>
      </c>
      <c r="G135" s="80">
        <f t="shared" si="6"/>
        <v>413316827</v>
      </c>
      <c r="H135" s="51"/>
      <c r="I135" s="51"/>
      <c r="J135" s="51"/>
      <c r="K135" s="51"/>
      <c r="L135" s="51"/>
      <c r="M135" s="51"/>
    </row>
    <row r="136" spans="1:13" x14ac:dyDescent="0.25">
      <c r="A136" s="51"/>
      <c r="B136" s="50" t="s">
        <v>109</v>
      </c>
      <c r="C136" s="50"/>
      <c r="D136" s="75"/>
      <c r="E136" s="76"/>
      <c r="H136" s="51"/>
      <c r="I136" s="51"/>
      <c r="J136" s="51"/>
      <c r="K136" s="51"/>
      <c r="L136" s="51"/>
      <c r="M136" s="51"/>
    </row>
    <row r="137" spans="1:13" ht="13" customHeight="1" x14ac:dyDescent="0.25">
      <c r="A137" s="47">
        <v>45658</v>
      </c>
      <c r="B137" s="43" t="s">
        <v>0</v>
      </c>
      <c r="C137" s="48" t="s">
        <v>1</v>
      </c>
      <c r="D137" s="49"/>
      <c r="E137" s="78"/>
      <c r="F137" s="74">
        <v>84046563</v>
      </c>
      <c r="G137" s="80"/>
      <c r="H137" s="49"/>
      <c r="I137" s="51"/>
      <c r="K137" s="49"/>
      <c r="L137" s="49"/>
      <c r="M137" s="49"/>
    </row>
    <row r="138" spans="1:13" ht="13" customHeight="1" x14ac:dyDescent="0.25">
      <c r="A138" s="10">
        <v>45682</v>
      </c>
      <c r="B138" s="43" t="s">
        <v>6</v>
      </c>
      <c r="C138" s="48" t="s">
        <v>138</v>
      </c>
      <c r="D138" s="77"/>
      <c r="E138" s="61">
        <v>3014418</v>
      </c>
      <c r="G138" s="80">
        <f>D137-E138</f>
        <v>-3014418</v>
      </c>
      <c r="H138" s="51"/>
      <c r="J138" s="49"/>
      <c r="K138" s="49"/>
      <c r="L138" s="49"/>
      <c r="M138" s="49"/>
    </row>
    <row r="139" spans="1:13" ht="13" customHeight="1" x14ac:dyDescent="0.25">
      <c r="A139" s="10">
        <v>45711</v>
      </c>
      <c r="B139" s="43" t="s">
        <v>6</v>
      </c>
      <c r="C139" s="48" t="s">
        <v>138</v>
      </c>
      <c r="D139" s="77"/>
      <c r="E139" s="61">
        <v>3041422</v>
      </c>
      <c r="G139" s="80">
        <f>G138-E139</f>
        <v>-6055840</v>
      </c>
      <c r="H139" s="51"/>
      <c r="J139" s="49"/>
      <c r="K139" s="49"/>
      <c r="L139" s="49"/>
      <c r="M139" s="49"/>
    </row>
    <row r="140" spans="1:13" ht="13" customHeight="1" x14ac:dyDescent="0.25">
      <c r="A140" s="10">
        <v>45741</v>
      </c>
      <c r="B140" s="43" t="s">
        <v>6</v>
      </c>
      <c r="C140" s="48" t="s">
        <v>138</v>
      </c>
      <c r="D140" s="77"/>
      <c r="E140" s="61">
        <v>3068668</v>
      </c>
      <c r="G140" s="80">
        <f t="shared" ref="G140:G145" si="7">G139-E140</f>
        <v>-9124508</v>
      </c>
      <c r="H140" s="51"/>
      <c r="J140" s="49"/>
      <c r="K140" s="49"/>
      <c r="L140" s="49"/>
      <c r="M140" s="49"/>
    </row>
    <row r="141" spans="1:13" ht="13" customHeight="1" x14ac:dyDescent="0.25">
      <c r="A141" s="10">
        <v>45772</v>
      </c>
      <c r="B141" s="43" t="s">
        <v>6</v>
      </c>
      <c r="C141" s="48" t="s">
        <v>138</v>
      </c>
      <c r="D141" s="77"/>
      <c r="E141" s="61">
        <v>3096158</v>
      </c>
      <c r="G141" s="80">
        <f t="shared" si="7"/>
        <v>-12220666</v>
      </c>
      <c r="H141" s="51"/>
      <c r="J141" s="49"/>
      <c r="K141" s="49"/>
      <c r="L141" s="49"/>
      <c r="M141" s="49"/>
    </row>
    <row r="142" spans="1:13" ht="13" customHeight="1" x14ac:dyDescent="0.25">
      <c r="A142" s="47"/>
      <c r="B142" s="43" t="s">
        <v>6</v>
      </c>
      <c r="C142" s="48" t="s">
        <v>138</v>
      </c>
      <c r="D142" s="77"/>
      <c r="E142" s="61"/>
      <c r="G142" s="80">
        <f t="shared" si="7"/>
        <v>-12220666</v>
      </c>
      <c r="H142" s="51"/>
      <c r="J142" s="49"/>
      <c r="K142" s="49"/>
      <c r="L142" s="49"/>
      <c r="M142" s="49"/>
    </row>
    <row r="143" spans="1:13" ht="13" customHeight="1" x14ac:dyDescent="0.25">
      <c r="A143" s="47"/>
      <c r="B143" s="43" t="s">
        <v>6</v>
      </c>
      <c r="C143" s="48" t="s">
        <v>138</v>
      </c>
      <c r="D143" s="77"/>
      <c r="E143" s="61"/>
      <c r="G143" s="80">
        <f t="shared" si="7"/>
        <v>-12220666</v>
      </c>
      <c r="H143" s="51"/>
      <c r="J143" s="49"/>
      <c r="K143" s="49"/>
      <c r="L143" s="49"/>
      <c r="M143" s="49"/>
    </row>
    <row r="144" spans="1:13" ht="13" customHeight="1" x14ac:dyDescent="0.25">
      <c r="A144" s="47"/>
      <c r="B144" s="43" t="s">
        <v>6</v>
      </c>
      <c r="C144" s="48" t="s">
        <v>138</v>
      </c>
      <c r="D144" s="77"/>
      <c r="E144" s="61"/>
      <c r="G144" s="80">
        <f t="shared" si="7"/>
        <v>-12220666</v>
      </c>
      <c r="H144" s="51"/>
      <c r="J144" s="49"/>
      <c r="K144" s="49"/>
      <c r="L144" s="49"/>
      <c r="M144" s="49"/>
    </row>
    <row r="145" spans="1:13" ht="26" x14ac:dyDescent="0.25">
      <c r="A145" s="47"/>
      <c r="B145" s="43" t="s">
        <v>6</v>
      </c>
      <c r="C145" s="48" t="s">
        <v>138</v>
      </c>
      <c r="G145" s="80">
        <f t="shared" si="7"/>
        <v>-12220666</v>
      </c>
      <c r="H145" s="51"/>
      <c r="I145" s="51"/>
      <c r="J145" s="51"/>
      <c r="K145" s="51"/>
      <c r="L145" s="51"/>
      <c r="M145" s="51"/>
    </row>
    <row r="146" spans="1:13" ht="26" x14ac:dyDescent="0.25">
      <c r="A146" s="47"/>
      <c r="B146" s="43" t="s">
        <v>6</v>
      </c>
      <c r="C146" s="48" t="s">
        <v>138</v>
      </c>
      <c r="G146" s="80">
        <f>G145-E146</f>
        <v>-12220666</v>
      </c>
      <c r="H146" s="51"/>
      <c r="I146" s="51"/>
      <c r="J146" s="51"/>
      <c r="K146" s="51"/>
      <c r="L146" s="51"/>
      <c r="M146" s="51"/>
    </row>
    <row r="147" spans="1:13" x14ac:dyDescent="0.25">
      <c r="A147" s="51"/>
      <c r="B147" s="50" t="s">
        <v>139</v>
      </c>
      <c r="C147" s="50"/>
      <c r="D147" s="75"/>
      <c r="E147" s="76"/>
      <c r="H147" s="51"/>
      <c r="I147" s="51"/>
      <c r="J147" s="51"/>
      <c r="K147" s="51"/>
      <c r="L147" s="51"/>
      <c r="M147" s="51"/>
    </row>
    <row r="148" spans="1:13" x14ac:dyDescent="0.25">
      <c r="A148" s="47">
        <v>45658</v>
      </c>
      <c r="B148" s="43" t="s">
        <v>0</v>
      </c>
      <c r="C148" s="48" t="s">
        <v>1</v>
      </c>
      <c r="D148" s="77"/>
      <c r="E148" s="78"/>
      <c r="F148" s="49">
        <v>81820474</v>
      </c>
      <c r="G148" s="80"/>
      <c r="H148" s="49"/>
      <c r="I148" s="51"/>
      <c r="K148" s="49"/>
      <c r="L148" s="49"/>
      <c r="M148" s="49"/>
    </row>
    <row r="149" spans="1:13" ht="13" customHeight="1" x14ac:dyDescent="0.25">
      <c r="A149" s="10">
        <v>45682</v>
      </c>
      <c r="B149" s="43" t="s">
        <v>6</v>
      </c>
      <c r="C149" s="48" t="s">
        <v>140</v>
      </c>
      <c r="D149" s="77"/>
      <c r="E149" s="61">
        <v>1157653</v>
      </c>
      <c r="G149" s="80">
        <f>F148-E149</f>
        <v>80662821</v>
      </c>
      <c r="H149" s="51"/>
      <c r="J149" s="49"/>
      <c r="K149" s="49"/>
      <c r="L149" s="49"/>
      <c r="M149" s="49"/>
    </row>
    <row r="150" spans="1:13" ht="13" customHeight="1" x14ac:dyDescent="0.25">
      <c r="A150" s="10">
        <v>45711</v>
      </c>
      <c r="B150" s="43" t="s">
        <v>6</v>
      </c>
      <c r="C150" s="48" t="s">
        <v>140</v>
      </c>
      <c r="D150" s="77"/>
      <c r="E150" s="61">
        <v>1168023</v>
      </c>
      <c r="G150" s="80">
        <f>G149-E150</f>
        <v>79494798</v>
      </c>
      <c r="H150" s="51"/>
      <c r="J150" s="49"/>
      <c r="K150" s="49"/>
      <c r="L150" s="49"/>
      <c r="M150" s="49"/>
    </row>
    <row r="151" spans="1:13" ht="13" customHeight="1" x14ac:dyDescent="0.25">
      <c r="A151" s="10">
        <v>45741</v>
      </c>
      <c r="B151" s="43" t="s">
        <v>6</v>
      </c>
      <c r="C151" s="48" t="s">
        <v>140</v>
      </c>
      <c r="D151" s="77"/>
      <c r="E151" s="61">
        <v>1178487</v>
      </c>
      <c r="G151" s="80">
        <f t="shared" ref="G151:G160" si="8">G150-E151</f>
        <v>78316311</v>
      </c>
      <c r="H151" s="51"/>
      <c r="J151" s="49"/>
      <c r="K151" s="49"/>
      <c r="L151" s="49"/>
      <c r="M151" s="49"/>
    </row>
    <row r="152" spans="1:13" ht="13" customHeight="1" x14ac:dyDescent="0.25">
      <c r="A152" s="10">
        <v>45772</v>
      </c>
      <c r="B152" s="43" t="s">
        <v>6</v>
      </c>
      <c r="C152" s="48" t="s">
        <v>140</v>
      </c>
      <c r="D152" s="77"/>
      <c r="E152" s="61">
        <v>1189044</v>
      </c>
      <c r="G152" s="80">
        <f t="shared" si="8"/>
        <v>77127267</v>
      </c>
      <c r="H152" s="51"/>
      <c r="J152" s="49"/>
      <c r="K152" s="49"/>
      <c r="L152" s="49"/>
      <c r="M152" s="49"/>
    </row>
    <row r="153" spans="1:13" ht="13" customHeight="1" x14ac:dyDescent="0.25">
      <c r="A153" s="47"/>
      <c r="B153" s="43" t="s">
        <v>6</v>
      </c>
      <c r="C153" s="48" t="s">
        <v>140</v>
      </c>
      <c r="D153" s="77"/>
      <c r="E153" s="61"/>
      <c r="G153" s="80">
        <f t="shared" si="8"/>
        <v>77127267</v>
      </c>
      <c r="H153" s="51"/>
      <c r="J153" s="49"/>
      <c r="K153" s="49"/>
      <c r="L153" s="49"/>
      <c r="M153" s="49"/>
    </row>
    <row r="154" spans="1:13" ht="13" customHeight="1" x14ac:dyDescent="0.25">
      <c r="A154" s="47"/>
      <c r="B154" s="43" t="s">
        <v>6</v>
      </c>
      <c r="C154" s="48" t="s">
        <v>140</v>
      </c>
      <c r="D154" s="77"/>
      <c r="E154" s="61"/>
      <c r="G154" s="80">
        <f t="shared" si="8"/>
        <v>77127267</v>
      </c>
      <c r="H154" s="51"/>
      <c r="J154" s="49"/>
      <c r="K154" s="49"/>
      <c r="L154" s="49"/>
      <c r="M154" s="49"/>
    </row>
    <row r="155" spans="1:13" ht="13" customHeight="1" x14ac:dyDescent="0.25">
      <c r="A155" s="47"/>
      <c r="B155" s="43" t="s">
        <v>6</v>
      </c>
      <c r="C155" s="48" t="s">
        <v>140</v>
      </c>
      <c r="D155" s="77"/>
      <c r="E155" s="61"/>
      <c r="G155" s="80">
        <f t="shared" si="8"/>
        <v>77127267</v>
      </c>
      <c r="H155" s="51"/>
      <c r="J155" s="49"/>
      <c r="K155" s="49"/>
      <c r="L155" s="49"/>
      <c r="M155" s="49"/>
    </row>
    <row r="156" spans="1:13" ht="13" customHeight="1" x14ac:dyDescent="0.25">
      <c r="A156" s="47"/>
      <c r="B156" s="43" t="s">
        <v>6</v>
      </c>
      <c r="C156" s="48" t="s">
        <v>140</v>
      </c>
      <c r="D156" s="77"/>
      <c r="E156" s="61"/>
      <c r="G156" s="80">
        <f t="shared" si="8"/>
        <v>77127267</v>
      </c>
      <c r="H156" s="51"/>
      <c r="J156" s="49"/>
      <c r="K156" s="49"/>
      <c r="L156" s="49"/>
      <c r="M156" s="49"/>
    </row>
    <row r="157" spans="1:13" ht="13" customHeight="1" x14ac:dyDescent="0.25">
      <c r="A157" s="47"/>
      <c r="B157" s="43" t="s">
        <v>6</v>
      </c>
      <c r="C157" s="48" t="s">
        <v>140</v>
      </c>
      <c r="D157" s="77"/>
      <c r="E157" s="61"/>
      <c r="G157" s="80">
        <f t="shared" si="8"/>
        <v>77127267</v>
      </c>
      <c r="H157" s="51"/>
      <c r="J157" s="49"/>
      <c r="K157" s="49"/>
      <c r="L157" s="49"/>
      <c r="M157" s="49"/>
    </row>
    <row r="158" spans="1:13" ht="13" customHeight="1" x14ac:dyDescent="0.25">
      <c r="A158" s="47"/>
      <c r="B158" s="43" t="s">
        <v>6</v>
      </c>
      <c r="C158" s="48" t="s">
        <v>140</v>
      </c>
      <c r="D158" s="77"/>
      <c r="E158" s="61"/>
      <c r="G158" s="80">
        <f t="shared" si="8"/>
        <v>77127267</v>
      </c>
      <c r="H158" s="51"/>
      <c r="J158" s="49"/>
      <c r="K158" s="49"/>
      <c r="L158" s="49"/>
      <c r="M158" s="49"/>
    </row>
    <row r="159" spans="1:13" ht="26" x14ac:dyDescent="0.25">
      <c r="A159" s="47"/>
      <c r="B159" s="43" t="s">
        <v>6</v>
      </c>
      <c r="C159" s="48" t="s">
        <v>140</v>
      </c>
      <c r="G159" s="80">
        <f t="shared" si="8"/>
        <v>77127267</v>
      </c>
      <c r="H159" s="51"/>
      <c r="I159" s="51"/>
      <c r="J159" s="51"/>
      <c r="K159" s="51"/>
      <c r="L159" s="51"/>
      <c r="M159" s="51"/>
    </row>
    <row r="160" spans="1:13" ht="26" x14ac:dyDescent="0.25">
      <c r="A160" s="47"/>
      <c r="B160" s="43" t="s">
        <v>6</v>
      </c>
      <c r="C160" s="48" t="s">
        <v>140</v>
      </c>
      <c r="G160" s="80">
        <f t="shared" si="8"/>
        <v>77127267</v>
      </c>
      <c r="H160" s="51"/>
      <c r="I160" s="51"/>
      <c r="J160" s="51"/>
      <c r="K160" s="51"/>
      <c r="L160" s="51"/>
      <c r="M160" s="51"/>
    </row>
    <row r="161" spans="1:13" x14ac:dyDescent="0.25">
      <c r="A161" s="51"/>
      <c r="B161" s="50" t="s">
        <v>117</v>
      </c>
      <c r="C161" s="50"/>
      <c r="D161" s="75"/>
      <c r="E161" s="76"/>
      <c r="H161" s="51"/>
      <c r="I161" s="51"/>
      <c r="J161" s="51"/>
      <c r="K161" s="51"/>
      <c r="L161" s="51"/>
      <c r="M161" s="51"/>
    </row>
    <row r="162" spans="1:13" x14ac:dyDescent="0.25">
      <c r="A162" s="47">
        <v>45658</v>
      </c>
      <c r="B162" s="43" t="s">
        <v>0</v>
      </c>
      <c r="C162" s="48" t="s">
        <v>1</v>
      </c>
      <c r="D162" s="77"/>
      <c r="E162" s="78"/>
      <c r="F162" s="49">
        <v>0</v>
      </c>
      <c r="G162" s="80"/>
      <c r="H162" s="49"/>
      <c r="I162" s="51"/>
      <c r="K162" s="49"/>
      <c r="L162" s="49"/>
      <c r="M162" s="49"/>
    </row>
    <row r="163" spans="1:13" ht="13" customHeight="1" x14ac:dyDescent="0.25">
      <c r="A163" s="10">
        <v>45682</v>
      </c>
      <c r="B163" s="43" t="s">
        <v>6</v>
      </c>
      <c r="C163" s="48" t="s">
        <v>141</v>
      </c>
      <c r="D163" s="77"/>
      <c r="E163" s="61" t="s">
        <v>194</v>
      </c>
      <c r="G163" s="80" t="s">
        <v>194</v>
      </c>
      <c r="H163" s="51"/>
      <c r="J163" s="49"/>
      <c r="K163" s="49"/>
      <c r="L163" s="49"/>
      <c r="M163" s="49"/>
    </row>
    <row r="164" spans="1:13" ht="13" customHeight="1" x14ac:dyDescent="0.25">
      <c r="A164" s="10">
        <v>45711</v>
      </c>
      <c r="B164" s="43" t="s">
        <v>6</v>
      </c>
      <c r="C164" s="48" t="s">
        <v>141</v>
      </c>
      <c r="D164" s="77"/>
      <c r="E164" s="61" t="s">
        <v>194</v>
      </c>
      <c r="G164" s="80" t="s">
        <v>194</v>
      </c>
      <c r="H164" s="51"/>
      <c r="J164" s="49"/>
      <c r="K164" s="49"/>
      <c r="L164" s="49"/>
      <c r="M164" s="49"/>
    </row>
    <row r="165" spans="1:13" ht="13" customHeight="1" x14ac:dyDescent="0.25">
      <c r="A165" s="10">
        <v>45741</v>
      </c>
      <c r="B165" s="43" t="s">
        <v>6</v>
      </c>
      <c r="C165" s="48" t="s">
        <v>141</v>
      </c>
      <c r="D165" s="77"/>
      <c r="E165" s="61" t="s">
        <v>194</v>
      </c>
      <c r="G165" s="80" t="s">
        <v>194</v>
      </c>
      <c r="H165" s="51"/>
      <c r="J165" s="49"/>
      <c r="K165" s="49"/>
      <c r="L165" s="49"/>
      <c r="M165" s="49"/>
    </row>
    <row r="166" spans="1:13" ht="13" customHeight="1" x14ac:dyDescent="0.25">
      <c r="A166" s="10">
        <v>45772</v>
      </c>
      <c r="B166" s="43" t="s">
        <v>6</v>
      </c>
      <c r="C166" s="48" t="s">
        <v>141</v>
      </c>
      <c r="D166" s="77"/>
      <c r="E166" s="61" t="s">
        <v>194</v>
      </c>
      <c r="G166" s="80" t="s">
        <v>194</v>
      </c>
      <c r="H166" s="51"/>
      <c r="J166" s="49"/>
      <c r="K166" s="49"/>
      <c r="L166" s="49"/>
      <c r="M166" s="49"/>
    </row>
    <row r="167" spans="1:13" ht="13" customHeight="1" x14ac:dyDescent="0.25">
      <c r="A167" s="47"/>
      <c r="B167" s="43" t="s">
        <v>0</v>
      </c>
      <c r="C167" s="48" t="s">
        <v>142</v>
      </c>
      <c r="D167" s="77"/>
      <c r="E167" s="61" t="s">
        <v>194</v>
      </c>
      <c r="G167" s="80" t="s">
        <v>194</v>
      </c>
      <c r="H167" s="51"/>
      <c r="J167" s="51"/>
      <c r="K167" s="51"/>
      <c r="L167" s="51"/>
      <c r="M167" s="51"/>
    </row>
    <row r="168" spans="1:13" x14ac:dyDescent="0.25">
      <c r="A168" s="51"/>
      <c r="B168" s="51"/>
      <c r="C168" s="51"/>
      <c r="H168" s="51"/>
      <c r="I168" s="51"/>
      <c r="J168" s="51"/>
      <c r="K168" s="51"/>
      <c r="L168" s="51"/>
      <c r="M168" s="51"/>
    </row>
    <row r="169" spans="1:13" x14ac:dyDescent="0.25">
      <c r="A169" s="51"/>
      <c r="B169" s="51"/>
      <c r="C169" s="51"/>
      <c r="H169" s="51"/>
      <c r="I169" s="51"/>
      <c r="J169" s="51"/>
      <c r="K169" s="51"/>
      <c r="L169" s="51"/>
      <c r="M169" s="51"/>
    </row>
    <row r="170" spans="1:13" x14ac:dyDescent="0.25">
      <c r="A170" s="51"/>
      <c r="B170" s="50" t="s">
        <v>108</v>
      </c>
      <c r="C170" s="50"/>
      <c r="D170" s="75"/>
      <c r="E170" s="76"/>
      <c r="H170" s="51"/>
      <c r="I170" s="51"/>
      <c r="J170" s="51"/>
      <c r="K170" s="51"/>
      <c r="L170" s="51"/>
      <c r="M170" s="51"/>
    </row>
    <row r="171" spans="1:13" x14ac:dyDescent="0.25">
      <c r="A171" s="47">
        <v>45658</v>
      </c>
      <c r="B171" s="43" t="s">
        <v>0</v>
      </c>
      <c r="C171" s="48" t="s">
        <v>1</v>
      </c>
      <c r="D171" s="77"/>
      <c r="E171" s="78"/>
      <c r="F171" s="49">
        <v>39760882</v>
      </c>
      <c r="G171" s="80"/>
      <c r="H171" s="49"/>
      <c r="I171" s="51"/>
      <c r="K171" s="49"/>
      <c r="L171" s="49"/>
      <c r="M171" s="49"/>
    </row>
    <row r="172" spans="1:13" ht="13" customHeight="1" x14ac:dyDescent="0.25">
      <c r="A172" s="10">
        <v>45682</v>
      </c>
      <c r="B172" s="43" t="s">
        <v>6</v>
      </c>
      <c r="C172" s="48" t="s">
        <v>143</v>
      </c>
      <c r="D172" s="77"/>
      <c r="E172" s="61">
        <v>1157495</v>
      </c>
      <c r="G172" s="80">
        <f>F171-E172</f>
        <v>38603387</v>
      </c>
      <c r="H172" s="51"/>
      <c r="J172" s="49"/>
      <c r="K172" s="49"/>
      <c r="L172" s="49"/>
      <c r="M172" s="49"/>
    </row>
    <row r="173" spans="1:13" ht="13" customHeight="1" x14ac:dyDescent="0.25">
      <c r="A173" s="10">
        <v>45711</v>
      </c>
      <c r="B173" s="43" t="s">
        <v>6</v>
      </c>
      <c r="C173" s="48" t="s">
        <v>143</v>
      </c>
      <c r="D173" s="77"/>
      <c r="E173" s="61">
        <v>1168105</v>
      </c>
      <c r="G173" s="80">
        <f>G172-E173</f>
        <v>37435282</v>
      </c>
      <c r="H173" s="51"/>
      <c r="J173" s="49"/>
      <c r="K173" s="49"/>
      <c r="L173" s="49"/>
      <c r="M173" s="49"/>
    </row>
    <row r="174" spans="1:13" ht="13" customHeight="1" x14ac:dyDescent="0.25">
      <c r="A174" s="10">
        <v>45741</v>
      </c>
      <c r="B174" s="43" t="s">
        <v>6</v>
      </c>
      <c r="C174" s="48" t="s">
        <v>143</v>
      </c>
      <c r="D174" s="77"/>
      <c r="E174" s="61">
        <v>1178813</v>
      </c>
      <c r="G174" s="80">
        <f t="shared" ref="G174:G183" si="9">G173-E174</f>
        <v>36256469</v>
      </c>
      <c r="H174" s="51"/>
      <c r="J174" s="49"/>
      <c r="K174" s="49"/>
      <c r="L174" s="49"/>
      <c r="M174" s="49"/>
    </row>
    <row r="175" spans="1:13" ht="13" customHeight="1" x14ac:dyDescent="0.25">
      <c r="A175" s="10">
        <v>45772</v>
      </c>
      <c r="B175" s="43" t="s">
        <v>6</v>
      </c>
      <c r="C175" s="48" t="s">
        <v>143</v>
      </c>
      <c r="D175" s="77"/>
      <c r="E175" s="61">
        <v>1189619</v>
      </c>
      <c r="G175" s="80">
        <f t="shared" si="9"/>
        <v>35066850</v>
      </c>
      <c r="H175" s="51"/>
      <c r="J175" s="49"/>
      <c r="K175" s="49"/>
      <c r="L175" s="49"/>
      <c r="M175" s="49"/>
    </row>
    <row r="176" spans="1:13" ht="13" customHeight="1" x14ac:dyDescent="0.25">
      <c r="A176" s="47"/>
      <c r="B176" s="43" t="s">
        <v>6</v>
      </c>
      <c r="C176" s="48" t="s">
        <v>143</v>
      </c>
      <c r="D176" s="77"/>
      <c r="E176" s="61"/>
      <c r="G176" s="80">
        <f t="shared" si="9"/>
        <v>35066850</v>
      </c>
      <c r="H176" s="51"/>
      <c r="J176" s="49"/>
      <c r="K176" s="49"/>
      <c r="L176" s="49"/>
      <c r="M176" s="49"/>
    </row>
    <row r="177" spans="1:13" ht="13" customHeight="1" x14ac:dyDescent="0.25">
      <c r="A177" s="47"/>
      <c r="B177" s="43" t="s">
        <v>6</v>
      </c>
      <c r="C177" s="48" t="s">
        <v>143</v>
      </c>
      <c r="D177" s="77"/>
      <c r="E177" s="61"/>
      <c r="G177" s="80">
        <f t="shared" si="9"/>
        <v>35066850</v>
      </c>
      <c r="H177" s="51"/>
      <c r="J177" s="49"/>
      <c r="K177" s="49"/>
      <c r="L177" s="49"/>
      <c r="M177" s="49"/>
    </row>
    <row r="178" spans="1:13" ht="13" customHeight="1" x14ac:dyDescent="0.25">
      <c r="A178" s="47"/>
      <c r="B178" s="43" t="s">
        <v>6</v>
      </c>
      <c r="C178" s="48" t="s">
        <v>143</v>
      </c>
      <c r="D178" s="77"/>
      <c r="E178" s="61"/>
      <c r="G178" s="80">
        <f t="shared" si="9"/>
        <v>35066850</v>
      </c>
      <c r="H178" s="51"/>
      <c r="J178" s="49"/>
      <c r="K178" s="49"/>
      <c r="L178" s="49"/>
      <c r="M178" s="49"/>
    </row>
    <row r="179" spans="1:13" ht="13" customHeight="1" x14ac:dyDescent="0.25">
      <c r="A179" s="47"/>
      <c r="B179" s="43" t="s">
        <v>6</v>
      </c>
      <c r="C179" s="48" t="s">
        <v>143</v>
      </c>
      <c r="D179" s="77"/>
      <c r="E179" s="61"/>
      <c r="G179" s="80">
        <f t="shared" si="9"/>
        <v>35066850</v>
      </c>
      <c r="H179" s="51"/>
      <c r="J179" s="49"/>
      <c r="K179" s="49"/>
      <c r="L179" s="49"/>
      <c r="M179" s="49"/>
    </row>
    <row r="180" spans="1:13" ht="13" customHeight="1" x14ac:dyDescent="0.25">
      <c r="A180" s="47"/>
      <c r="B180" s="43" t="s">
        <v>6</v>
      </c>
      <c r="C180" s="48" t="s">
        <v>143</v>
      </c>
      <c r="D180" s="77"/>
      <c r="E180" s="61"/>
      <c r="G180" s="80">
        <f t="shared" si="9"/>
        <v>35066850</v>
      </c>
      <c r="H180" s="51"/>
      <c r="J180" s="49"/>
      <c r="K180" s="49"/>
      <c r="L180" s="49"/>
      <c r="M180" s="49"/>
    </row>
    <row r="181" spans="1:13" ht="13" customHeight="1" x14ac:dyDescent="0.25">
      <c r="A181" s="47"/>
      <c r="B181" s="43" t="s">
        <v>6</v>
      </c>
      <c r="C181" s="48" t="s">
        <v>143</v>
      </c>
      <c r="D181" s="77"/>
      <c r="E181" s="61"/>
      <c r="G181" s="80">
        <f t="shared" si="9"/>
        <v>35066850</v>
      </c>
      <c r="H181" s="51"/>
      <c r="J181" s="49"/>
      <c r="K181" s="49"/>
      <c r="L181" s="49"/>
      <c r="M181" s="49"/>
    </row>
    <row r="182" spans="1:13" ht="26" x14ac:dyDescent="0.25">
      <c r="A182" s="47"/>
      <c r="B182" s="43" t="s">
        <v>6</v>
      </c>
      <c r="C182" s="48" t="s">
        <v>143</v>
      </c>
      <c r="G182" s="80">
        <f t="shared" si="9"/>
        <v>35066850</v>
      </c>
      <c r="H182" s="51"/>
      <c r="I182" s="51"/>
      <c r="J182" s="51"/>
      <c r="K182" s="51"/>
      <c r="L182" s="51"/>
      <c r="M182" s="51"/>
    </row>
    <row r="183" spans="1:13" ht="26" x14ac:dyDescent="0.25">
      <c r="A183" s="47"/>
      <c r="B183" s="43" t="s">
        <v>6</v>
      </c>
      <c r="C183" s="48" t="s">
        <v>143</v>
      </c>
      <c r="G183" s="80">
        <f t="shared" si="9"/>
        <v>35066850</v>
      </c>
      <c r="H183" s="51"/>
      <c r="I183" s="51"/>
      <c r="J183" s="51"/>
      <c r="K183" s="51"/>
      <c r="L183" s="51"/>
      <c r="M183" s="51"/>
    </row>
    <row r="184" spans="1:13" x14ac:dyDescent="0.25">
      <c r="A184" s="51"/>
      <c r="B184" s="50" t="s">
        <v>12</v>
      </c>
      <c r="C184" s="50"/>
      <c r="D184" s="75"/>
      <c r="E184" s="76"/>
      <c r="H184" s="51"/>
      <c r="I184" s="51"/>
      <c r="J184" s="51"/>
      <c r="K184" s="51"/>
      <c r="L184" s="51"/>
      <c r="M184" s="51"/>
    </row>
    <row r="185" spans="1:13" x14ac:dyDescent="0.25">
      <c r="A185" s="47">
        <v>45658</v>
      </c>
      <c r="B185" s="43" t="s">
        <v>0</v>
      </c>
      <c r="C185" s="48" t="s">
        <v>1</v>
      </c>
      <c r="D185" s="77"/>
      <c r="E185" s="78"/>
      <c r="F185" s="49">
        <v>69504833</v>
      </c>
      <c r="G185" s="80"/>
      <c r="H185" s="49"/>
      <c r="I185" s="51"/>
      <c r="K185" s="49"/>
      <c r="L185" s="49"/>
      <c r="M185" s="49"/>
    </row>
    <row r="186" spans="1:13" ht="13" customHeight="1" x14ac:dyDescent="0.25">
      <c r="A186" s="10">
        <v>45682</v>
      </c>
      <c r="B186" s="43" t="s">
        <v>6</v>
      </c>
      <c r="C186" s="48" t="s">
        <v>144</v>
      </c>
      <c r="D186" s="77"/>
      <c r="E186" s="73">
        <v>1075122</v>
      </c>
      <c r="G186" s="80"/>
      <c r="H186" s="51"/>
      <c r="J186" s="49"/>
      <c r="K186" s="49"/>
      <c r="L186" s="49"/>
      <c r="M186" s="49"/>
    </row>
    <row r="187" spans="1:13" ht="13" customHeight="1" x14ac:dyDescent="0.25">
      <c r="A187" s="10">
        <v>45711</v>
      </c>
      <c r="B187" s="43" t="s">
        <v>6</v>
      </c>
      <c r="C187" s="48" t="s">
        <v>144</v>
      </c>
      <c r="D187" s="77"/>
      <c r="E187" s="61">
        <v>1084977</v>
      </c>
      <c r="G187" s="80">
        <f>F185-E187</f>
        <v>68419856</v>
      </c>
      <c r="H187" s="51"/>
      <c r="J187" s="49"/>
      <c r="K187" s="49"/>
      <c r="L187" s="49"/>
      <c r="M187" s="49"/>
    </row>
    <row r="188" spans="1:13" ht="13" customHeight="1" x14ac:dyDescent="0.25">
      <c r="A188" s="10">
        <v>45741</v>
      </c>
      <c r="B188" s="43" t="s">
        <v>6</v>
      </c>
      <c r="C188" s="48" t="s">
        <v>144</v>
      </c>
      <c r="D188" s="77"/>
      <c r="E188" s="61">
        <v>1094923</v>
      </c>
      <c r="G188" s="80">
        <f>G187-E188</f>
        <v>67324933</v>
      </c>
      <c r="H188" s="51"/>
      <c r="J188" s="49"/>
      <c r="K188" s="49"/>
      <c r="L188" s="49"/>
      <c r="M188" s="49"/>
    </row>
    <row r="189" spans="1:13" ht="13" customHeight="1" x14ac:dyDescent="0.25">
      <c r="A189" s="10">
        <v>45772</v>
      </c>
      <c r="B189" s="43" t="s">
        <v>6</v>
      </c>
      <c r="C189" s="48" t="s">
        <v>144</v>
      </c>
      <c r="D189" s="77"/>
      <c r="E189" s="61">
        <v>1104960</v>
      </c>
      <c r="G189" s="80">
        <f t="shared" ref="G189:G197" si="10">G188-E189</f>
        <v>66219973</v>
      </c>
      <c r="H189" s="51"/>
      <c r="J189" s="49"/>
      <c r="K189" s="49"/>
      <c r="L189" s="49"/>
      <c r="M189" s="49"/>
    </row>
    <row r="190" spans="1:13" ht="13" customHeight="1" x14ac:dyDescent="0.25">
      <c r="A190" s="47"/>
      <c r="B190" s="43" t="s">
        <v>6</v>
      </c>
      <c r="C190" s="48" t="s">
        <v>144</v>
      </c>
      <c r="D190" s="77"/>
      <c r="E190" s="61"/>
      <c r="G190" s="80">
        <f t="shared" si="10"/>
        <v>66219973</v>
      </c>
      <c r="H190" s="51"/>
      <c r="J190" s="49"/>
      <c r="K190" s="49"/>
      <c r="L190" s="49"/>
      <c r="M190" s="49"/>
    </row>
    <row r="191" spans="1:13" ht="13" customHeight="1" x14ac:dyDescent="0.25">
      <c r="A191" s="47"/>
      <c r="B191" s="43" t="s">
        <v>6</v>
      </c>
      <c r="C191" s="48" t="s">
        <v>144</v>
      </c>
      <c r="D191" s="77"/>
      <c r="E191" s="61"/>
      <c r="G191" s="80">
        <f t="shared" si="10"/>
        <v>66219973</v>
      </c>
      <c r="H191" s="51"/>
      <c r="J191" s="49"/>
      <c r="K191" s="49"/>
      <c r="L191" s="49"/>
      <c r="M191" s="49"/>
    </row>
    <row r="192" spans="1:13" ht="13" customHeight="1" x14ac:dyDescent="0.25">
      <c r="A192" s="47"/>
      <c r="B192" s="43" t="s">
        <v>6</v>
      </c>
      <c r="C192" s="48" t="s">
        <v>144</v>
      </c>
      <c r="D192" s="77"/>
      <c r="E192" s="61"/>
      <c r="G192" s="80">
        <f t="shared" si="10"/>
        <v>66219973</v>
      </c>
      <c r="H192" s="51"/>
      <c r="J192" s="49"/>
      <c r="K192" s="49"/>
      <c r="L192" s="49"/>
      <c r="M192" s="49"/>
    </row>
    <row r="193" spans="1:13" ht="13" customHeight="1" x14ac:dyDescent="0.25">
      <c r="A193" s="47"/>
      <c r="B193" s="43" t="s">
        <v>6</v>
      </c>
      <c r="C193" s="48" t="s">
        <v>144</v>
      </c>
      <c r="D193" s="77"/>
      <c r="E193" s="61"/>
      <c r="G193" s="80">
        <f t="shared" si="10"/>
        <v>66219973</v>
      </c>
      <c r="H193" s="51"/>
      <c r="J193" s="49"/>
      <c r="K193" s="49"/>
      <c r="L193" s="49"/>
      <c r="M193" s="49"/>
    </row>
    <row r="194" spans="1:13" ht="13" customHeight="1" x14ac:dyDescent="0.25">
      <c r="A194" s="47"/>
      <c r="B194" s="43" t="s">
        <v>6</v>
      </c>
      <c r="C194" s="48" t="s">
        <v>144</v>
      </c>
      <c r="D194" s="77"/>
      <c r="E194" s="61"/>
      <c r="G194" s="80">
        <f t="shared" si="10"/>
        <v>66219973</v>
      </c>
      <c r="H194" s="51"/>
      <c r="J194" s="49"/>
      <c r="K194" s="49"/>
      <c r="L194" s="49"/>
      <c r="M194" s="49"/>
    </row>
    <row r="195" spans="1:13" ht="13" customHeight="1" x14ac:dyDescent="0.25">
      <c r="A195" s="47"/>
      <c r="B195" s="43" t="s">
        <v>6</v>
      </c>
      <c r="C195" s="48" t="s">
        <v>144</v>
      </c>
      <c r="D195" s="77"/>
      <c r="E195" s="61"/>
      <c r="G195" s="80">
        <f t="shared" si="10"/>
        <v>66219973</v>
      </c>
      <c r="H195" s="51"/>
      <c r="J195" s="49"/>
      <c r="K195" s="49"/>
      <c r="L195" s="49"/>
      <c r="M195" s="49"/>
    </row>
    <row r="196" spans="1:13" ht="26" x14ac:dyDescent="0.25">
      <c r="A196" s="47"/>
      <c r="B196" s="43" t="s">
        <v>6</v>
      </c>
      <c r="C196" s="48" t="s">
        <v>144</v>
      </c>
      <c r="G196" s="80">
        <f t="shared" si="10"/>
        <v>66219973</v>
      </c>
      <c r="H196" s="51"/>
      <c r="I196" s="51"/>
      <c r="J196" s="51"/>
      <c r="K196" s="51"/>
      <c r="L196" s="51"/>
      <c r="M196" s="51"/>
    </row>
    <row r="197" spans="1:13" ht="26" x14ac:dyDescent="0.25">
      <c r="A197" s="47"/>
      <c r="B197" s="43" t="s">
        <v>6</v>
      </c>
      <c r="C197" s="48" t="s">
        <v>144</v>
      </c>
      <c r="G197" s="80">
        <f t="shared" si="10"/>
        <v>66219973</v>
      </c>
      <c r="H197" s="51"/>
      <c r="I197" s="51"/>
      <c r="J197" s="51"/>
      <c r="K197" s="51"/>
      <c r="L197" s="51"/>
      <c r="M197" s="51"/>
    </row>
    <row r="198" spans="1:13" x14ac:dyDescent="0.25">
      <c r="A198" s="51"/>
      <c r="B198" s="50" t="s">
        <v>18</v>
      </c>
      <c r="C198" s="50"/>
      <c r="D198" s="75"/>
      <c r="E198" s="76"/>
      <c r="H198" s="51"/>
      <c r="I198" s="51"/>
      <c r="J198" s="51"/>
      <c r="K198" s="51"/>
      <c r="L198" s="51"/>
      <c r="M198" s="51"/>
    </row>
    <row r="199" spans="1:13" x14ac:dyDescent="0.25">
      <c r="A199" s="47">
        <v>45658</v>
      </c>
      <c r="B199" s="43" t="s">
        <v>0</v>
      </c>
      <c r="C199" s="48" t="s">
        <v>1</v>
      </c>
      <c r="D199" s="77"/>
      <c r="E199" s="78"/>
      <c r="F199" s="49">
        <v>51162179</v>
      </c>
      <c r="G199" s="80"/>
      <c r="H199" s="49"/>
      <c r="I199" s="51"/>
      <c r="K199" s="49"/>
      <c r="L199" s="49"/>
      <c r="M199" s="49"/>
    </row>
    <row r="200" spans="1:13" ht="13" customHeight="1" x14ac:dyDescent="0.25">
      <c r="A200" s="10">
        <v>45682</v>
      </c>
      <c r="B200" s="43" t="s">
        <v>6</v>
      </c>
      <c r="C200" s="48" t="s">
        <v>145</v>
      </c>
      <c r="D200" s="77"/>
      <c r="E200" s="73">
        <v>4441821</v>
      </c>
      <c r="G200" s="80"/>
      <c r="H200" s="51"/>
      <c r="J200" s="49"/>
      <c r="K200" s="49"/>
      <c r="L200" s="49"/>
      <c r="M200" s="49"/>
    </row>
    <row r="201" spans="1:13" ht="13" customHeight="1" x14ac:dyDescent="0.25">
      <c r="A201" s="10">
        <v>45711</v>
      </c>
      <c r="B201" s="43" t="s">
        <v>6</v>
      </c>
      <c r="C201" s="48" t="s">
        <v>145</v>
      </c>
      <c r="D201" s="77"/>
      <c r="E201" s="61">
        <v>4482538</v>
      </c>
      <c r="G201" s="80">
        <f>F199-E201</f>
        <v>46679641</v>
      </c>
      <c r="H201" s="51"/>
      <c r="J201" s="49"/>
      <c r="K201" s="49"/>
      <c r="L201" s="49"/>
      <c r="M201" s="49"/>
    </row>
    <row r="202" spans="1:13" ht="13" customHeight="1" x14ac:dyDescent="0.25">
      <c r="A202" s="10">
        <v>45741</v>
      </c>
      <c r="B202" s="43" t="s">
        <v>6</v>
      </c>
      <c r="C202" s="48" t="s">
        <v>145</v>
      </c>
      <c r="D202" s="77"/>
      <c r="E202" s="61">
        <v>4523628</v>
      </c>
      <c r="G202" s="80">
        <f>G201-E202</f>
        <v>42156013</v>
      </c>
      <c r="H202" s="51"/>
      <c r="J202" s="49"/>
      <c r="K202" s="49"/>
      <c r="L202" s="49"/>
      <c r="M202" s="49"/>
    </row>
    <row r="203" spans="1:13" ht="13" customHeight="1" x14ac:dyDescent="0.25">
      <c r="A203" s="10">
        <v>45772</v>
      </c>
      <c r="B203" s="43" t="s">
        <v>6</v>
      </c>
      <c r="C203" s="48" t="s">
        <v>145</v>
      </c>
      <c r="D203" s="77"/>
      <c r="E203" s="61">
        <v>4565094</v>
      </c>
      <c r="G203" s="80">
        <f>G202-E203</f>
        <v>37590919</v>
      </c>
      <c r="H203" s="51"/>
      <c r="J203" s="49"/>
      <c r="K203" s="49"/>
      <c r="L203" s="49"/>
      <c r="M203" s="49"/>
    </row>
    <row r="204" spans="1:13" ht="13" customHeight="1" x14ac:dyDescent="0.25">
      <c r="A204" s="47"/>
      <c r="B204" s="43" t="s">
        <v>6</v>
      </c>
      <c r="C204" s="48" t="s">
        <v>145</v>
      </c>
      <c r="D204" s="77"/>
      <c r="E204" s="61"/>
      <c r="G204" s="80"/>
      <c r="H204" s="51"/>
      <c r="J204" s="49"/>
      <c r="K204" s="49"/>
      <c r="L204" s="49"/>
      <c r="M204" s="49"/>
    </row>
    <row r="205" spans="1:13" ht="13" customHeight="1" x14ac:dyDescent="0.25">
      <c r="A205" s="47"/>
      <c r="B205" s="43" t="s">
        <v>6</v>
      </c>
      <c r="C205" s="48" t="s">
        <v>145</v>
      </c>
      <c r="D205" s="77"/>
      <c r="E205" s="61"/>
      <c r="G205" s="80"/>
      <c r="H205" s="51"/>
      <c r="J205" s="49"/>
      <c r="K205" s="49"/>
      <c r="L205" s="49"/>
      <c r="M205" s="49"/>
    </row>
    <row r="206" spans="1:13" ht="13" customHeight="1" x14ac:dyDescent="0.25">
      <c r="A206" s="47"/>
      <c r="B206" s="43" t="s">
        <v>6</v>
      </c>
      <c r="C206" s="48" t="s">
        <v>145</v>
      </c>
      <c r="D206" s="77"/>
      <c r="E206" s="61"/>
      <c r="G206" s="80"/>
      <c r="H206" s="51"/>
      <c r="J206" s="49"/>
      <c r="K206" s="49"/>
      <c r="L206" s="49"/>
      <c r="M206" s="49"/>
    </row>
    <row r="207" spans="1:13" ht="13" customHeight="1" x14ac:dyDescent="0.25">
      <c r="A207" s="47"/>
      <c r="B207" s="43" t="s">
        <v>6</v>
      </c>
      <c r="C207" s="48" t="s">
        <v>145</v>
      </c>
      <c r="D207" s="77"/>
      <c r="E207" s="61"/>
      <c r="G207" s="80"/>
      <c r="H207" s="51"/>
      <c r="J207" s="49"/>
      <c r="K207" s="49"/>
      <c r="L207" s="49"/>
      <c r="M207" s="49"/>
    </row>
    <row r="208" spans="1:13" ht="13" customHeight="1" x14ac:dyDescent="0.25">
      <c r="A208" s="47"/>
      <c r="B208" s="43" t="s">
        <v>6</v>
      </c>
      <c r="C208" s="48" t="s">
        <v>145</v>
      </c>
      <c r="D208" s="77"/>
      <c r="E208" s="61"/>
      <c r="G208" s="80"/>
      <c r="H208" s="51"/>
      <c r="J208" s="49"/>
      <c r="K208" s="49"/>
      <c r="L208" s="49"/>
      <c r="M208" s="49"/>
    </row>
    <row r="209" spans="1:13" ht="13" customHeight="1" x14ac:dyDescent="0.25">
      <c r="A209" s="47"/>
      <c r="B209" s="43" t="s">
        <v>6</v>
      </c>
      <c r="C209" s="48" t="s">
        <v>145</v>
      </c>
      <c r="D209" s="77"/>
      <c r="E209" s="61"/>
      <c r="G209" s="80"/>
      <c r="H209" s="51"/>
      <c r="J209" s="49"/>
      <c r="K209" s="49"/>
      <c r="L209" s="49"/>
      <c r="M209" s="49"/>
    </row>
    <row r="210" spans="1:13" ht="26" x14ac:dyDescent="0.25">
      <c r="A210" s="47"/>
      <c r="B210" s="43" t="s">
        <v>6</v>
      </c>
      <c r="C210" s="48" t="s">
        <v>145</v>
      </c>
      <c r="G210" s="80"/>
      <c r="H210" s="51"/>
      <c r="I210" s="51"/>
      <c r="J210" s="51"/>
      <c r="K210" s="51"/>
      <c r="L210" s="51"/>
      <c r="M210" s="51"/>
    </row>
    <row r="211" spans="1:13" ht="26" x14ac:dyDescent="0.25">
      <c r="A211" s="47"/>
      <c r="B211" s="43" t="s">
        <v>6</v>
      </c>
      <c r="C211" s="48" t="s">
        <v>145</v>
      </c>
      <c r="G211" s="80"/>
      <c r="H211" s="51"/>
      <c r="I211" s="51"/>
      <c r="J211" s="51"/>
      <c r="K211" s="51"/>
      <c r="L211" s="51"/>
      <c r="M211" s="51"/>
    </row>
    <row r="212" spans="1:13" x14ac:dyDescent="0.25">
      <c r="A212" s="51"/>
      <c r="B212" s="50" t="s">
        <v>19</v>
      </c>
      <c r="C212" s="50"/>
      <c r="D212" s="75"/>
      <c r="E212" s="76"/>
      <c r="H212" s="51"/>
      <c r="I212" s="51"/>
      <c r="J212" s="51"/>
      <c r="K212" s="51"/>
      <c r="L212" s="51"/>
      <c r="M212" s="51"/>
    </row>
    <row r="213" spans="1:13" x14ac:dyDescent="0.25">
      <c r="A213" s="47">
        <v>45658</v>
      </c>
      <c r="B213" s="43" t="s">
        <v>0</v>
      </c>
      <c r="C213" s="48" t="s">
        <v>1</v>
      </c>
      <c r="D213" s="77"/>
      <c r="E213" s="78"/>
      <c r="F213" s="49">
        <v>324336935</v>
      </c>
      <c r="G213" s="80"/>
      <c r="H213" s="49"/>
      <c r="I213" s="51"/>
      <c r="K213" s="49"/>
      <c r="L213" s="49"/>
      <c r="M213" s="49"/>
    </row>
    <row r="214" spans="1:13" ht="13" customHeight="1" x14ac:dyDescent="0.25">
      <c r="A214" s="10">
        <v>45682</v>
      </c>
      <c r="B214" s="43" t="s">
        <v>6</v>
      </c>
      <c r="C214" s="48" t="s">
        <v>146</v>
      </c>
      <c r="D214" s="77"/>
      <c r="E214" s="61">
        <v>2536912</v>
      </c>
      <c r="G214" s="80">
        <f>F213-E214</f>
        <v>321800023</v>
      </c>
      <c r="H214" s="51"/>
      <c r="J214" s="49"/>
      <c r="K214" s="49"/>
      <c r="L214" s="49"/>
      <c r="M214" s="49"/>
    </row>
    <row r="215" spans="1:13" ht="13" customHeight="1" x14ac:dyDescent="0.25">
      <c r="A215" s="10">
        <v>45711</v>
      </c>
      <c r="B215" s="43" t="s">
        <v>6</v>
      </c>
      <c r="C215" s="48" t="s">
        <v>146</v>
      </c>
      <c r="D215" s="77"/>
      <c r="E215" s="61">
        <v>2560167</v>
      </c>
      <c r="G215" s="80">
        <f>G214-E215</f>
        <v>319239856</v>
      </c>
      <c r="H215" s="51"/>
      <c r="J215" s="49"/>
      <c r="K215" s="49"/>
      <c r="L215" s="49"/>
      <c r="M215" s="49"/>
    </row>
    <row r="216" spans="1:13" ht="13" customHeight="1" x14ac:dyDescent="0.25">
      <c r="A216" s="10">
        <v>45741</v>
      </c>
      <c r="B216" s="43" t="s">
        <v>6</v>
      </c>
      <c r="C216" s="48" t="s">
        <v>146</v>
      </c>
      <c r="D216" s="77"/>
      <c r="E216" s="61">
        <v>2583635</v>
      </c>
      <c r="G216" s="80">
        <f t="shared" ref="G216:G225" si="11">G215-E216</f>
        <v>316656221</v>
      </c>
      <c r="H216" s="51"/>
      <c r="J216" s="49"/>
      <c r="K216" s="49"/>
      <c r="L216" s="49"/>
      <c r="M216" s="49"/>
    </row>
    <row r="217" spans="1:13" ht="13" customHeight="1" x14ac:dyDescent="0.25">
      <c r="A217" s="10">
        <v>45772</v>
      </c>
      <c r="B217" s="43" t="s">
        <v>6</v>
      </c>
      <c r="C217" s="48" t="s">
        <v>146</v>
      </c>
      <c r="D217" s="77"/>
      <c r="E217" s="61">
        <v>2607318</v>
      </c>
      <c r="G217" s="80">
        <f t="shared" si="11"/>
        <v>314048903</v>
      </c>
      <c r="H217" s="51"/>
      <c r="J217" s="49"/>
      <c r="K217" s="49"/>
      <c r="L217" s="49"/>
      <c r="M217" s="49"/>
    </row>
    <row r="218" spans="1:13" ht="13" customHeight="1" x14ac:dyDescent="0.25">
      <c r="A218" s="47"/>
      <c r="B218" s="43" t="s">
        <v>6</v>
      </c>
      <c r="C218" s="48" t="s">
        <v>146</v>
      </c>
      <c r="D218" s="77"/>
      <c r="E218" s="61"/>
      <c r="G218" s="80">
        <f t="shared" si="11"/>
        <v>314048903</v>
      </c>
      <c r="H218" s="51"/>
      <c r="J218" s="49"/>
      <c r="K218" s="49"/>
      <c r="L218" s="49"/>
      <c r="M218" s="49"/>
    </row>
    <row r="219" spans="1:13" ht="13" customHeight="1" x14ac:dyDescent="0.25">
      <c r="A219" s="10"/>
      <c r="B219" s="43" t="s">
        <v>6</v>
      </c>
      <c r="C219" s="48" t="s">
        <v>146</v>
      </c>
      <c r="D219" s="77"/>
      <c r="E219" s="61"/>
      <c r="G219" s="80">
        <f t="shared" si="11"/>
        <v>314048903</v>
      </c>
      <c r="H219" s="51"/>
      <c r="J219" s="49"/>
      <c r="K219" s="49"/>
      <c r="L219" s="49"/>
      <c r="M219" s="49"/>
    </row>
    <row r="220" spans="1:13" ht="13" customHeight="1" x14ac:dyDescent="0.25">
      <c r="A220" s="10"/>
      <c r="B220" s="43" t="s">
        <v>6</v>
      </c>
      <c r="C220" s="48" t="s">
        <v>146</v>
      </c>
      <c r="D220" s="77"/>
      <c r="E220" s="61"/>
      <c r="G220" s="80">
        <f t="shared" si="11"/>
        <v>314048903</v>
      </c>
      <c r="H220" s="51"/>
      <c r="J220" s="49"/>
      <c r="K220" s="49"/>
      <c r="L220" s="49"/>
      <c r="M220" s="49"/>
    </row>
    <row r="221" spans="1:13" ht="13" customHeight="1" x14ac:dyDescent="0.25">
      <c r="A221" s="10"/>
      <c r="B221" s="43" t="s">
        <v>6</v>
      </c>
      <c r="C221" s="48" t="s">
        <v>146</v>
      </c>
      <c r="D221" s="77"/>
      <c r="E221" s="61"/>
      <c r="G221" s="80">
        <f t="shared" si="11"/>
        <v>314048903</v>
      </c>
      <c r="H221" s="51"/>
      <c r="J221" s="49"/>
      <c r="K221" s="49"/>
      <c r="L221" s="49"/>
      <c r="M221" s="49"/>
    </row>
    <row r="222" spans="1:13" ht="13" customHeight="1" x14ac:dyDescent="0.25">
      <c r="A222" s="10"/>
      <c r="B222" s="43" t="s">
        <v>6</v>
      </c>
      <c r="C222" s="48" t="s">
        <v>146</v>
      </c>
      <c r="D222" s="77"/>
      <c r="E222" s="61"/>
      <c r="G222" s="80">
        <f t="shared" si="11"/>
        <v>314048903</v>
      </c>
      <c r="H222" s="51"/>
      <c r="J222" s="49"/>
      <c r="K222" s="49"/>
      <c r="L222" s="49"/>
      <c r="M222" s="49"/>
    </row>
    <row r="223" spans="1:13" ht="13" customHeight="1" x14ac:dyDescent="0.25">
      <c r="A223" s="47"/>
      <c r="B223" s="43" t="s">
        <v>6</v>
      </c>
      <c r="C223" s="48" t="s">
        <v>146</v>
      </c>
      <c r="D223" s="77"/>
      <c r="E223" s="61"/>
      <c r="G223" s="80">
        <f t="shared" si="11"/>
        <v>314048903</v>
      </c>
      <c r="H223" s="51"/>
      <c r="J223" s="49"/>
      <c r="K223" s="49"/>
      <c r="L223" s="49"/>
      <c r="M223" s="49"/>
    </row>
    <row r="224" spans="1:13" ht="26" x14ac:dyDescent="0.25">
      <c r="A224" s="47"/>
      <c r="B224" s="51"/>
      <c r="C224" s="48" t="s">
        <v>146</v>
      </c>
      <c r="G224" s="80">
        <f t="shared" si="11"/>
        <v>314048903</v>
      </c>
      <c r="H224" s="51"/>
      <c r="I224" s="51"/>
      <c r="J224" s="51"/>
      <c r="K224" s="51"/>
      <c r="L224" s="51"/>
      <c r="M224" s="51"/>
    </row>
    <row r="225" spans="1:13" ht="26" x14ac:dyDescent="0.25">
      <c r="A225" s="47"/>
      <c r="B225" s="51"/>
      <c r="C225" s="48" t="s">
        <v>146</v>
      </c>
      <c r="G225" s="80">
        <f t="shared" si="11"/>
        <v>314048903</v>
      </c>
      <c r="H225" s="51"/>
      <c r="I225" s="51"/>
      <c r="J225" s="51"/>
      <c r="K225" s="51"/>
      <c r="L225" s="51"/>
      <c r="M225" s="51"/>
    </row>
    <row r="226" spans="1:13" x14ac:dyDescent="0.25">
      <c r="A226" s="51"/>
      <c r="B226" s="50" t="s">
        <v>113</v>
      </c>
      <c r="C226" s="50"/>
      <c r="D226" s="75"/>
      <c r="E226" s="76"/>
      <c r="H226" s="51"/>
      <c r="I226" s="51"/>
      <c r="J226" s="51"/>
      <c r="K226" s="51"/>
      <c r="L226" s="51"/>
      <c r="M226" s="51"/>
    </row>
    <row r="227" spans="1:13" x14ac:dyDescent="0.25">
      <c r="A227" s="47">
        <v>45658</v>
      </c>
      <c r="B227" s="43" t="s">
        <v>0</v>
      </c>
      <c r="C227" s="48" t="s">
        <v>1</v>
      </c>
      <c r="D227" s="77"/>
      <c r="E227" s="78"/>
      <c r="F227" s="49">
        <v>282149828</v>
      </c>
      <c r="G227" s="80"/>
      <c r="H227" s="49"/>
      <c r="I227" s="51"/>
      <c r="K227" s="49"/>
      <c r="L227" s="49"/>
      <c r="M227" s="49"/>
    </row>
    <row r="228" spans="1:13" ht="13" customHeight="1" x14ac:dyDescent="0.25">
      <c r="A228" s="10">
        <v>45682</v>
      </c>
      <c r="B228" s="43" t="s">
        <v>6</v>
      </c>
      <c r="C228" s="48" t="s">
        <v>147</v>
      </c>
      <c r="D228" s="77"/>
      <c r="E228" s="61">
        <v>8719687</v>
      </c>
      <c r="G228" s="80">
        <f>F227-E228</f>
        <v>273430141</v>
      </c>
      <c r="H228" s="51"/>
      <c r="J228" s="49"/>
      <c r="K228" s="49"/>
      <c r="L228" s="49"/>
      <c r="M228" s="49"/>
    </row>
    <row r="229" spans="1:13" ht="13" customHeight="1" x14ac:dyDescent="0.25">
      <c r="A229" s="10">
        <v>45711</v>
      </c>
      <c r="B229" s="43" t="s">
        <v>6</v>
      </c>
      <c r="C229" s="48" t="s">
        <v>147</v>
      </c>
      <c r="D229" s="77"/>
      <c r="E229" s="61">
        <v>8799617</v>
      </c>
      <c r="G229" s="80">
        <f>G228-E229</f>
        <v>264630524</v>
      </c>
      <c r="H229" s="51"/>
      <c r="J229" s="49"/>
      <c r="K229" s="49"/>
      <c r="L229" s="49"/>
      <c r="M229" s="49"/>
    </row>
    <row r="230" spans="1:13" ht="13" customHeight="1" x14ac:dyDescent="0.25">
      <c r="A230" s="10">
        <v>45741</v>
      </c>
      <c r="B230" s="43" t="s">
        <v>6</v>
      </c>
      <c r="C230" s="48" t="s">
        <v>147</v>
      </c>
      <c r="D230" s="77"/>
      <c r="E230" s="61">
        <v>8880280</v>
      </c>
      <c r="G230" s="80">
        <f t="shared" ref="G230:G239" si="12">G229-E230</f>
        <v>255750244</v>
      </c>
      <c r="H230" s="51"/>
      <c r="J230" s="49"/>
      <c r="K230" s="49"/>
      <c r="L230" s="49"/>
      <c r="M230" s="49"/>
    </row>
    <row r="231" spans="1:13" ht="13" customHeight="1" x14ac:dyDescent="0.25">
      <c r="A231" s="10">
        <v>45772</v>
      </c>
      <c r="B231" s="43" t="s">
        <v>6</v>
      </c>
      <c r="C231" s="48" t="s">
        <v>147</v>
      </c>
      <c r="D231" s="77"/>
      <c r="E231" s="61">
        <v>8961682</v>
      </c>
      <c r="G231" s="80">
        <f t="shared" si="12"/>
        <v>246788562</v>
      </c>
      <c r="H231" s="51"/>
      <c r="J231" s="49"/>
      <c r="K231" s="49"/>
      <c r="L231" s="49"/>
      <c r="M231" s="49"/>
    </row>
    <row r="232" spans="1:13" ht="13" customHeight="1" x14ac:dyDescent="0.25">
      <c r="A232" s="47"/>
      <c r="B232" s="43" t="s">
        <v>6</v>
      </c>
      <c r="C232" s="48" t="s">
        <v>147</v>
      </c>
      <c r="D232" s="77"/>
      <c r="E232" s="61"/>
      <c r="G232" s="80">
        <f t="shared" si="12"/>
        <v>246788562</v>
      </c>
      <c r="H232" s="51"/>
      <c r="J232" s="49"/>
      <c r="K232" s="49"/>
      <c r="L232" s="49"/>
      <c r="M232" s="49"/>
    </row>
    <row r="233" spans="1:13" ht="13" customHeight="1" x14ac:dyDescent="0.25">
      <c r="A233" s="47"/>
      <c r="B233" s="43" t="s">
        <v>6</v>
      </c>
      <c r="C233" s="48" t="s">
        <v>147</v>
      </c>
      <c r="D233" s="77"/>
      <c r="E233" s="61"/>
      <c r="G233" s="80">
        <f t="shared" si="12"/>
        <v>246788562</v>
      </c>
      <c r="H233" s="51"/>
      <c r="J233" s="49"/>
      <c r="K233" s="49"/>
      <c r="L233" s="49"/>
      <c r="M233" s="49"/>
    </row>
    <row r="234" spans="1:13" ht="13" customHeight="1" x14ac:dyDescent="0.25">
      <c r="A234" s="47"/>
      <c r="B234" s="43" t="s">
        <v>6</v>
      </c>
      <c r="C234" s="48" t="s">
        <v>147</v>
      </c>
      <c r="D234" s="77"/>
      <c r="E234" s="61"/>
      <c r="G234" s="80">
        <f t="shared" si="12"/>
        <v>246788562</v>
      </c>
      <c r="H234" s="51"/>
      <c r="J234" s="49"/>
      <c r="K234" s="49"/>
      <c r="L234" s="49"/>
      <c r="M234" s="49"/>
    </row>
    <row r="235" spans="1:13" ht="13" customHeight="1" x14ac:dyDescent="0.25">
      <c r="A235" s="47"/>
      <c r="B235" s="43" t="s">
        <v>6</v>
      </c>
      <c r="C235" s="48" t="s">
        <v>147</v>
      </c>
      <c r="D235" s="77"/>
      <c r="E235" s="61"/>
      <c r="G235" s="80">
        <f t="shared" si="12"/>
        <v>246788562</v>
      </c>
      <c r="H235" s="51"/>
      <c r="J235" s="49"/>
      <c r="K235" s="49"/>
      <c r="L235" s="49"/>
      <c r="M235" s="49"/>
    </row>
    <row r="236" spans="1:13" ht="13" customHeight="1" x14ac:dyDescent="0.25">
      <c r="A236" s="47"/>
      <c r="B236" s="43" t="s">
        <v>6</v>
      </c>
      <c r="C236" s="48" t="s">
        <v>147</v>
      </c>
      <c r="D236" s="77"/>
      <c r="E236" s="61"/>
      <c r="G236" s="80">
        <f t="shared" si="12"/>
        <v>246788562</v>
      </c>
      <c r="H236" s="51"/>
      <c r="J236" s="49"/>
      <c r="K236" s="49"/>
      <c r="L236" s="49"/>
      <c r="M236" s="49"/>
    </row>
    <row r="237" spans="1:13" ht="13" customHeight="1" x14ac:dyDescent="0.25">
      <c r="A237" s="47"/>
      <c r="B237" s="43" t="s">
        <v>6</v>
      </c>
      <c r="C237" s="48" t="s">
        <v>147</v>
      </c>
      <c r="D237" s="77"/>
      <c r="E237" s="61"/>
      <c r="G237" s="80">
        <f t="shared" si="12"/>
        <v>246788562</v>
      </c>
      <c r="H237" s="51"/>
      <c r="J237" s="49"/>
      <c r="K237" s="49"/>
      <c r="L237" s="49"/>
      <c r="M237" s="49"/>
    </row>
    <row r="238" spans="1:13" ht="26" x14ac:dyDescent="0.25">
      <c r="A238" s="57"/>
      <c r="B238" s="51"/>
      <c r="C238" s="48" t="s">
        <v>147</v>
      </c>
      <c r="G238" s="80">
        <f t="shared" si="12"/>
        <v>246788562</v>
      </c>
      <c r="H238" s="51"/>
      <c r="I238" s="51"/>
      <c r="J238" s="51"/>
      <c r="K238" s="51"/>
      <c r="L238" s="51"/>
      <c r="M238" s="51"/>
    </row>
    <row r="239" spans="1:13" ht="26" x14ac:dyDescent="0.25">
      <c r="A239" s="57"/>
      <c r="B239" s="51"/>
      <c r="C239" s="48" t="s">
        <v>147</v>
      </c>
      <c r="G239" s="80">
        <f t="shared" si="12"/>
        <v>246788562</v>
      </c>
      <c r="H239" s="51"/>
      <c r="I239" s="51"/>
      <c r="J239" s="51"/>
      <c r="K239" s="51"/>
      <c r="L239" s="51"/>
      <c r="M239" s="51"/>
    </row>
    <row r="240" spans="1:13" x14ac:dyDescent="0.25">
      <c r="A240" s="51"/>
      <c r="B240" s="50" t="s">
        <v>148</v>
      </c>
      <c r="C240" s="50"/>
      <c r="D240" s="75"/>
      <c r="E240" s="76"/>
      <c r="H240" s="51"/>
      <c r="I240" s="51"/>
      <c r="J240" s="51"/>
      <c r="K240" s="51"/>
      <c r="L240" s="51"/>
      <c r="M240" s="51"/>
    </row>
    <row r="241" spans="1:13" x14ac:dyDescent="0.25">
      <c r="A241" s="47">
        <v>45658</v>
      </c>
      <c r="B241" s="43" t="s">
        <v>0</v>
      </c>
      <c r="C241" s="48" t="s">
        <v>1</v>
      </c>
      <c r="D241" s="77"/>
      <c r="E241" s="78"/>
      <c r="F241" s="49">
        <v>94239706</v>
      </c>
      <c r="G241" s="80"/>
      <c r="H241" s="49"/>
      <c r="I241" s="51"/>
      <c r="K241" s="49"/>
      <c r="L241" s="49"/>
      <c r="M241" s="49"/>
    </row>
    <row r="242" spans="1:13" ht="13" customHeight="1" x14ac:dyDescent="0.25">
      <c r="A242" s="10">
        <v>45682</v>
      </c>
      <c r="B242" s="43" t="s">
        <v>6</v>
      </c>
      <c r="C242" s="48" t="s">
        <v>149</v>
      </c>
      <c r="D242" s="77"/>
      <c r="E242" s="61">
        <v>1858013</v>
      </c>
      <c r="G242" s="80">
        <f>F241-E242</f>
        <v>92381693</v>
      </c>
      <c r="H242" s="51"/>
      <c r="J242" s="49"/>
      <c r="K242" s="49"/>
      <c r="L242" s="49"/>
      <c r="M242" s="49"/>
    </row>
    <row r="243" spans="1:13" ht="13" customHeight="1" x14ac:dyDescent="0.25">
      <c r="A243" s="10">
        <v>45711</v>
      </c>
      <c r="B243" s="43" t="s">
        <v>6</v>
      </c>
      <c r="C243" s="48" t="s">
        <v>149</v>
      </c>
      <c r="D243" s="77"/>
      <c r="E243" s="61">
        <v>1874658</v>
      </c>
      <c r="G243" s="80">
        <f>G242-E243</f>
        <v>90507035</v>
      </c>
      <c r="H243" s="51"/>
      <c r="J243" s="49"/>
      <c r="K243" s="49"/>
      <c r="L243" s="49"/>
      <c r="M243" s="49"/>
    </row>
    <row r="244" spans="1:13" ht="13" customHeight="1" x14ac:dyDescent="0.25">
      <c r="A244" s="10">
        <v>45741</v>
      </c>
      <c r="B244" s="43" t="s">
        <v>6</v>
      </c>
      <c r="C244" s="48" t="s">
        <v>149</v>
      </c>
      <c r="D244" s="77"/>
      <c r="E244" s="61">
        <v>1891452</v>
      </c>
      <c r="G244" s="80">
        <f t="shared" ref="G244:G253" si="13">G243-E244</f>
        <v>88615583</v>
      </c>
      <c r="H244" s="51"/>
      <c r="J244" s="49"/>
      <c r="K244" s="49"/>
      <c r="L244" s="49"/>
      <c r="M244" s="49"/>
    </row>
    <row r="245" spans="1:13" ht="13" customHeight="1" x14ac:dyDescent="0.25">
      <c r="A245" s="10">
        <v>45772</v>
      </c>
      <c r="B245" s="43" t="s">
        <v>6</v>
      </c>
      <c r="C245" s="48" t="s">
        <v>149</v>
      </c>
      <c r="D245" s="77"/>
      <c r="E245" s="61">
        <v>1908396</v>
      </c>
      <c r="G245" s="80">
        <f t="shared" si="13"/>
        <v>86707187</v>
      </c>
      <c r="H245" s="51"/>
      <c r="J245" s="49"/>
      <c r="K245" s="49"/>
      <c r="L245" s="49"/>
      <c r="M245" s="49"/>
    </row>
    <row r="246" spans="1:13" ht="13" customHeight="1" x14ac:dyDescent="0.25">
      <c r="A246" s="47"/>
      <c r="B246" s="43" t="s">
        <v>6</v>
      </c>
      <c r="C246" s="48" t="s">
        <v>149</v>
      </c>
      <c r="D246" s="77"/>
      <c r="E246" s="61"/>
      <c r="G246" s="80">
        <f t="shared" si="13"/>
        <v>86707187</v>
      </c>
      <c r="H246" s="51"/>
      <c r="J246" s="49"/>
      <c r="K246" s="49"/>
      <c r="L246" s="49"/>
      <c r="M246" s="49"/>
    </row>
    <row r="247" spans="1:13" ht="13" customHeight="1" x14ac:dyDescent="0.25">
      <c r="A247" s="47"/>
      <c r="B247" s="43" t="s">
        <v>6</v>
      </c>
      <c r="C247" s="48" t="s">
        <v>149</v>
      </c>
      <c r="D247" s="77"/>
      <c r="E247" s="61"/>
      <c r="G247" s="80">
        <f t="shared" si="13"/>
        <v>86707187</v>
      </c>
      <c r="H247" s="51"/>
      <c r="J247" s="49"/>
      <c r="K247" s="49"/>
      <c r="L247" s="49"/>
      <c r="M247" s="49"/>
    </row>
    <row r="248" spans="1:13" ht="13" customHeight="1" x14ac:dyDescent="0.25">
      <c r="A248" s="47"/>
      <c r="B248" s="43" t="s">
        <v>6</v>
      </c>
      <c r="C248" s="48" t="s">
        <v>149</v>
      </c>
      <c r="D248" s="77"/>
      <c r="E248" s="61"/>
      <c r="G248" s="80">
        <f t="shared" si="13"/>
        <v>86707187</v>
      </c>
      <c r="H248" s="51"/>
      <c r="J248" s="49"/>
      <c r="K248" s="49"/>
      <c r="L248" s="49"/>
      <c r="M248" s="49"/>
    </row>
    <row r="249" spans="1:13" ht="13" customHeight="1" x14ac:dyDescent="0.25">
      <c r="A249" s="47"/>
      <c r="B249" s="43" t="s">
        <v>6</v>
      </c>
      <c r="C249" s="48" t="s">
        <v>149</v>
      </c>
      <c r="D249" s="77"/>
      <c r="E249" s="61"/>
      <c r="G249" s="80">
        <f t="shared" si="13"/>
        <v>86707187</v>
      </c>
      <c r="H249" s="51"/>
      <c r="J249" s="49"/>
      <c r="K249" s="49"/>
      <c r="L249" s="49"/>
      <c r="M249" s="49"/>
    </row>
    <row r="250" spans="1:13" ht="13" customHeight="1" x14ac:dyDescent="0.25">
      <c r="A250" s="47"/>
      <c r="B250" s="43" t="s">
        <v>6</v>
      </c>
      <c r="C250" s="48" t="s">
        <v>149</v>
      </c>
      <c r="D250" s="77"/>
      <c r="E250" s="61"/>
      <c r="G250" s="80">
        <f t="shared" si="13"/>
        <v>86707187</v>
      </c>
      <c r="H250" s="51"/>
      <c r="J250" s="49"/>
      <c r="K250" s="49"/>
      <c r="L250" s="49"/>
      <c r="M250" s="49"/>
    </row>
    <row r="251" spans="1:13" ht="13" customHeight="1" x14ac:dyDescent="0.25">
      <c r="A251" s="47"/>
      <c r="B251" s="43" t="s">
        <v>6</v>
      </c>
      <c r="C251" s="48" t="s">
        <v>149</v>
      </c>
      <c r="D251" s="77"/>
      <c r="E251" s="61"/>
      <c r="G251" s="80">
        <f t="shared" si="13"/>
        <v>86707187</v>
      </c>
      <c r="H251" s="51"/>
      <c r="J251" s="49"/>
      <c r="K251" s="49"/>
      <c r="L251" s="49"/>
      <c r="M251" s="49"/>
    </row>
    <row r="252" spans="1:13" ht="26" x14ac:dyDescent="0.25">
      <c r="A252" s="47"/>
      <c r="B252" s="43" t="s">
        <v>6</v>
      </c>
      <c r="C252" s="48" t="s">
        <v>149</v>
      </c>
      <c r="G252" s="80">
        <f t="shared" si="13"/>
        <v>86707187</v>
      </c>
      <c r="H252" s="51"/>
      <c r="I252" s="51"/>
      <c r="J252" s="51"/>
      <c r="K252" s="51"/>
      <c r="L252" s="51"/>
      <c r="M252" s="51"/>
    </row>
    <row r="253" spans="1:13" ht="26" x14ac:dyDescent="0.25">
      <c r="A253" s="47"/>
      <c r="B253" s="43" t="s">
        <v>6</v>
      </c>
      <c r="C253" s="48" t="s">
        <v>149</v>
      </c>
      <c r="G253" s="80">
        <f t="shared" si="13"/>
        <v>86707187</v>
      </c>
      <c r="H253" s="51"/>
      <c r="I253" s="51"/>
      <c r="J253" s="51"/>
      <c r="K253" s="51"/>
      <c r="L253" s="51"/>
      <c r="M253" s="51"/>
    </row>
    <row r="254" spans="1:13" x14ac:dyDescent="0.25">
      <c r="A254" s="51"/>
      <c r="B254" s="50" t="s">
        <v>20</v>
      </c>
      <c r="C254" s="50"/>
      <c r="D254" s="75"/>
      <c r="E254" s="76"/>
      <c r="H254" s="51"/>
      <c r="I254" s="51"/>
      <c r="J254" s="51"/>
      <c r="K254" s="51"/>
      <c r="L254" s="51"/>
      <c r="M254" s="51"/>
    </row>
    <row r="255" spans="1:13" x14ac:dyDescent="0.25">
      <c r="A255" s="47">
        <v>45658</v>
      </c>
      <c r="B255" s="43" t="s">
        <v>0</v>
      </c>
      <c r="C255" s="48" t="s">
        <v>1</v>
      </c>
      <c r="D255" s="77"/>
      <c r="E255" s="78"/>
      <c r="F255" s="49">
        <v>402647037</v>
      </c>
      <c r="G255" s="80"/>
      <c r="H255" s="49"/>
      <c r="I255" s="51"/>
      <c r="K255" s="49"/>
      <c r="L255" s="49"/>
      <c r="M255" s="49"/>
    </row>
    <row r="256" spans="1:13" ht="13" customHeight="1" x14ac:dyDescent="0.25">
      <c r="A256" s="10">
        <v>45682</v>
      </c>
      <c r="B256" s="43" t="s">
        <v>6</v>
      </c>
      <c r="C256" s="48" t="s">
        <v>150</v>
      </c>
      <c r="D256" s="77"/>
      <c r="E256" s="61">
        <v>3621999</v>
      </c>
      <c r="G256" s="80">
        <f>F255-E256</f>
        <v>399025038</v>
      </c>
      <c r="H256" s="51"/>
      <c r="J256" s="49"/>
      <c r="K256" s="49"/>
      <c r="L256" s="49"/>
      <c r="M256" s="49"/>
    </row>
    <row r="257" spans="1:13" ht="13" customHeight="1" x14ac:dyDescent="0.25">
      <c r="A257" s="10">
        <v>45711</v>
      </c>
      <c r="B257" s="43" t="s">
        <v>6</v>
      </c>
      <c r="C257" s="48" t="s">
        <v>150</v>
      </c>
      <c r="D257" s="77"/>
      <c r="E257" s="61">
        <v>3655201</v>
      </c>
      <c r="G257" s="80">
        <f>G256-E257</f>
        <v>395369837</v>
      </c>
      <c r="H257" s="51"/>
      <c r="J257" s="49"/>
      <c r="K257" s="49"/>
      <c r="L257" s="49"/>
      <c r="M257" s="49"/>
    </row>
    <row r="258" spans="1:13" ht="13" customHeight="1" x14ac:dyDescent="0.25">
      <c r="A258" s="10">
        <v>45741</v>
      </c>
      <c r="B258" s="43" t="s">
        <v>6</v>
      </c>
      <c r="C258" s="48" t="s">
        <v>150</v>
      </c>
      <c r="D258" s="77"/>
      <c r="E258" s="61">
        <v>3688707</v>
      </c>
      <c r="G258" s="80">
        <f t="shared" ref="G258:G267" si="14">G257-E258</f>
        <v>391681130</v>
      </c>
      <c r="H258" s="51"/>
      <c r="J258" s="49"/>
      <c r="K258" s="49"/>
      <c r="L258" s="49"/>
      <c r="M258" s="49"/>
    </row>
    <row r="259" spans="1:13" ht="13" customHeight="1" x14ac:dyDescent="0.25">
      <c r="A259" s="10"/>
      <c r="B259" s="43" t="s">
        <v>6</v>
      </c>
      <c r="C259" s="48" t="s">
        <v>150</v>
      </c>
      <c r="D259" s="77"/>
      <c r="E259" s="61"/>
      <c r="G259" s="80">
        <f t="shared" si="14"/>
        <v>391681130</v>
      </c>
      <c r="H259" s="51"/>
      <c r="J259" s="49"/>
      <c r="K259" s="49"/>
      <c r="L259" s="49"/>
      <c r="M259" s="49"/>
    </row>
    <row r="260" spans="1:13" ht="13" customHeight="1" x14ac:dyDescent="0.25">
      <c r="A260" s="47"/>
      <c r="B260" s="43" t="s">
        <v>6</v>
      </c>
      <c r="C260" s="48" t="s">
        <v>150</v>
      </c>
      <c r="D260" s="77"/>
      <c r="E260" s="61"/>
      <c r="G260" s="80">
        <f t="shared" si="14"/>
        <v>391681130</v>
      </c>
      <c r="H260" s="51"/>
      <c r="J260" s="49"/>
      <c r="K260" s="49"/>
      <c r="L260" s="49"/>
      <c r="M260" s="49"/>
    </row>
    <row r="261" spans="1:13" ht="13" customHeight="1" x14ac:dyDescent="0.25">
      <c r="A261" s="47"/>
      <c r="B261" s="43" t="s">
        <v>6</v>
      </c>
      <c r="C261" s="48" t="s">
        <v>150</v>
      </c>
      <c r="D261" s="77"/>
      <c r="E261" s="61"/>
      <c r="G261" s="80">
        <f t="shared" si="14"/>
        <v>391681130</v>
      </c>
      <c r="H261" s="51"/>
      <c r="J261" s="49"/>
      <c r="K261" s="49"/>
      <c r="L261" s="49"/>
      <c r="M261" s="49"/>
    </row>
    <row r="262" spans="1:13" ht="13" customHeight="1" x14ac:dyDescent="0.25">
      <c r="A262" s="47"/>
      <c r="B262" s="43" t="s">
        <v>6</v>
      </c>
      <c r="C262" s="48" t="s">
        <v>150</v>
      </c>
      <c r="D262" s="77"/>
      <c r="E262" s="61"/>
      <c r="G262" s="80">
        <f t="shared" si="14"/>
        <v>391681130</v>
      </c>
      <c r="H262" s="51"/>
      <c r="J262" s="49"/>
      <c r="K262" s="49"/>
      <c r="L262" s="49"/>
      <c r="M262" s="49"/>
    </row>
    <row r="263" spans="1:13" ht="13" customHeight="1" x14ac:dyDescent="0.25">
      <c r="A263" s="47"/>
      <c r="B263" s="43" t="s">
        <v>6</v>
      </c>
      <c r="C263" s="48" t="s">
        <v>150</v>
      </c>
      <c r="D263" s="77"/>
      <c r="E263" s="61"/>
      <c r="G263" s="80">
        <f t="shared" si="14"/>
        <v>391681130</v>
      </c>
      <c r="H263" s="51"/>
      <c r="J263" s="49"/>
      <c r="K263" s="49"/>
      <c r="L263" s="49"/>
      <c r="M263" s="49"/>
    </row>
    <row r="264" spans="1:13" ht="13" customHeight="1" x14ac:dyDescent="0.25">
      <c r="A264" s="47"/>
      <c r="B264" s="43" t="s">
        <v>6</v>
      </c>
      <c r="C264" s="48" t="s">
        <v>150</v>
      </c>
      <c r="D264" s="77"/>
      <c r="E264" s="61"/>
      <c r="G264" s="80">
        <f t="shared" si="14"/>
        <v>391681130</v>
      </c>
      <c r="H264" s="51"/>
      <c r="J264" s="49"/>
      <c r="K264" s="49"/>
      <c r="L264" s="49"/>
      <c r="M264" s="49"/>
    </row>
    <row r="265" spans="1:13" ht="13" customHeight="1" x14ac:dyDescent="0.25">
      <c r="A265" s="47"/>
      <c r="B265" s="43" t="s">
        <v>6</v>
      </c>
      <c r="C265" s="48" t="s">
        <v>150</v>
      </c>
      <c r="D265" s="77"/>
      <c r="E265" s="61"/>
      <c r="G265" s="80">
        <f t="shared" si="14"/>
        <v>391681130</v>
      </c>
      <c r="H265" s="51"/>
      <c r="J265" s="49"/>
      <c r="K265" s="49"/>
      <c r="L265" s="49"/>
      <c r="M265" s="49"/>
    </row>
    <row r="266" spans="1:13" ht="26" x14ac:dyDescent="0.25">
      <c r="A266" s="47"/>
      <c r="B266" s="43" t="s">
        <v>6</v>
      </c>
      <c r="C266" s="48" t="s">
        <v>150</v>
      </c>
      <c r="G266" s="80">
        <f t="shared" si="14"/>
        <v>391681130</v>
      </c>
      <c r="H266" s="51"/>
      <c r="I266" s="51"/>
      <c r="J266" s="51"/>
      <c r="K266" s="51"/>
      <c r="L266" s="51"/>
      <c r="M266" s="51"/>
    </row>
    <row r="267" spans="1:13" ht="26" x14ac:dyDescent="0.25">
      <c r="A267" s="47"/>
      <c r="B267" s="43" t="s">
        <v>6</v>
      </c>
      <c r="C267" s="48" t="s">
        <v>150</v>
      </c>
      <c r="G267" s="80">
        <f t="shared" si="14"/>
        <v>391681130</v>
      </c>
      <c r="H267" s="51"/>
      <c r="I267" s="51"/>
      <c r="J267" s="51"/>
      <c r="K267" s="51"/>
      <c r="L267" s="51"/>
      <c r="M267" s="51"/>
    </row>
    <row r="268" spans="1:13" x14ac:dyDescent="0.25">
      <c r="A268" s="51"/>
      <c r="B268" s="50" t="s">
        <v>25</v>
      </c>
      <c r="C268" s="50"/>
      <c r="D268" s="75"/>
      <c r="E268" s="76"/>
      <c r="H268" s="51"/>
      <c r="I268" s="51"/>
      <c r="J268" s="51"/>
      <c r="K268" s="51"/>
      <c r="L268" s="51"/>
      <c r="M268" s="51"/>
    </row>
    <row r="269" spans="1:13" x14ac:dyDescent="0.25">
      <c r="A269" s="47">
        <v>45658</v>
      </c>
      <c r="B269" s="43" t="s">
        <v>0</v>
      </c>
      <c r="C269" s="48" t="s">
        <v>1</v>
      </c>
      <c r="D269" s="77"/>
      <c r="E269" s="78"/>
      <c r="F269" s="49">
        <v>0</v>
      </c>
      <c r="G269" s="80"/>
      <c r="H269" s="49"/>
      <c r="I269" s="51"/>
      <c r="K269" s="49"/>
      <c r="L269" s="49"/>
      <c r="M269" s="49"/>
    </row>
    <row r="270" spans="1:13" ht="13" customHeight="1" x14ac:dyDescent="0.25">
      <c r="A270" s="10">
        <v>45682</v>
      </c>
      <c r="B270" s="43" t="s">
        <v>6</v>
      </c>
      <c r="C270" s="48" t="s">
        <v>151</v>
      </c>
      <c r="D270" s="77"/>
      <c r="E270" s="81" t="s">
        <v>194</v>
      </c>
      <c r="F270" s="82"/>
      <c r="G270" s="83" t="s">
        <v>194</v>
      </c>
      <c r="H270" s="51"/>
      <c r="J270" s="49"/>
      <c r="K270" s="49"/>
      <c r="L270" s="49"/>
      <c r="M270" s="49"/>
    </row>
    <row r="271" spans="1:13" ht="13" customHeight="1" x14ac:dyDescent="0.25">
      <c r="A271" s="10">
        <v>45711</v>
      </c>
      <c r="B271" s="43" t="s">
        <v>6</v>
      </c>
      <c r="C271" s="48" t="s">
        <v>151</v>
      </c>
      <c r="D271" s="77"/>
      <c r="E271" s="81" t="s">
        <v>194</v>
      </c>
      <c r="F271" s="82"/>
      <c r="G271" s="83" t="s">
        <v>194</v>
      </c>
      <c r="H271" s="51"/>
      <c r="J271" s="49"/>
      <c r="K271" s="49"/>
      <c r="L271" s="49"/>
      <c r="M271" s="49"/>
    </row>
    <row r="272" spans="1:13" ht="13" customHeight="1" x14ac:dyDescent="0.25">
      <c r="A272" s="10">
        <v>45741</v>
      </c>
      <c r="B272" s="43" t="s">
        <v>6</v>
      </c>
      <c r="C272" s="48" t="s">
        <v>151</v>
      </c>
      <c r="D272" s="77"/>
      <c r="E272" s="81" t="s">
        <v>194</v>
      </c>
      <c r="F272" s="82"/>
      <c r="G272" s="83" t="s">
        <v>194</v>
      </c>
      <c r="H272" s="51"/>
      <c r="J272" s="49"/>
      <c r="K272" s="49"/>
      <c r="L272" s="49"/>
      <c r="M272" s="49"/>
    </row>
    <row r="273" spans="1:13" ht="13" customHeight="1" x14ac:dyDescent="0.25">
      <c r="A273" s="10">
        <v>45772</v>
      </c>
      <c r="B273" s="43" t="s">
        <v>6</v>
      </c>
      <c r="C273" s="48" t="s">
        <v>151</v>
      </c>
      <c r="D273" s="77"/>
      <c r="E273" s="81" t="s">
        <v>194</v>
      </c>
      <c r="F273" s="82"/>
      <c r="G273" s="83" t="s">
        <v>194</v>
      </c>
      <c r="H273" s="51"/>
      <c r="J273" s="49"/>
      <c r="K273" s="49"/>
      <c r="L273" s="49"/>
      <c r="M273" s="49"/>
    </row>
    <row r="274" spans="1:13" ht="13" customHeight="1" x14ac:dyDescent="0.25">
      <c r="A274" s="47"/>
      <c r="B274" s="43" t="s">
        <v>6</v>
      </c>
      <c r="C274" s="48" t="s">
        <v>151</v>
      </c>
      <c r="D274" s="77"/>
      <c r="E274" s="81"/>
      <c r="F274" s="82"/>
      <c r="G274" s="83" t="s">
        <v>194</v>
      </c>
      <c r="H274" s="51"/>
      <c r="J274" s="49"/>
      <c r="K274" s="49"/>
      <c r="L274" s="49"/>
      <c r="M274" s="49"/>
    </row>
    <row r="275" spans="1:13" ht="13" customHeight="1" x14ac:dyDescent="0.25">
      <c r="A275" s="47"/>
      <c r="B275" s="43" t="s">
        <v>6</v>
      </c>
      <c r="C275" s="48" t="s">
        <v>151</v>
      </c>
      <c r="D275" s="77"/>
      <c r="E275" s="81"/>
      <c r="F275" s="82"/>
      <c r="G275" s="83" t="s">
        <v>194</v>
      </c>
      <c r="H275" s="51"/>
      <c r="J275" s="49"/>
      <c r="K275" s="49"/>
      <c r="L275" s="49"/>
      <c r="M275" s="49"/>
    </row>
    <row r="276" spans="1:13" ht="13" customHeight="1" x14ac:dyDescent="0.25">
      <c r="A276" s="47"/>
      <c r="B276" s="43" t="s">
        <v>6</v>
      </c>
      <c r="C276" s="48" t="s">
        <v>151</v>
      </c>
      <c r="D276" s="77"/>
      <c r="E276" s="81"/>
      <c r="F276" s="82"/>
      <c r="G276" s="83" t="s">
        <v>194</v>
      </c>
      <c r="H276" s="51"/>
      <c r="J276" s="49"/>
      <c r="K276" s="49"/>
      <c r="L276" s="49"/>
      <c r="M276" s="49"/>
    </row>
    <row r="277" spans="1:13" ht="13" customHeight="1" x14ac:dyDescent="0.25">
      <c r="A277" s="47"/>
      <c r="B277" s="43" t="s">
        <v>6</v>
      </c>
      <c r="C277" s="48" t="s">
        <v>151</v>
      </c>
      <c r="D277" s="77"/>
      <c r="E277" s="81"/>
      <c r="F277" s="82"/>
      <c r="G277" s="83" t="s">
        <v>194</v>
      </c>
      <c r="H277" s="51"/>
      <c r="J277" s="49"/>
      <c r="K277" s="49"/>
      <c r="L277" s="49"/>
      <c r="M277" s="49"/>
    </row>
    <row r="278" spans="1:13" ht="13" customHeight="1" x14ac:dyDescent="0.25">
      <c r="A278" s="47"/>
      <c r="B278" s="43" t="s">
        <v>6</v>
      </c>
      <c r="C278" s="48" t="s">
        <v>152</v>
      </c>
      <c r="D278" s="77"/>
      <c r="E278" s="81"/>
      <c r="F278" s="82"/>
      <c r="G278" s="83" t="s">
        <v>194</v>
      </c>
      <c r="H278" s="51"/>
      <c r="J278" s="51"/>
      <c r="K278" s="51"/>
      <c r="L278" s="51"/>
      <c r="M278" s="51"/>
    </row>
    <row r="279" spans="1:13" x14ac:dyDescent="0.25">
      <c r="A279" s="51"/>
      <c r="B279" s="51"/>
      <c r="C279" s="51"/>
      <c r="G279" s="80"/>
      <c r="H279" s="51"/>
      <c r="I279" s="51"/>
      <c r="J279" s="51"/>
      <c r="K279" s="51"/>
      <c r="L279" s="51"/>
      <c r="M279" s="51"/>
    </row>
    <row r="280" spans="1:13" x14ac:dyDescent="0.25">
      <c r="A280" s="51"/>
      <c r="B280" s="51"/>
      <c r="C280" s="51"/>
      <c r="H280" s="51"/>
      <c r="I280" s="51"/>
      <c r="J280" s="51"/>
      <c r="K280" s="51"/>
      <c r="L280" s="51"/>
      <c r="M280" s="51"/>
    </row>
    <row r="281" spans="1:13" x14ac:dyDescent="0.25">
      <c r="A281" s="51"/>
      <c r="B281" s="50" t="s">
        <v>31</v>
      </c>
      <c r="C281" s="50"/>
      <c r="D281" s="75"/>
      <c r="E281" s="76"/>
      <c r="H281" s="51"/>
      <c r="I281" s="51"/>
      <c r="J281" s="51"/>
      <c r="K281" s="51"/>
      <c r="L281" s="51"/>
      <c r="M281" s="51"/>
    </row>
    <row r="282" spans="1:13" x14ac:dyDescent="0.25">
      <c r="A282" s="47">
        <v>45658</v>
      </c>
      <c r="B282" s="43" t="s">
        <v>0</v>
      </c>
      <c r="C282" s="48" t="s">
        <v>1</v>
      </c>
      <c r="D282" s="77"/>
      <c r="E282" s="78"/>
      <c r="F282" s="49">
        <v>121632285</v>
      </c>
      <c r="G282" s="80"/>
      <c r="H282" s="49"/>
      <c r="I282" s="51"/>
      <c r="K282" s="49"/>
      <c r="L282" s="49"/>
      <c r="M282" s="49"/>
    </row>
    <row r="283" spans="1:13" ht="13" customHeight="1" x14ac:dyDescent="0.25">
      <c r="A283" s="10">
        <v>45682</v>
      </c>
      <c r="B283" s="43" t="s">
        <v>6</v>
      </c>
      <c r="C283" s="48" t="s">
        <v>153</v>
      </c>
      <c r="D283" s="77"/>
      <c r="E283" s="61">
        <v>1881464</v>
      </c>
      <c r="G283" s="80">
        <f>F282-E283</f>
        <v>119750821</v>
      </c>
      <c r="H283" s="51"/>
      <c r="J283" s="49"/>
      <c r="K283" s="49"/>
      <c r="L283" s="49"/>
      <c r="M283" s="49"/>
    </row>
    <row r="284" spans="1:13" ht="13" customHeight="1" x14ac:dyDescent="0.25">
      <c r="A284" s="10">
        <v>45711</v>
      </c>
      <c r="B284" s="43" t="s">
        <v>6</v>
      </c>
      <c r="C284" s="48" t="s">
        <v>153</v>
      </c>
      <c r="D284" s="77"/>
      <c r="E284" s="61">
        <v>1898711</v>
      </c>
      <c r="G284" s="80">
        <f>G283-E284</f>
        <v>117852110</v>
      </c>
      <c r="H284" s="51"/>
      <c r="J284" s="49"/>
      <c r="K284" s="49"/>
      <c r="L284" s="49"/>
      <c r="M284" s="49"/>
    </row>
    <row r="285" spans="1:13" ht="13" customHeight="1" x14ac:dyDescent="0.25">
      <c r="A285" s="10">
        <v>45741</v>
      </c>
      <c r="B285" s="43" t="s">
        <v>6</v>
      </c>
      <c r="C285" s="48" t="s">
        <v>153</v>
      </c>
      <c r="D285" s="77"/>
      <c r="E285" s="61">
        <v>1916115</v>
      </c>
      <c r="G285" s="80">
        <f t="shared" ref="G285:G294" si="15">G284-E285</f>
        <v>115935995</v>
      </c>
      <c r="H285" s="51"/>
      <c r="J285" s="49"/>
      <c r="K285" s="49"/>
      <c r="L285" s="49"/>
      <c r="M285" s="49"/>
    </row>
    <row r="286" spans="1:13" ht="13" customHeight="1" x14ac:dyDescent="0.25">
      <c r="A286" s="10">
        <v>45772</v>
      </c>
      <c r="B286" s="43" t="s">
        <v>6</v>
      </c>
      <c r="C286" s="48" t="s">
        <v>153</v>
      </c>
      <c r="D286" s="77"/>
      <c r="E286" s="61">
        <v>1933680</v>
      </c>
      <c r="G286" s="80">
        <f t="shared" si="15"/>
        <v>114002315</v>
      </c>
      <c r="H286" s="51"/>
      <c r="J286" s="49"/>
      <c r="K286" s="49"/>
      <c r="L286" s="49"/>
      <c r="M286" s="49"/>
    </row>
    <row r="287" spans="1:13" ht="13" customHeight="1" x14ac:dyDescent="0.25">
      <c r="A287" s="47"/>
      <c r="B287" s="43" t="s">
        <v>6</v>
      </c>
      <c r="C287" s="48" t="s">
        <v>153</v>
      </c>
      <c r="D287" s="77"/>
      <c r="E287" s="61"/>
      <c r="G287" s="80">
        <f t="shared" si="15"/>
        <v>114002315</v>
      </c>
      <c r="H287" s="51"/>
      <c r="J287" s="49"/>
      <c r="K287" s="49"/>
      <c r="L287" s="49"/>
      <c r="M287" s="49"/>
    </row>
    <row r="288" spans="1:13" ht="13" customHeight="1" x14ac:dyDescent="0.25">
      <c r="A288" s="47"/>
      <c r="B288" s="43" t="s">
        <v>6</v>
      </c>
      <c r="C288" s="48" t="s">
        <v>153</v>
      </c>
      <c r="D288" s="77"/>
      <c r="E288" s="61"/>
      <c r="G288" s="80">
        <f t="shared" si="15"/>
        <v>114002315</v>
      </c>
      <c r="H288" s="51"/>
      <c r="J288" s="49"/>
      <c r="K288" s="49"/>
      <c r="L288" s="49"/>
      <c r="M288" s="49"/>
    </row>
    <row r="289" spans="1:13" ht="13" customHeight="1" x14ac:dyDescent="0.25">
      <c r="A289" s="47"/>
      <c r="B289" s="43" t="s">
        <v>6</v>
      </c>
      <c r="C289" s="48" t="s">
        <v>153</v>
      </c>
      <c r="D289" s="77"/>
      <c r="E289" s="61"/>
      <c r="G289" s="80">
        <f t="shared" si="15"/>
        <v>114002315</v>
      </c>
      <c r="H289" s="51"/>
      <c r="J289" s="49"/>
      <c r="K289" s="49"/>
      <c r="L289" s="49"/>
      <c r="M289" s="49"/>
    </row>
    <row r="290" spans="1:13" ht="13" customHeight="1" x14ac:dyDescent="0.25">
      <c r="A290" s="47"/>
      <c r="B290" s="43" t="s">
        <v>6</v>
      </c>
      <c r="C290" s="48" t="s">
        <v>153</v>
      </c>
      <c r="D290" s="77"/>
      <c r="E290" s="61"/>
      <c r="G290" s="80">
        <f t="shared" si="15"/>
        <v>114002315</v>
      </c>
      <c r="H290" s="51"/>
      <c r="J290" s="49"/>
      <c r="K290" s="49"/>
      <c r="L290" s="49"/>
      <c r="M290" s="49"/>
    </row>
    <row r="291" spans="1:13" ht="13" customHeight="1" x14ac:dyDescent="0.25">
      <c r="A291" s="47"/>
      <c r="B291" s="43" t="s">
        <v>6</v>
      </c>
      <c r="C291" s="48" t="s">
        <v>153</v>
      </c>
      <c r="D291" s="77"/>
      <c r="E291" s="61"/>
      <c r="G291" s="80">
        <f t="shared" si="15"/>
        <v>114002315</v>
      </c>
      <c r="H291" s="51"/>
      <c r="J291" s="49"/>
      <c r="K291" s="49"/>
      <c r="L291" s="49"/>
      <c r="M291" s="49"/>
    </row>
    <row r="292" spans="1:13" ht="13" customHeight="1" x14ac:dyDescent="0.25">
      <c r="A292" s="47"/>
      <c r="B292" s="43" t="s">
        <v>6</v>
      </c>
      <c r="C292" s="48" t="s">
        <v>153</v>
      </c>
      <c r="D292" s="77"/>
      <c r="E292" s="61"/>
      <c r="G292" s="80">
        <f t="shared" si="15"/>
        <v>114002315</v>
      </c>
      <c r="H292" s="51"/>
      <c r="J292" s="49"/>
      <c r="K292" s="49"/>
      <c r="L292" s="49"/>
      <c r="M292" s="49"/>
    </row>
    <row r="293" spans="1:13" x14ac:dyDescent="0.25">
      <c r="A293" s="47"/>
      <c r="B293" s="43" t="s">
        <v>6</v>
      </c>
      <c r="C293" s="48" t="s">
        <v>153</v>
      </c>
      <c r="G293" s="80">
        <f t="shared" si="15"/>
        <v>114002315</v>
      </c>
      <c r="H293" s="51"/>
      <c r="I293" s="51"/>
      <c r="J293" s="51"/>
      <c r="K293" s="51"/>
      <c r="L293" s="51"/>
      <c r="M293" s="51"/>
    </row>
    <row r="294" spans="1:13" x14ac:dyDescent="0.25">
      <c r="A294" s="47"/>
      <c r="B294" s="43" t="s">
        <v>6</v>
      </c>
      <c r="C294" s="48" t="s">
        <v>153</v>
      </c>
      <c r="G294" s="80">
        <f t="shared" si="15"/>
        <v>114002315</v>
      </c>
      <c r="H294" s="51"/>
      <c r="I294" s="51"/>
      <c r="J294" s="51"/>
      <c r="K294" s="51"/>
      <c r="L294" s="51"/>
      <c r="M294" s="51"/>
    </row>
    <row r="295" spans="1:13" x14ac:dyDescent="0.25">
      <c r="A295" s="51"/>
      <c r="B295" s="50" t="s">
        <v>114</v>
      </c>
      <c r="C295" s="50"/>
      <c r="D295" s="75"/>
      <c r="E295" s="76"/>
      <c r="H295" s="51"/>
      <c r="I295" s="51"/>
      <c r="J295" s="51"/>
      <c r="K295" s="51"/>
      <c r="L295" s="51"/>
      <c r="M295" s="51"/>
    </row>
    <row r="296" spans="1:13" x14ac:dyDescent="0.25">
      <c r="A296" s="47">
        <v>45658</v>
      </c>
      <c r="B296" s="43" t="s">
        <v>0</v>
      </c>
      <c r="C296" s="48" t="s">
        <v>1</v>
      </c>
      <c r="D296" s="77"/>
      <c r="E296" s="78"/>
      <c r="F296" s="49">
        <v>261494576</v>
      </c>
      <c r="G296" s="80"/>
      <c r="H296" s="49"/>
      <c r="I296" s="51"/>
      <c r="K296" s="49"/>
      <c r="L296" s="49"/>
      <c r="M296" s="49"/>
    </row>
    <row r="297" spans="1:13" ht="13" customHeight="1" x14ac:dyDescent="0.25">
      <c r="A297" s="10">
        <v>45682</v>
      </c>
      <c r="B297" s="43" t="s">
        <v>6</v>
      </c>
      <c r="C297" s="48" t="s">
        <v>154</v>
      </c>
      <c r="D297" s="77"/>
      <c r="E297" s="61">
        <v>2754826</v>
      </c>
      <c r="G297" s="80"/>
      <c r="H297" s="51"/>
      <c r="J297" s="49"/>
      <c r="K297" s="49"/>
      <c r="L297" s="49"/>
      <c r="M297" s="49"/>
    </row>
    <row r="298" spans="1:13" ht="13" customHeight="1" x14ac:dyDescent="0.25">
      <c r="A298" s="10">
        <v>45711</v>
      </c>
      <c r="B298" s="43" t="s">
        <v>6</v>
      </c>
      <c r="C298" s="48" t="s">
        <v>154</v>
      </c>
      <c r="D298" s="77"/>
      <c r="E298" s="61">
        <v>2779504</v>
      </c>
      <c r="G298" s="80">
        <f>F296-E298</f>
        <v>258715072</v>
      </c>
      <c r="H298" s="51"/>
      <c r="J298" s="49"/>
      <c r="K298" s="49"/>
      <c r="L298" s="49"/>
      <c r="M298" s="49"/>
    </row>
    <row r="299" spans="1:13" ht="13" customHeight="1" x14ac:dyDescent="0.25">
      <c r="A299" s="10">
        <v>45741</v>
      </c>
      <c r="B299" s="43" t="s">
        <v>6</v>
      </c>
      <c r="C299" s="48" t="s">
        <v>154</v>
      </c>
      <c r="D299" s="77"/>
      <c r="E299" s="61">
        <v>2804404</v>
      </c>
      <c r="G299" s="80">
        <f>G298-E299</f>
        <v>255910668</v>
      </c>
      <c r="H299" s="51"/>
      <c r="J299" s="49"/>
      <c r="K299" s="49"/>
      <c r="L299" s="49"/>
      <c r="M299" s="49"/>
    </row>
    <row r="300" spans="1:13" ht="13" customHeight="1" x14ac:dyDescent="0.25">
      <c r="A300" s="10">
        <v>45772</v>
      </c>
      <c r="B300" s="43" t="s">
        <v>6</v>
      </c>
      <c r="C300" s="48" t="s">
        <v>154</v>
      </c>
      <c r="D300" s="77"/>
      <c r="E300" s="61">
        <v>2829527</v>
      </c>
      <c r="G300" s="80">
        <f t="shared" ref="G300:G308" si="16">G299-E300</f>
        <v>253081141</v>
      </c>
      <c r="H300" s="51"/>
      <c r="J300" s="49"/>
      <c r="K300" s="49"/>
      <c r="L300" s="49"/>
      <c r="M300" s="49"/>
    </row>
    <row r="301" spans="1:13" ht="13" customHeight="1" x14ac:dyDescent="0.25">
      <c r="A301" s="47"/>
      <c r="B301" s="43" t="s">
        <v>6</v>
      </c>
      <c r="C301" s="48" t="s">
        <v>154</v>
      </c>
      <c r="D301" s="77"/>
      <c r="E301" s="61"/>
      <c r="G301" s="80">
        <f t="shared" si="16"/>
        <v>253081141</v>
      </c>
      <c r="H301" s="51"/>
      <c r="J301" s="49"/>
      <c r="K301" s="49"/>
      <c r="L301" s="49"/>
      <c r="M301" s="49"/>
    </row>
    <row r="302" spans="1:13" ht="13" customHeight="1" x14ac:dyDescent="0.25">
      <c r="A302" s="47"/>
      <c r="B302" s="43" t="s">
        <v>6</v>
      </c>
      <c r="C302" s="48" t="s">
        <v>154</v>
      </c>
      <c r="D302" s="77"/>
      <c r="E302" s="61"/>
      <c r="G302" s="80">
        <f t="shared" si="16"/>
        <v>253081141</v>
      </c>
      <c r="H302" s="51"/>
      <c r="J302" s="49"/>
      <c r="K302" s="49"/>
      <c r="L302" s="49"/>
      <c r="M302" s="49"/>
    </row>
    <row r="303" spans="1:13" ht="13" customHeight="1" x14ac:dyDescent="0.25">
      <c r="A303" s="47"/>
      <c r="B303" s="43" t="s">
        <v>6</v>
      </c>
      <c r="C303" s="48" t="s">
        <v>154</v>
      </c>
      <c r="D303" s="77"/>
      <c r="E303" s="61"/>
      <c r="G303" s="80">
        <f t="shared" si="16"/>
        <v>253081141</v>
      </c>
      <c r="H303" s="51"/>
      <c r="J303" s="49"/>
      <c r="K303" s="49"/>
      <c r="L303" s="49"/>
      <c r="M303" s="49"/>
    </row>
    <row r="304" spans="1:13" ht="13" customHeight="1" x14ac:dyDescent="0.25">
      <c r="A304" s="47"/>
      <c r="B304" s="43" t="s">
        <v>6</v>
      </c>
      <c r="C304" s="48" t="s">
        <v>154</v>
      </c>
      <c r="D304" s="77"/>
      <c r="E304" s="61"/>
      <c r="G304" s="80">
        <f t="shared" si="16"/>
        <v>253081141</v>
      </c>
      <c r="H304" s="51"/>
      <c r="J304" s="49"/>
      <c r="K304" s="49"/>
      <c r="L304" s="49"/>
      <c r="M304" s="49"/>
    </row>
    <row r="305" spans="1:13" ht="13" customHeight="1" x14ac:dyDescent="0.25">
      <c r="A305" s="47"/>
      <c r="B305" s="43" t="s">
        <v>6</v>
      </c>
      <c r="C305" s="48" t="s">
        <v>155</v>
      </c>
      <c r="D305" s="77"/>
      <c r="E305" s="61"/>
      <c r="G305" s="80">
        <f t="shared" si="16"/>
        <v>253081141</v>
      </c>
      <c r="H305" s="51"/>
      <c r="J305" s="49"/>
      <c r="K305" s="49"/>
      <c r="L305" s="49"/>
      <c r="M305" s="49"/>
    </row>
    <row r="306" spans="1:13" ht="13" customHeight="1" x14ac:dyDescent="0.25">
      <c r="A306" s="47"/>
      <c r="B306" s="43" t="s">
        <v>6</v>
      </c>
      <c r="C306" s="48" t="s">
        <v>154</v>
      </c>
      <c r="D306" s="77"/>
      <c r="E306" s="61"/>
      <c r="G306" s="80">
        <f t="shared" si="16"/>
        <v>253081141</v>
      </c>
      <c r="H306" s="51"/>
      <c r="J306" s="49"/>
      <c r="K306" s="49"/>
      <c r="L306" s="49"/>
      <c r="M306" s="49"/>
    </row>
    <row r="307" spans="1:13" ht="26" x14ac:dyDescent="0.25">
      <c r="A307" s="47"/>
      <c r="B307" s="43" t="s">
        <v>6</v>
      </c>
      <c r="C307" s="48" t="s">
        <v>154</v>
      </c>
      <c r="G307" s="80">
        <f t="shared" si="16"/>
        <v>253081141</v>
      </c>
      <c r="H307" s="51"/>
      <c r="I307" s="51"/>
      <c r="J307" s="51"/>
      <c r="K307" s="51"/>
      <c r="L307" s="51"/>
      <c r="M307" s="51"/>
    </row>
    <row r="308" spans="1:13" ht="26" x14ac:dyDescent="0.25">
      <c r="A308" s="47"/>
      <c r="B308" s="43" t="s">
        <v>6</v>
      </c>
      <c r="C308" s="48" t="s">
        <v>154</v>
      </c>
      <c r="G308" s="80">
        <f t="shared" si="16"/>
        <v>253081141</v>
      </c>
      <c r="H308" s="51"/>
      <c r="I308" s="51"/>
      <c r="J308" s="51"/>
      <c r="K308" s="51"/>
      <c r="L308" s="51"/>
      <c r="M308" s="51"/>
    </row>
    <row r="309" spans="1:13" x14ac:dyDescent="0.25">
      <c r="A309" s="51"/>
      <c r="B309" s="50" t="s">
        <v>112</v>
      </c>
      <c r="C309" s="50"/>
      <c r="D309" s="75"/>
      <c r="E309" s="76"/>
      <c r="H309" s="51"/>
      <c r="I309" s="51"/>
      <c r="J309" s="51"/>
      <c r="K309" s="51"/>
      <c r="L309" s="51"/>
      <c r="M309" s="51"/>
    </row>
    <row r="310" spans="1:13" x14ac:dyDescent="0.25">
      <c r="A310" s="47">
        <v>45658</v>
      </c>
      <c r="B310" s="43" t="s">
        <v>0</v>
      </c>
      <c r="C310" s="48" t="s">
        <v>1</v>
      </c>
      <c r="D310" s="77"/>
      <c r="E310" s="78"/>
      <c r="F310" s="49">
        <v>0</v>
      </c>
      <c r="G310" s="80"/>
      <c r="H310" s="49"/>
      <c r="I310" s="51"/>
      <c r="K310" s="49"/>
      <c r="L310" s="49"/>
      <c r="M310" s="49"/>
    </row>
    <row r="311" spans="1:13" ht="13" customHeight="1" x14ac:dyDescent="0.25">
      <c r="A311" s="10">
        <v>45682</v>
      </c>
      <c r="B311" s="43" t="s">
        <v>6</v>
      </c>
      <c r="C311" s="48" t="s">
        <v>156</v>
      </c>
      <c r="D311" s="77"/>
      <c r="E311" s="81" t="s">
        <v>194</v>
      </c>
      <c r="F311" s="82"/>
      <c r="G311" s="83" t="s">
        <v>194</v>
      </c>
      <c r="H311" s="51"/>
      <c r="J311" s="49"/>
      <c r="K311" s="49"/>
      <c r="L311" s="49"/>
      <c r="M311" s="49"/>
    </row>
    <row r="312" spans="1:13" ht="13" customHeight="1" x14ac:dyDescent="0.25">
      <c r="A312" s="10">
        <v>45711</v>
      </c>
      <c r="B312" s="43" t="s">
        <v>6</v>
      </c>
      <c r="C312" s="48" t="s">
        <v>156</v>
      </c>
      <c r="D312" s="77"/>
      <c r="E312" s="81" t="s">
        <v>194</v>
      </c>
      <c r="F312" s="82"/>
      <c r="G312" s="83" t="s">
        <v>194</v>
      </c>
      <c r="H312" s="51"/>
      <c r="J312" s="49"/>
      <c r="K312" s="49"/>
      <c r="L312" s="49"/>
      <c r="M312" s="49"/>
    </row>
    <row r="313" spans="1:13" ht="13" customHeight="1" x14ac:dyDescent="0.25">
      <c r="A313" s="10">
        <v>45741</v>
      </c>
      <c r="B313" s="43" t="s">
        <v>6</v>
      </c>
      <c r="C313" s="48" t="s">
        <v>156</v>
      </c>
      <c r="D313" s="77"/>
      <c r="E313" s="81" t="s">
        <v>194</v>
      </c>
      <c r="F313" s="82"/>
      <c r="G313" s="83" t="s">
        <v>194</v>
      </c>
      <c r="H313" s="51"/>
      <c r="J313" s="49"/>
      <c r="K313" s="49"/>
      <c r="L313" s="49"/>
      <c r="M313" s="49"/>
    </row>
    <row r="314" spans="1:13" ht="13" customHeight="1" x14ac:dyDescent="0.25">
      <c r="A314" s="10">
        <v>45772</v>
      </c>
      <c r="B314" s="43" t="s">
        <v>6</v>
      </c>
      <c r="C314" s="48" t="s">
        <v>156</v>
      </c>
      <c r="D314" s="77"/>
      <c r="E314" s="81" t="s">
        <v>194</v>
      </c>
      <c r="F314" s="82"/>
      <c r="G314" s="83" t="s">
        <v>194</v>
      </c>
      <c r="H314" s="51"/>
      <c r="J314" s="49"/>
      <c r="K314" s="49"/>
      <c r="L314" s="49"/>
      <c r="M314" s="49"/>
    </row>
    <row r="315" spans="1:13" ht="13" customHeight="1" x14ac:dyDescent="0.25">
      <c r="A315" s="47"/>
      <c r="B315" s="43" t="s">
        <v>6</v>
      </c>
      <c r="C315" s="48" t="s">
        <v>156</v>
      </c>
      <c r="D315" s="77"/>
      <c r="E315" s="81"/>
      <c r="F315" s="82"/>
      <c r="G315" s="83" t="s">
        <v>194</v>
      </c>
      <c r="H315" s="51"/>
      <c r="J315" s="49"/>
      <c r="K315" s="49"/>
      <c r="L315" s="49"/>
      <c r="M315" s="49"/>
    </row>
    <row r="316" spans="1:13" ht="13" customHeight="1" x14ac:dyDescent="0.25">
      <c r="A316" s="47"/>
      <c r="B316" s="43" t="s">
        <v>6</v>
      </c>
      <c r="C316" s="48" t="s">
        <v>156</v>
      </c>
      <c r="D316" s="77"/>
      <c r="E316" s="81"/>
      <c r="F316" s="82"/>
      <c r="G316" s="83" t="s">
        <v>194</v>
      </c>
      <c r="H316" s="51"/>
      <c r="J316" s="49"/>
      <c r="K316" s="49"/>
      <c r="L316" s="49"/>
      <c r="M316" s="49"/>
    </row>
    <row r="317" spans="1:13" ht="13" customHeight="1" x14ac:dyDescent="0.25">
      <c r="A317" s="47"/>
      <c r="B317" s="43" t="s">
        <v>6</v>
      </c>
      <c r="C317" s="48" t="s">
        <v>156</v>
      </c>
      <c r="D317" s="77"/>
      <c r="E317" s="81"/>
      <c r="F317" s="82"/>
      <c r="G317" s="83" t="s">
        <v>194</v>
      </c>
      <c r="H317" s="51"/>
      <c r="J317" s="49"/>
      <c r="K317" s="49"/>
      <c r="L317" s="49"/>
      <c r="M317" s="49"/>
    </row>
    <row r="318" spans="1:13" ht="13" customHeight="1" x14ac:dyDescent="0.25">
      <c r="A318" s="47"/>
      <c r="B318" s="43" t="s">
        <v>6</v>
      </c>
      <c r="C318" s="48" t="s">
        <v>156</v>
      </c>
      <c r="D318" s="77"/>
      <c r="E318" s="81"/>
      <c r="F318" s="82"/>
      <c r="G318" s="85" t="s">
        <v>194</v>
      </c>
      <c r="H318" s="51"/>
      <c r="J318" s="49"/>
      <c r="K318" s="49"/>
      <c r="L318" s="49"/>
      <c r="M318" s="49"/>
    </row>
    <row r="319" spans="1:13" ht="13" customHeight="1" x14ac:dyDescent="0.25">
      <c r="A319" s="47"/>
      <c r="B319" s="43" t="s">
        <v>6</v>
      </c>
      <c r="C319" s="48" t="s">
        <v>156</v>
      </c>
      <c r="D319" s="77"/>
      <c r="E319" s="81"/>
      <c r="F319" s="82"/>
      <c r="G319" s="83" t="s">
        <v>194</v>
      </c>
      <c r="H319" s="51"/>
      <c r="J319" s="49"/>
      <c r="K319" s="49"/>
      <c r="L319" s="49"/>
      <c r="M319" s="49"/>
    </row>
    <row r="320" spans="1:13" ht="13" customHeight="1" x14ac:dyDescent="0.25">
      <c r="A320" s="47"/>
      <c r="B320" s="43" t="s">
        <v>6</v>
      </c>
      <c r="C320" s="48" t="s">
        <v>156</v>
      </c>
      <c r="D320" s="77"/>
      <c r="E320" s="81"/>
      <c r="F320" s="82"/>
      <c r="G320" s="83" t="s">
        <v>194</v>
      </c>
      <c r="H320" s="51"/>
      <c r="J320" s="49"/>
      <c r="K320" s="49"/>
      <c r="L320" s="49"/>
      <c r="M320" s="49"/>
    </row>
    <row r="321" spans="1:13" ht="26" x14ac:dyDescent="0.25">
      <c r="A321" s="47"/>
      <c r="B321" s="43" t="s">
        <v>6</v>
      </c>
      <c r="C321" s="48" t="s">
        <v>156</v>
      </c>
      <c r="E321" s="86"/>
      <c r="F321" s="82"/>
      <c r="G321" s="83" t="s">
        <v>194</v>
      </c>
      <c r="H321" s="51"/>
      <c r="I321" s="51"/>
      <c r="J321" s="51"/>
      <c r="K321" s="51"/>
      <c r="L321" s="51"/>
      <c r="M321" s="51"/>
    </row>
    <row r="322" spans="1:13" x14ac:dyDescent="0.25">
      <c r="A322" s="51"/>
      <c r="B322" s="51"/>
      <c r="C322" s="51"/>
      <c r="H322" s="51"/>
      <c r="I322" s="51"/>
      <c r="J322" s="51"/>
      <c r="K322" s="51"/>
      <c r="L322" s="51"/>
      <c r="M322" s="51"/>
    </row>
    <row r="323" spans="1:13" x14ac:dyDescent="0.25">
      <c r="A323" s="51"/>
      <c r="B323" s="50" t="s">
        <v>35</v>
      </c>
      <c r="C323" s="50"/>
      <c r="D323" s="75"/>
      <c r="E323" s="76"/>
      <c r="H323" s="51"/>
      <c r="I323" s="51"/>
      <c r="J323" s="51"/>
      <c r="K323" s="51"/>
      <c r="L323" s="51"/>
      <c r="M323" s="51"/>
    </row>
    <row r="324" spans="1:13" x14ac:dyDescent="0.25">
      <c r="A324" s="47">
        <v>45658</v>
      </c>
      <c r="B324" s="43" t="s">
        <v>0</v>
      </c>
      <c r="C324" s="48" t="s">
        <v>1</v>
      </c>
      <c r="D324" s="77"/>
      <c r="E324" s="78"/>
      <c r="F324" s="49">
        <v>298312434</v>
      </c>
      <c r="G324" s="80"/>
      <c r="H324" s="49"/>
      <c r="I324" s="51"/>
      <c r="K324" s="49"/>
      <c r="L324" s="49"/>
      <c r="M324" s="49"/>
    </row>
    <row r="325" spans="1:13" ht="13" customHeight="1" x14ac:dyDescent="0.25">
      <c r="A325" s="10">
        <v>45682</v>
      </c>
      <c r="B325" s="43" t="s">
        <v>6</v>
      </c>
      <c r="C325" s="48" t="s">
        <v>157</v>
      </c>
      <c r="D325" s="77"/>
      <c r="E325" s="61">
        <v>3944815</v>
      </c>
      <c r="G325" s="80">
        <f>F324-E325</f>
        <v>294367619</v>
      </c>
      <c r="H325" s="51"/>
      <c r="J325" s="49"/>
      <c r="K325" s="49"/>
      <c r="L325" s="49"/>
      <c r="M325" s="49"/>
    </row>
    <row r="326" spans="1:13" ht="13" customHeight="1" x14ac:dyDescent="0.25">
      <c r="A326" s="10">
        <v>45711</v>
      </c>
      <c r="B326" s="43" t="s">
        <v>6</v>
      </c>
      <c r="C326" s="48" t="s">
        <v>157</v>
      </c>
      <c r="D326" s="77"/>
      <c r="E326" s="61">
        <v>3980154</v>
      </c>
      <c r="G326" s="80">
        <f>G325-E326</f>
        <v>290387465</v>
      </c>
      <c r="H326" s="51"/>
      <c r="J326" s="49"/>
      <c r="K326" s="49"/>
      <c r="L326" s="49"/>
      <c r="M326" s="49"/>
    </row>
    <row r="327" spans="1:13" ht="13" customHeight="1" x14ac:dyDescent="0.25">
      <c r="A327" s="10">
        <v>45741</v>
      </c>
      <c r="B327" s="43" t="s">
        <v>6</v>
      </c>
      <c r="C327" s="48" t="s">
        <v>157</v>
      </c>
      <c r="D327" s="77"/>
      <c r="E327" s="73">
        <v>4015810</v>
      </c>
      <c r="G327" s="80">
        <f>G326-E327</f>
        <v>286371655</v>
      </c>
      <c r="H327" s="51"/>
      <c r="J327" s="49"/>
      <c r="K327" s="49"/>
      <c r="L327" s="49"/>
      <c r="M327" s="49"/>
    </row>
    <row r="328" spans="1:13" ht="13" customHeight="1" x14ac:dyDescent="0.25">
      <c r="A328" s="10">
        <v>45772</v>
      </c>
      <c r="B328" s="43" t="s">
        <v>6</v>
      </c>
      <c r="C328" s="48" t="s">
        <v>157</v>
      </c>
      <c r="D328" s="77"/>
      <c r="E328" s="61">
        <v>4051785</v>
      </c>
      <c r="G328" s="80">
        <f>G327-E328</f>
        <v>282319870</v>
      </c>
      <c r="H328" s="51"/>
      <c r="J328" s="49"/>
      <c r="K328" s="49"/>
      <c r="L328" s="49"/>
      <c r="M328" s="49"/>
    </row>
    <row r="329" spans="1:13" ht="13" customHeight="1" x14ac:dyDescent="0.25">
      <c r="A329" s="47"/>
      <c r="B329" s="43" t="s">
        <v>6</v>
      </c>
      <c r="C329" s="48" t="s">
        <v>157</v>
      </c>
      <c r="D329" s="77"/>
      <c r="E329" s="61"/>
      <c r="G329" s="80">
        <f t="shared" ref="G329:G336" si="17">G328-E329</f>
        <v>282319870</v>
      </c>
      <c r="H329" s="51"/>
      <c r="J329" s="49"/>
      <c r="K329" s="49"/>
      <c r="L329" s="49"/>
      <c r="M329" s="49"/>
    </row>
    <row r="330" spans="1:13" ht="13" customHeight="1" x14ac:dyDescent="0.25">
      <c r="A330" s="47"/>
      <c r="B330" s="43" t="s">
        <v>6</v>
      </c>
      <c r="C330" s="48" t="s">
        <v>157</v>
      </c>
      <c r="D330" s="77"/>
      <c r="E330" s="61"/>
      <c r="G330" s="80">
        <f t="shared" si="17"/>
        <v>282319870</v>
      </c>
      <c r="H330" s="51"/>
      <c r="J330" s="49"/>
      <c r="K330" s="49"/>
      <c r="L330" s="49"/>
      <c r="M330" s="49"/>
    </row>
    <row r="331" spans="1:13" ht="13" customHeight="1" x14ac:dyDescent="0.25">
      <c r="A331" s="47"/>
      <c r="B331" s="43" t="s">
        <v>6</v>
      </c>
      <c r="C331" s="48" t="s">
        <v>157</v>
      </c>
      <c r="D331" s="77"/>
      <c r="E331" s="61"/>
      <c r="G331" s="80">
        <f t="shared" si="17"/>
        <v>282319870</v>
      </c>
      <c r="H331" s="51"/>
      <c r="J331" s="49"/>
      <c r="K331" s="49"/>
      <c r="L331" s="49"/>
      <c r="M331" s="49"/>
    </row>
    <row r="332" spans="1:13" ht="13" customHeight="1" x14ac:dyDescent="0.25">
      <c r="A332" s="47"/>
      <c r="B332" s="43" t="s">
        <v>6</v>
      </c>
      <c r="C332" s="48" t="s">
        <v>157</v>
      </c>
      <c r="D332" s="77"/>
      <c r="E332" s="61"/>
      <c r="G332" s="80">
        <f t="shared" si="17"/>
        <v>282319870</v>
      </c>
      <c r="H332" s="51"/>
      <c r="J332" s="49"/>
      <c r="K332" s="49"/>
      <c r="L332" s="49"/>
      <c r="M332" s="49"/>
    </row>
    <row r="333" spans="1:13" ht="13" customHeight="1" x14ac:dyDescent="0.25">
      <c r="A333" s="47"/>
      <c r="B333" s="43" t="s">
        <v>6</v>
      </c>
      <c r="C333" s="48" t="s">
        <v>157</v>
      </c>
      <c r="D333" s="77"/>
      <c r="E333" s="61"/>
      <c r="G333" s="80">
        <f t="shared" si="17"/>
        <v>282319870</v>
      </c>
      <c r="H333" s="51"/>
      <c r="J333" s="49"/>
      <c r="K333" s="49"/>
      <c r="L333" s="49"/>
      <c r="M333" s="49"/>
    </row>
    <row r="334" spans="1:13" ht="13" customHeight="1" x14ac:dyDescent="0.25">
      <c r="A334" s="47"/>
      <c r="B334" s="43" t="s">
        <v>6</v>
      </c>
      <c r="C334" s="48" t="s">
        <v>157</v>
      </c>
      <c r="D334" s="77"/>
      <c r="E334" s="61"/>
      <c r="G334" s="80">
        <f t="shared" si="17"/>
        <v>282319870</v>
      </c>
      <c r="H334" s="51"/>
      <c r="J334" s="49"/>
      <c r="K334" s="49"/>
      <c r="L334" s="49"/>
      <c r="M334" s="49"/>
    </row>
    <row r="335" spans="1:13" ht="26" x14ac:dyDescent="0.25">
      <c r="A335" s="47"/>
      <c r="B335" s="43" t="s">
        <v>6</v>
      </c>
      <c r="C335" s="48" t="s">
        <v>157</v>
      </c>
      <c r="G335" s="80">
        <f t="shared" si="17"/>
        <v>282319870</v>
      </c>
      <c r="H335" s="51"/>
      <c r="I335" s="51"/>
      <c r="J335" s="51"/>
      <c r="K335" s="51"/>
      <c r="L335" s="51"/>
      <c r="M335" s="51"/>
    </row>
    <row r="336" spans="1:13" ht="26" x14ac:dyDescent="0.25">
      <c r="A336" s="47"/>
      <c r="B336" s="43" t="s">
        <v>6</v>
      </c>
      <c r="C336" s="48" t="s">
        <v>157</v>
      </c>
      <c r="G336" s="80">
        <f t="shared" si="17"/>
        <v>282319870</v>
      </c>
      <c r="H336" s="51"/>
      <c r="I336" s="51"/>
      <c r="J336" s="51"/>
      <c r="K336" s="51"/>
      <c r="L336" s="51"/>
      <c r="M336" s="51"/>
    </row>
    <row r="337" spans="1:13" x14ac:dyDescent="0.25">
      <c r="A337" s="51"/>
      <c r="B337" s="50" t="s">
        <v>42</v>
      </c>
      <c r="C337" s="50"/>
      <c r="D337" s="75"/>
      <c r="E337" s="76"/>
      <c r="H337" s="51"/>
      <c r="I337" s="51"/>
      <c r="J337" s="51"/>
      <c r="K337" s="51"/>
      <c r="L337" s="51"/>
      <c r="M337" s="51"/>
    </row>
    <row r="338" spans="1:13" x14ac:dyDescent="0.25">
      <c r="A338" s="47">
        <v>45658</v>
      </c>
      <c r="B338" s="43" t="s">
        <v>0</v>
      </c>
      <c r="C338" s="48" t="s">
        <v>1</v>
      </c>
      <c r="D338" s="77"/>
      <c r="E338" s="78"/>
      <c r="F338" s="49">
        <v>25187254</v>
      </c>
      <c r="G338" s="80"/>
      <c r="H338" s="49"/>
      <c r="I338" s="51"/>
      <c r="J338" s="49"/>
      <c r="K338" s="49"/>
      <c r="L338" s="49"/>
      <c r="M338" s="49"/>
    </row>
    <row r="339" spans="1:13" ht="13" customHeight="1" x14ac:dyDescent="0.25">
      <c r="A339" s="10">
        <v>45682</v>
      </c>
      <c r="B339" s="43" t="s">
        <v>6</v>
      </c>
      <c r="C339" s="48" t="s">
        <v>158</v>
      </c>
      <c r="D339" s="77"/>
      <c r="E339" s="61">
        <v>3039857</v>
      </c>
      <c r="G339" s="80"/>
      <c r="H339" s="51"/>
      <c r="J339" s="49"/>
      <c r="K339" s="49"/>
      <c r="L339" s="49"/>
      <c r="M339" s="49"/>
    </row>
    <row r="340" spans="1:13" ht="13" customHeight="1" x14ac:dyDescent="0.25">
      <c r="A340" s="10">
        <v>45711</v>
      </c>
      <c r="B340" s="43" t="s">
        <v>6</v>
      </c>
      <c r="C340" s="48" t="s">
        <v>158</v>
      </c>
      <c r="D340" s="77"/>
      <c r="E340" s="61">
        <v>3070255</v>
      </c>
      <c r="G340" s="80">
        <f>F338-E340</f>
        <v>22116999</v>
      </c>
      <c r="H340" s="51"/>
      <c r="J340" s="49"/>
      <c r="K340" s="49"/>
      <c r="L340" s="49"/>
      <c r="M340" s="49"/>
    </row>
    <row r="341" spans="1:13" ht="13" customHeight="1" x14ac:dyDescent="0.25">
      <c r="A341" s="10">
        <v>45741</v>
      </c>
      <c r="B341" s="43" t="s">
        <v>6</v>
      </c>
      <c r="C341" s="48" t="s">
        <v>158</v>
      </c>
      <c r="D341" s="77"/>
      <c r="E341" s="61">
        <v>3100958</v>
      </c>
      <c r="G341" s="80">
        <f>G340-E341</f>
        <v>19016041</v>
      </c>
      <c r="H341" s="51"/>
      <c r="J341" s="49"/>
      <c r="K341" s="49"/>
      <c r="L341" s="49"/>
      <c r="M341" s="49"/>
    </row>
    <row r="342" spans="1:13" ht="13" customHeight="1" x14ac:dyDescent="0.25">
      <c r="A342" s="10">
        <v>45772</v>
      </c>
      <c r="B342" s="43" t="s">
        <v>6</v>
      </c>
      <c r="C342" s="48" t="s">
        <v>158</v>
      </c>
      <c r="D342" s="77"/>
      <c r="E342" s="61">
        <v>3131968</v>
      </c>
      <c r="G342" s="80">
        <f t="shared" ref="G342:G350" si="18">G341-E342</f>
        <v>15884073</v>
      </c>
      <c r="H342" s="51"/>
      <c r="J342" s="49"/>
      <c r="K342" s="49"/>
      <c r="L342" s="49"/>
      <c r="M342" s="49"/>
    </row>
    <row r="343" spans="1:13" ht="13" customHeight="1" x14ac:dyDescent="0.25">
      <c r="A343" s="47"/>
      <c r="B343" s="43" t="s">
        <v>6</v>
      </c>
      <c r="C343" s="48" t="s">
        <v>158</v>
      </c>
      <c r="D343" s="77"/>
      <c r="E343" s="61"/>
      <c r="G343" s="80">
        <f t="shared" si="18"/>
        <v>15884073</v>
      </c>
      <c r="H343" s="51"/>
      <c r="J343" s="49"/>
      <c r="K343" s="49"/>
      <c r="L343" s="49"/>
      <c r="M343" s="49"/>
    </row>
    <row r="344" spans="1:13" ht="13" customHeight="1" x14ac:dyDescent="0.25">
      <c r="A344" s="47"/>
      <c r="B344" s="43" t="s">
        <v>6</v>
      </c>
      <c r="C344" s="48" t="s">
        <v>158</v>
      </c>
      <c r="D344" s="77"/>
      <c r="E344" s="61"/>
      <c r="G344" s="80">
        <f t="shared" si="18"/>
        <v>15884073</v>
      </c>
      <c r="H344" s="51"/>
      <c r="J344" s="49"/>
      <c r="K344" s="49"/>
      <c r="L344" s="49"/>
      <c r="M344" s="49"/>
    </row>
    <row r="345" spans="1:13" ht="13" customHeight="1" x14ac:dyDescent="0.25">
      <c r="A345" s="47"/>
      <c r="B345" s="43" t="s">
        <v>6</v>
      </c>
      <c r="C345" s="48" t="s">
        <v>158</v>
      </c>
      <c r="D345" s="77"/>
      <c r="E345" s="61"/>
      <c r="G345" s="80">
        <f t="shared" si="18"/>
        <v>15884073</v>
      </c>
      <c r="H345" s="51"/>
      <c r="J345" s="49"/>
      <c r="K345" s="49"/>
      <c r="L345" s="49"/>
      <c r="M345" s="49"/>
    </row>
    <row r="346" spans="1:13" ht="13" customHeight="1" x14ac:dyDescent="0.25">
      <c r="A346" s="47"/>
      <c r="B346" s="43" t="s">
        <v>6</v>
      </c>
      <c r="C346" s="48" t="s">
        <v>158</v>
      </c>
      <c r="D346" s="77"/>
      <c r="E346" s="61"/>
      <c r="G346" s="80">
        <f t="shared" si="18"/>
        <v>15884073</v>
      </c>
      <c r="H346" s="51"/>
      <c r="J346" s="49"/>
      <c r="K346" s="49"/>
      <c r="L346" s="49"/>
      <c r="M346" s="49"/>
    </row>
    <row r="347" spans="1:13" ht="13" customHeight="1" x14ac:dyDescent="0.25">
      <c r="A347" s="47"/>
      <c r="B347" s="43" t="s">
        <v>6</v>
      </c>
      <c r="C347" s="48" t="s">
        <v>158</v>
      </c>
      <c r="D347" s="77"/>
      <c r="E347" s="61"/>
      <c r="G347" s="80">
        <f t="shared" si="18"/>
        <v>15884073</v>
      </c>
      <c r="H347" s="51"/>
      <c r="J347" s="49"/>
      <c r="K347" s="49"/>
      <c r="L347" s="49"/>
      <c r="M347" s="49"/>
    </row>
    <row r="348" spans="1:13" ht="13" customHeight="1" x14ac:dyDescent="0.25">
      <c r="A348" s="47"/>
      <c r="B348" s="43" t="s">
        <v>6</v>
      </c>
      <c r="C348" s="48" t="s">
        <v>158</v>
      </c>
      <c r="D348" s="77"/>
      <c r="E348" s="61"/>
      <c r="G348" s="80">
        <f t="shared" si="18"/>
        <v>15884073</v>
      </c>
      <c r="H348" s="51"/>
      <c r="J348" s="49"/>
      <c r="K348" s="49"/>
      <c r="L348" s="49"/>
      <c r="M348" s="49"/>
    </row>
    <row r="349" spans="1:13" ht="26" x14ac:dyDescent="0.25">
      <c r="A349" s="47"/>
      <c r="B349" s="43" t="s">
        <v>6</v>
      </c>
      <c r="C349" s="48" t="s">
        <v>158</v>
      </c>
      <c r="G349" s="80">
        <f t="shared" si="18"/>
        <v>15884073</v>
      </c>
      <c r="H349" s="51"/>
      <c r="I349" s="51"/>
      <c r="J349" s="51"/>
      <c r="K349" s="51"/>
      <c r="L349" s="51"/>
      <c r="M349" s="51"/>
    </row>
    <row r="350" spans="1:13" ht="26" x14ac:dyDescent="0.25">
      <c r="A350" s="47"/>
      <c r="B350" s="43" t="s">
        <v>6</v>
      </c>
      <c r="C350" s="48" t="s">
        <v>158</v>
      </c>
      <c r="G350" s="80">
        <f t="shared" si="18"/>
        <v>15884073</v>
      </c>
      <c r="H350" s="51"/>
      <c r="I350" s="51"/>
      <c r="J350" s="51"/>
      <c r="K350" s="51"/>
      <c r="L350" s="51"/>
      <c r="M350" s="51"/>
    </row>
    <row r="351" spans="1:13" x14ac:dyDescent="0.25">
      <c r="A351" s="51"/>
      <c r="B351" s="50" t="s">
        <v>46</v>
      </c>
      <c r="C351" s="50"/>
      <c r="D351" s="75"/>
      <c r="E351" s="76"/>
      <c r="H351" s="51"/>
      <c r="I351" s="51"/>
      <c r="J351" s="51"/>
      <c r="K351" s="51"/>
      <c r="L351" s="51"/>
      <c r="M351" s="51"/>
    </row>
    <row r="352" spans="1:13" x14ac:dyDescent="0.25">
      <c r="A352" s="47">
        <v>45658</v>
      </c>
      <c r="B352" s="43" t="s">
        <v>0</v>
      </c>
      <c r="C352" s="48" t="s">
        <v>1</v>
      </c>
      <c r="D352" s="77"/>
      <c r="E352" s="78"/>
      <c r="F352" s="61">
        <v>254219096</v>
      </c>
      <c r="G352" s="80"/>
      <c r="H352" s="49"/>
      <c r="I352" s="51"/>
      <c r="K352" s="49"/>
      <c r="L352" s="49"/>
      <c r="M352" s="49"/>
    </row>
    <row r="353" spans="1:13" ht="13" customHeight="1" x14ac:dyDescent="0.25">
      <c r="A353" s="10">
        <v>45682</v>
      </c>
      <c r="B353" s="43" t="s">
        <v>6</v>
      </c>
      <c r="C353" s="48" t="s">
        <v>159</v>
      </c>
      <c r="D353" s="77"/>
      <c r="E353" s="61">
        <v>2057417</v>
      </c>
      <c r="G353" s="80">
        <f>F352-E353</f>
        <v>252161679</v>
      </c>
      <c r="H353" s="51"/>
      <c r="J353" s="49"/>
      <c r="K353" s="49"/>
      <c r="L353" s="49"/>
      <c r="M353" s="49"/>
    </row>
    <row r="354" spans="1:13" ht="13" customHeight="1" x14ac:dyDescent="0.25">
      <c r="A354" s="10">
        <v>45711</v>
      </c>
      <c r="B354" s="43" t="s">
        <v>6</v>
      </c>
      <c r="C354" s="48" t="s">
        <v>159</v>
      </c>
      <c r="D354" s="77"/>
      <c r="E354" s="61">
        <v>2076276</v>
      </c>
      <c r="G354" s="80">
        <f>G353-E354</f>
        <v>250085403</v>
      </c>
      <c r="H354" s="51"/>
      <c r="J354" s="49"/>
      <c r="K354" s="49"/>
      <c r="L354" s="49"/>
      <c r="M354" s="49"/>
    </row>
    <row r="355" spans="1:13" ht="13" customHeight="1" x14ac:dyDescent="0.25">
      <c r="A355" s="10">
        <v>45741</v>
      </c>
      <c r="B355" s="43" t="s">
        <v>6</v>
      </c>
      <c r="C355" s="48" t="s">
        <v>159</v>
      </c>
      <c r="D355" s="77"/>
      <c r="E355" s="61">
        <v>2095309</v>
      </c>
      <c r="G355" s="80">
        <f t="shared" ref="G355:G364" si="19">G354-E355</f>
        <v>247990094</v>
      </c>
      <c r="H355" s="51"/>
      <c r="J355" s="49"/>
      <c r="K355" s="49"/>
      <c r="L355" s="49"/>
      <c r="M355" s="49"/>
    </row>
    <row r="356" spans="1:13" ht="13" customHeight="1" x14ac:dyDescent="0.25">
      <c r="A356" s="10">
        <v>45772</v>
      </c>
      <c r="B356" s="43" t="s">
        <v>6</v>
      </c>
      <c r="C356" s="48" t="s">
        <v>159</v>
      </c>
      <c r="D356" s="77"/>
      <c r="E356" s="61">
        <v>2114516</v>
      </c>
      <c r="G356" s="80">
        <f t="shared" si="19"/>
        <v>245875578</v>
      </c>
      <c r="H356" s="51"/>
      <c r="J356" s="49"/>
      <c r="K356" s="49"/>
      <c r="L356" s="49"/>
      <c r="M356" s="49"/>
    </row>
    <row r="357" spans="1:13" ht="13" customHeight="1" x14ac:dyDescent="0.25">
      <c r="A357" s="47"/>
      <c r="B357" s="43" t="s">
        <v>6</v>
      </c>
      <c r="C357" s="48" t="s">
        <v>159</v>
      </c>
      <c r="D357" s="77"/>
      <c r="E357" s="61"/>
      <c r="G357" s="80">
        <f t="shared" si="19"/>
        <v>245875578</v>
      </c>
      <c r="H357" s="51"/>
      <c r="J357" s="49"/>
      <c r="K357" s="49"/>
      <c r="L357" s="49"/>
      <c r="M357" s="49"/>
    </row>
    <row r="358" spans="1:13" ht="13" customHeight="1" x14ac:dyDescent="0.25">
      <c r="A358" s="47"/>
      <c r="B358" s="43" t="s">
        <v>6</v>
      </c>
      <c r="C358" s="48" t="s">
        <v>159</v>
      </c>
      <c r="D358" s="77"/>
      <c r="E358" s="61"/>
      <c r="G358" s="80">
        <f t="shared" si="19"/>
        <v>245875578</v>
      </c>
      <c r="H358" s="51"/>
      <c r="J358" s="49"/>
      <c r="K358" s="49"/>
      <c r="L358" s="49"/>
      <c r="M358" s="49"/>
    </row>
    <row r="359" spans="1:13" ht="13" customHeight="1" x14ac:dyDescent="0.25">
      <c r="A359" s="47"/>
      <c r="B359" s="43" t="s">
        <v>6</v>
      </c>
      <c r="C359" s="48" t="s">
        <v>159</v>
      </c>
      <c r="D359" s="77"/>
      <c r="E359" s="61"/>
      <c r="G359" s="80">
        <f t="shared" si="19"/>
        <v>245875578</v>
      </c>
      <c r="H359" s="51"/>
      <c r="J359" s="49"/>
      <c r="K359" s="49"/>
      <c r="L359" s="49"/>
      <c r="M359" s="49"/>
    </row>
    <row r="360" spans="1:13" ht="13" customHeight="1" x14ac:dyDescent="0.25">
      <c r="A360" s="47"/>
      <c r="B360" s="43" t="s">
        <v>6</v>
      </c>
      <c r="C360" s="48" t="s">
        <v>159</v>
      </c>
      <c r="D360" s="77"/>
      <c r="E360" s="61"/>
      <c r="G360" s="80">
        <f t="shared" si="19"/>
        <v>245875578</v>
      </c>
      <c r="H360" s="51"/>
      <c r="J360" s="49"/>
      <c r="K360" s="49"/>
      <c r="L360" s="49"/>
      <c r="M360" s="49"/>
    </row>
    <row r="361" spans="1:13" ht="13" customHeight="1" x14ac:dyDescent="0.25">
      <c r="A361" s="47"/>
      <c r="B361" s="43" t="s">
        <v>6</v>
      </c>
      <c r="C361" s="48" t="s">
        <v>159</v>
      </c>
      <c r="D361" s="77"/>
      <c r="E361" s="61"/>
      <c r="G361" s="80">
        <f t="shared" si="19"/>
        <v>245875578</v>
      </c>
      <c r="H361" s="51"/>
      <c r="J361" s="49"/>
      <c r="K361" s="49"/>
      <c r="L361" s="49"/>
      <c r="M361" s="49"/>
    </row>
    <row r="362" spans="1:13" ht="13" customHeight="1" x14ac:dyDescent="0.25">
      <c r="A362" s="47"/>
      <c r="B362" s="43" t="s">
        <v>6</v>
      </c>
      <c r="C362" s="48" t="s">
        <v>159</v>
      </c>
      <c r="D362" s="77"/>
      <c r="E362" s="61"/>
      <c r="G362" s="80">
        <f t="shared" si="19"/>
        <v>245875578</v>
      </c>
      <c r="H362" s="51"/>
      <c r="J362" s="49"/>
      <c r="K362" s="49"/>
      <c r="L362" s="49"/>
      <c r="M362" s="49"/>
    </row>
    <row r="363" spans="1:13" x14ac:dyDescent="0.25">
      <c r="A363" s="47"/>
      <c r="B363" s="43" t="s">
        <v>6</v>
      </c>
      <c r="C363" s="48" t="s">
        <v>159</v>
      </c>
      <c r="G363" s="80">
        <f t="shared" si="19"/>
        <v>245875578</v>
      </c>
      <c r="H363" s="51"/>
      <c r="I363" s="51"/>
      <c r="J363" s="51"/>
      <c r="K363" s="51"/>
      <c r="L363" s="51"/>
      <c r="M363" s="51"/>
    </row>
    <row r="364" spans="1:13" x14ac:dyDescent="0.25">
      <c r="A364" s="47"/>
      <c r="B364" s="43" t="s">
        <v>6</v>
      </c>
      <c r="C364" s="48" t="s">
        <v>159</v>
      </c>
      <c r="G364" s="80">
        <f t="shared" si="19"/>
        <v>245875578</v>
      </c>
      <c r="H364" s="51"/>
      <c r="I364" s="51"/>
      <c r="J364" s="51"/>
      <c r="K364" s="51"/>
      <c r="L364" s="51"/>
      <c r="M364" s="51"/>
    </row>
    <row r="365" spans="1:13" x14ac:dyDescent="0.25">
      <c r="A365" s="51"/>
      <c r="B365" s="50" t="s">
        <v>47</v>
      </c>
      <c r="C365" s="50"/>
      <c r="D365" s="75"/>
      <c r="E365" s="76"/>
      <c r="H365" s="51"/>
      <c r="I365" s="51"/>
      <c r="J365" s="51"/>
      <c r="K365" s="51"/>
      <c r="L365" s="51"/>
      <c r="M365" s="51"/>
    </row>
    <row r="366" spans="1:13" x14ac:dyDescent="0.25">
      <c r="A366" s="47">
        <v>45658</v>
      </c>
      <c r="B366" s="43" t="s">
        <v>0</v>
      </c>
      <c r="C366" s="48" t="s">
        <v>1</v>
      </c>
      <c r="D366" s="77"/>
      <c r="E366" s="78"/>
      <c r="F366" s="61">
        <v>344630494</v>
      </c>
      <c r="G366" s="80"/>
      <c r="H366" s="49"/>
      <c r="I366" s="51"/>
      <c r="K366" s="49"/>
      <c r="L366" s="49"/>
      <c r="M366" s="49"/>
    </row>
    <row r="367" spans="1:13" ht="13" customHeight="1" x14ac:dyDescent="0.25">
      <c r="A367" s="10">
        <v>45682</v>
      </c>
      <c r="B367" s="43" t="s">
        <v>6</v>
      </c>
      <c r="C367" s="48" t="s">
        <v>160</v>
      </c>
      <c r="D367" s="77"/>
      <c r="E367" s="61">
        <v>6424585</v>
      </c>
      <c r="G367" s="80"/>
      <c r="H367" s="51"/>
      <c r="J367" s="49"/>
      <c r="K367" s="49"/>
      <c r="L367" s="49"/>
      <c r="M367" s="49"/>
    </row>
    <row r="368" spans="1:13" ht="13" customHeight="1" x14ac:dyDescent="0.25">
      <c r="A368" s="10">
        <v>45711</v>
      </c>
      <c r="B368" s="43" t="s">
        <v>6</v>
      </c>
      <c r="C368" s="48" t="s">
        <v>160</v>
      </c>
      <c r="D368" s="77"/>
      <c r="E368" s="61">
        <v>6482138</v>
      </c>
      <c r="G368" s="80">
        <f>F366-E367</f>
        <v>338205909</v>
      </c>
      <c r="H368" s="51"/>
      <c r="J368" s="49"/>
      <c r="K368" s="49"/>
      <c r="L368" s="49"/>
      <c r="M368" s="49"/>
    </row>
    <row r="369" spans="1:13" ht="13" customHeight="1" x14ac:dyDescent="0.25">
      <c r="A369" s="10">
        <v>45741</v>
      </c>
      <c r="B369" s="43" t="s">
        <v>6</v>
      </c>
      <c r="C369" s="48" t="s">
        <v>160</v>
      </c>
      <c r="D369" s="77"/>
      <c r="E369" s="61">
        <v>6540207</v>
      </c>
      <c r="G369" s="80">
        <f>G368-E368</f>
        <v>331723771</v>
      </c>
      <c r="H369" s="51"/>
      <c r="J369" s="49"/>
      <c r="K369" s="49"/>
      <c r="L369" s="49"/>
      <c r="M369" s="49"/>
    </row>
    <row r="370" spans="1:13" ht="13" customHeight="1" x14ac:dyDescent="0.3">
      <c r="A370" s="10">
        <v>45772</v>
      </c>
      <c r="B370" s="43" t="s">
        <v>6</v>
      </c>
      <c r="C370" s="48" t="s">
        <v>160</v>
      </c>
      <c r="D370" s="77"/>
      <c r="E370" s="87">
        <v>6598797</v>
      </c>
      <c r="G370" s="80">
        <f>G369-E369</f>
        <v>325183564</v>
      </c>
      <c r="H370" s="51"/>
      <c r="J370" s="49"/>
      <c r="K370" s="49"/>
      <c r="L370" s="49"/>
      <c r="M370" s="49"/>
    </row>
    <row r="371" spans="1:13" ht="13" customHeight="1" x14ac:dyDescent="0.25">
      <c r="A371" s="47"/>
      <c r="B371" s="43" t="s">
        <v>6</v>
      </c>
      <c r="C371" s="48" t="s">
        <v>161</v>
      </c>
      <c r="D371" s="77"/>
      <c r="F371" s="88"/>
      <c r="G371" s="80">
        <f>G370-E370</f>
        <v>318584767</v>
      </c>
      <c r="H371" s="51"/>
      <c r="J371" s="49"/>
      <c r="K371" s="49"/>
      <c r="L371" s="49"/>
      <c r="M371" s="49"/>
    </row>
    <row r="372" spans="1:13" ht="13" customHeight="1" x14ac:dyDescent="0.25">
      <c r="A372" s="47"/>
      <c r="B372" s="43" t="s">
        <v>6</v>
      </c>
      <c r="C372" s="48" t="s">
        <v>160</v>
      </c>
      <c r="D372" s="77"/>
      <c r="E372" s="61"/>
      <c r="G372" s="80">
        <f t="shared" ref="G372:G378" si="20">G371-E372</f>
        <v>318584767</v>
      </c>
      <c r="H372" s="51"/>
      <c r="J372" s="49"/>
      <c r="K372" s="49"/>
      <c r="L372" s="49"/>
      <c r="M372" s="49"/>
    </row>
    <row r="373" spans="1:13" ht="13" customHeight="1" x14ac:dyDescent="0.25">
      <c r="A373" s="47"/>
      <c r="B373" s="43" t="s">
        <v>6</v>
      </c>
      <c r="C373" s="48" t="s">
        <v>160</v>
      </c>
      <c r="D373" s="77"/>
      <c r="E373" s="61"/>
      <c r="G373" s="80">
        <f t="shared" si="20"/>
        <v>318584767</v>
      </c>
      <c r="H373" s="51"/>
      <c r="J373" s="49"/>
      <c r="K373" s="49"/>
      <c r="L373" s="49"/>
      <c r="M373" s="49"/>
    </row>
    <row r="374" spans="1:13" ht="13" customHeight="1" x14ac:dyDescent="0.25">
      <c r="A374" s="47"/>
      <c r="B374" s="43" t="s">
        <v>6</v>
      </c>
      <c r="C374" s="48" t="s">
        <v>160</v>
      </c>
      <c r="D374" s="77"/>
      <c r="E374" s="61"/>
      <c r="G374" s="80">
        <f t="shared" si="20"/>
        <v>318584767</v>
      </c>
      <c r="H374" s="51"/>
      <c r="J374" s="49"/>
      <c r="K374" s="49"/>
      <c r="L374" s="49"/>
      <c r="M374" s="49"/>
    </row>
    <row r="375" spans="1:13" ht="13" customHeight="1" x14ac:dyDescent="0.25">
      <c r="A375" s="47"/>
      <c r="B375" s="43" t="s">
        <v>6</v>
      </c>
      <c r="C375" s="48" t="s">
        <v>160</v>
      </c>
      <c r="D375" s="77"/>
      <c r="E375" s="61"/>
      <c r="G375" s="80">
        <f t="shared" si="20"/>
        <v>318584767</v>
      </c>
      <c r="H375" s="51"/>
      <c r="J375" s="49"/>
      <c r="K375" s="49"/>
      <c r="L375" s="49"/>
      <c r="M375" s="49"/>
    </row>
    <row r="376" spans="1:13" ht="13" customHeight="1" x14ac:dyDescent="0.25">
      <c r="A376" s="47"/>
      <c r="B376" s="43" t="s">
        <v>6</v>
      </c>
      <c r="C376" s="48" t="s">
        <v>160</v>
      </c>
      <c r="D376" s="77"/>
      <c r="E376" s="61"/>
      <c r="G376" s="80">
        <f t="shared" si="20"/>
        <v>318584767</v>
      </c>
      <c r="H376" s="51"/>
      <c r="J376" s="49"/>
      <c r="K376" s="49"/>
      <c r="L376" s="49"/>
      <c r="M376" s="49"/>
    </row>
    <row r="377" spans="1:13" ht="26" x14ac:dyDescent="0.25">
      <c r="A377" s="47"/>
      <c r="B377" s="43" t="s">
        <v>6</v>
      </c>
      <c r="C377" s="48" t="s">
        <v>160</v>
      </c>
      <c r="G377" s="80">
        <f t="shared" si="20"/>
        <v>318584767</v>
      </c>
      <c r="H377" s="51"/>
      <c r="I377" s="51"/>
      <c r="J377" s="51"/>
      <c r="K377" s="51"/>
      <c r="L377" s="51"/>
      <c r="M377" s="51"/>
    </row>
    <row r="378" spans="1:13" ht="26" x14ac:dyDescent="0.25">
      <c r="A378" s="47"/>
      <c r="B378" s="43" t="s">
        <v>6</v>
      </c>
      <c r="C378" s="48" t="s">
        <v>160</v>
      </c>
      <c r="G378" s="80">
        <f t="shared" si="20"/>
        <v>318584767</v>
      </c>
      <c r="H378" s="51"/>
      <c r="I378" s="51"/>
      <c r="J378" s="51"/>
      <c r="K378" s="51"/>
      <c r="L378" s="51"/>
      <c r="M378" s="51"/>
    </row>
    <row r="379" spans="1:13" x14ac:dyDescent="0.25">
      <c r="A379" s="51"/>
      <c r="B379" s="50" t="s">
        <v>162</v>
      </c>
      <c r="C379" s="50"/>
      <c r="D379" s="75"/>
      <c r="E379" s="76"/>
      <c r="H379" s="51"/>
      <c r="I379" s="51"/>
      <c r="J379" s="51"/>
      <c r="K379" s="51"/>
      <c r="L379" s="51"/>
      <c r="M379" s="51"/>
    </row>
    <row r="380" spans="1:13" x14ac:dyDescent="0.25">
      <c r="A380" s="47">
        <v>45658</v>
      </c>
      <c r="B380" s="43" t="s">
        <v>0</v>
      </c>
      <c r="C380" s="48" t="s">
        <v>1</v>
      </c>
      <c r="D380" s="77"/>
      <c r="E380" s="78"/>
      <c r="F380" s="49">
        <v>0</v>
      </c>
      <c r="G380" s="80"/>
      <c r="H380" s="49"/>
      <c r="I380" s="51"/>
      <c r="K380" s="49"/>
      <c r="L380" s="49"/>
      <c r="M380" s="49"/>
    </row>
    <row r="381" spans="1:13" ht="13" customHeight="1" x14ac:dyDescent="0.25">
      <c r="A381" s="10">
        <v>45682</v>
      </c>
      <c r="B381" s="43" t="s">
        <v>6</v>
      </c>
      <c r="C381" s="48" t="s">
        <v>163</v>
      </c>
      <c r="D381" s="77"/>
      <c r="E381" s="61" t="s">
        <v>194</v>
      </c>
      <c r="G381" s="80" t="s">
        <v>194</v>
      </c>
      <c r="H381" s="51"/>
      <c r="J381" s="49"/>
      <c r="K381" s="49"/>
      <c r="L381" s="49"/>
      <c r="M381" s="49"/>
    </row>
    <row r="382" spans="1:13" ht="13" customHeight="1" x14ac:dyDescent="0.25">
      <c r="A382" s="10">
        <v>45711</v>
      </c>
      <c r="B382" s="43" t="s">
        <v>6</v>
      </c>
      <c r="C382" s="48" t="s">
        <v>163</v>
      </c>
      <c r="D382" s="77"/>
      <c r="E382" s="61" t="s">
        <v>194</v>
      </c>
      <c r="G382" s="80" t="s">
        <v>194</v>
      </c>
      <c r="H382" s="51"/>
      <c r="J382" s="49"/>
      <c r="K382" s="49"/>
      <c r="L382" s="49"/>
      <c r="M382" s="49"/>
    </row>
    <row r="383" spans="1:13" ht="13" customHeight="1" x14ac:dyDescent="0.25">
      <c r="A383" s="10">
        <v>45741</v>
      </c>
      <c r="B383" s="43" t="s">
        <v>6</v>
      </c>
      <c r="C383" s="48" t="s">
        <v>163</v>
      </c>
      <c r="D383" s="77"/>
      <c r="E383" s="61" t="s">
        <v>194</v>
      </c>
      <c r="G383" s="80" t="s">
        <v>194</v>
      </c>
      <c r="H383" s="51"/>
      <c r="J383" s="49"/>
      <c r="K383" s="49"/>
      <c r="L383" s="49"/>
      <c r="M383" s="49"/>
    </row>
    <row r="384" spans="1:13" ht="13" customHeight="1" x14ac:dyDescent="0.25">
      <c r="A384" s="10">
        <v>45772</v>
      </c>
      <c r="B384" s="43" t="s">
        <v>6</v>
      </c>
      <c r="C384" s="48" t="s">
        <v>163</v>
      </c>
      <c r="D384" s="77"/>
      <c r="E384" s="89" t="s">
        <v>194</v>
      </c>
      <c r="G384" s="80" t="s">
        <v>194</v>
      </c>
      <c r="H384" s="51"/>
      <c r="J384" s="49"/>
      <c r="K384" s="49"/>
      <c r="L384" s="49"/>
      <c r="M384" s="49"/>
    </row>
    <row r="385" spans="1:13" ht="13" customHeight="1" x14ac:dyDescent="0.25">
      <c r="A385" s="47"/>
      <c r="B385" s="43" t="s">
        <v>6</v>
      </c>
      <c r="C385" s="48" t="s">
        <v>163</v>
      </c>
      <c r="D385" s="77"/>
      <c r="E385" s="61"/>
      <c r="G385" s="80" t="s">
        <v>194</v>
      </c>
      <c r="H385" s="51"/>
      <c r="J385" s="49"/>
      <c r="K385" s="49"/>
      <c r="L385" s="49"/>
      <c r="M385" s="49"/>
    </row>
    <row r="386" spans="1:13" ht="13" customHeight="1" x14ac:dyDescent="0.25">
      <c r="A386" s="47"/>
      <c r="B386" s="43" t="s">
        <v>6</v>
      </c>
      <c r="C386" s="48" t="s">
        <v>163</v>
      </c>
      <c r="D386" s="77"/>
      <c r="E386" s="61"/>
      <c r="G386" s="80" t="s">
        <v>194</v>
      </c>
      <c r="H386" s="51"/>
      <c r="J386" s="49"/>
      <c r="K386" s="49"/>
      <c r="L386" s="49"/>
      <c r="M386" s="49"/>
    </row>
    <row r="387" spans="1:13" ht="13" customHeight="1" x14ac:dyDescent="0.25">
      <c r="A387" s="47"/>
      <c r="B387" s="43" t="s">
        <v>6</v>
      </c>
      <c r="C387" s="48" t="s">
        <v>163</v>
      </c>
      <c r="D387" s="77"/>
      <c r="E387" s="61"/>
      <c r="G387" s="80" t="s">
        <v>194</v>
      </c>
      <c r="H387" s="51"/>
      <c r="J387" s="49"/>
      <c r="K387" s="49"/>
      <c r="L387" s="49"/>
      <c r="M387" s="49"/>
    </row>
    <row r="388" spans="1:13" ht="13" customHeight="1" x14ac:dyDescent="0.25">
      <c r="A388" s="47"/>
      <c r="B388" s="43" t="s">
        <v>6</v>
      </c>
      <c r="C388" s="48" t="s">
        <v>163</v>
      </c>
      <c r="D388" s="77"/>
      <c r="E388" s="61"/>
      <c r="G388" s="80" t="s">
        <v>194</v>
      </c>
      <c r="H388" s="51"/>
      <c r="J388" s="49"/>
      <c r="K388" s="49"/>
      <c r="L388" s="49"/>
      <c r="M388" s="49"/>
    </row>
    <row r="389" spans="1:13" ht="13" customHeight="1" x14ac:dyDescent="0.25">
      <c r="A389" s="47"/>
      <c r="B389" s="43" t="s">
        <v>6</v>
      </c>
      <c r="C389" s="48" t="s">
        <v>163</v>
      </c>
      <c r="D389" s="77"/>
      <c r="E389" s="61"/>
      <c r="G389" s="80" t="s">
        <v>194</v>
      </c>
      <c r="H389" s="51"/>
      <c r="J389" s="49"/>
      <c r="K389" s="49"/>
      <c r="L389" s="49"/>
      <c r="M389" s="49"/>
    </row>
    <row r="390" spans="1:13" ht="13" customHeight="1" x14ac:dyDescent="0.25">
      <c r="A390" s="47"/>
      <c r="B390" s="43" t="s">
        <v>6</v>
      </c>
      <c r="C390" s="48" t="s">
        <v>163</v>
      </c>
      <c r="D390" s="77"/>
      <c r="E390" s="61"/>
      <c r="G390" s="80" t="s">
        <v>194</v>
      </c>
      <c r="H390" s="51"/>
      <c r="J390" s="49"/>
      <c r="K390" s="49"/>
      <c r="L390" s="49"/>
      <c r="M390" s="49"/>
    </row>
    <row r="391" spans="1:13" ht="26" x14ac:dyDescent="0.25">
      <c r="A391" s="57"/>
      <c r="B391" s="51"/>
      <c r="C391" s="48" t="s">
        <v>163</v>
      </c>
      <c r="G391" s="80" t="s">
        <v>194</v>
      </c>
      <c r="H391" s="51"/>
      <c r="I391" s="51"/>
      <c r="J391" s="51"/>
      <c r="K391" s="51"/>
      <c r="L391" s="51"/>
      <c r="M391" s="51"/>
    </row>
    <row r="392" spans="1:13" ht="26" x14ac:dyDescent="0.25">
      <c r="A392" s="57"/>
      <c r="B392" s="51"/>
      <c r="C392" s="48" t="s">
        <v>163</v>
      </c>
      <c r="G392" s="80" t="s">
        <v>194</v>
      </c>
      <c r="H392" s="51"/>
      <c r="I392" s="51"/>
      <c r="J392" s="51"/>
      <c r="K392" s="51"/>
      <c r="L392" s="51"/>
      <c r="M392" s="51"/>
    </row>
    <row r="393" spans="1:13" x14ac:dyDescent="0.25">
      <c r="A393" s="51"/>
      <c r="B393" s="50" t="s">
        <v>164</v>
      </c>
      <c r="C393" s="50"/>
      <c r="D393" s="75"/>
      <c r="E393" s="76"/>
      <c r="H393" s="51"/>
      <c r="I393" s="51"/>
      <c r="J393" s="51"/>
      <c r="K393" s="51"/>
      <c r="L393" s="51"/>
      <c r="M393" s="51"/>
    </row>
    <row r="394" spans="1:13" x14ac:dyDescent="0.25">
      <c r="A394" s="47">
        <v>45658</v>
      </c>
      <c r="B394" s="43" t="s">
        <v>0</v>
      </c>
      <c r="C394" s="48" t="s">
        <v>1</v>
      </c>
      <c r="D394" s="77"/>
      <c r="E394" s="78"/>
      <c r="F394" s="49">
        <v>88074982</v>
      </c>
      <c r="G394" s="80"/>
      <c r="H394" s="49"/>
      <c r="I394" s="51"/>
      <c r="K394" s="49"/>
      <c r="L394" s="49"/>
      <c r="M394" s="49"/>
    </row>
    <row r="395" spans="1:13" ht="13" customHeight="1" x14ac:dyDescent="0.25">
      <c r="A395" s="10">
        <v>45682</v>
      </c>
      <c r="B395" s="43" t="s">
        <v>6</v>
      </c>
      <c r="C395" s="48" t="s">
        <v>165</v>
      </c>
      <c r="D395" s="77"/>
      <c r="E395" s="73">
        <v>910122</v>
      </c>
      <c r="G395" s="80"/>
      <c r="H395" s="51"/>
      <c r="J395" s="49"/>
      <c r="K395" s="49"/>
      <c r="L395" s="49"/>
      <c r="M395" s="49"/>
    </row>
    <row r="396" spans="1:13" ht="13" customHeight="1" x14ac:dyDescent="0.25">
      <c r="A396" s="10">
        <v>45711</v>
      </c>
      <c r="B396" s="43" t="s">
        <v>6</v>
      </c>
      <c r="C396" s="48" t="s">
        <v>165</v>
      </c>
      <c r="D396" s="77"/>
      <c r="E396" s="61">
        <v>918275</v>
      </c>
      <c r="G396" s="80">
        <f>F394-E396</f>
        <v>87156707</v>
      </c>
      <c r="H396" s="51"/>
      <c r="J396" s="49"/>
      <c r="K396" s="49"/>
      <c r="L396" s="49"/>
      <c r="M396" s="49"/>
    </row>
    <row r="397" spans="1:13" ht="13" customHeight="1" x14ac:dyDescent="0.25">
      <c r="A397" s="10">
        <v>45741</v>
      </c>
      <c r="B397" s="43" t="s">
        <v>6</v>
      </c>
      <c r="C397" s="48" t="s">
        <v>165</v>
      </c>
      <c r="D397" s="77"/>
      <c r="E397" s="61">
        <v>926501</v>
      </c>
      <c r="G397" s="80">
        <f>G396-E397</f>
        <v>86230206</v>
      </c>
      <c r="H397" s="51"/>
      <c r="J397" s="49"/>
      <c r="K397" s="49"/>
      <c r="L397" s="49"/>
      <c r="M397" s="49"/>
    </row>
    <row r="398" spans="1:13" ht="13" customHeight="1" x14ac:dyDescent="0.25">
      <c r="A398" s="10">
        <v>45772</v>
      </c>
      <c r="B398" s="43" t="s">
        <v>6</v>
      </c>
      <c r="C398" s="48" t="s">
        <v>165</v>
      </c>
      <c r="D398" s="77"/>
      <c r="E398" s="61">
        <v>934801</v>
      </c>
      <c r="G398" s="80">
        <f>G397-E398</f>
        <v>85295405</v>
      </c>
      <c r="H398" s="51"/>
      <c r="J398" s="49"/>
      <c r="K398" s="49"/>
      <c r="L398" s="49"/>
      <c r="M398" s="49"/>
    </row>
    <row r="399" spans="1:13" ht="13" customHeight="1" x14ac:dyDescent="0.25">
      <c r="A399" s="47"/>
      <c r="B399" s="43" t="s">
        <v>6</v>
      </c>
      <c r="C399" s="48" t="s">
        <v>165</v>
      </c>
      <c r="D399" s="77"/>
      <c r="E399" s="61"/>
      <c r="G399" s="80">
        <f t="shared" ref="G399:G406" si="21">G398-E399</f>
        <v>85295405</v>
      </c>
      <c r="H399" s="51"/>
      <c r="J399" s="49"/>
      <c r="K399" s="49"/>
      <c r="L399" s="49"/>
      <c r="M399" s="49"/>
    </row>
    <row r="400" spans="1:13" ht="13" customHeight="1" x14ac:dyDescent="0.25">
      <c r="A400" s="47"/>
      <c r="B400" s="43" t="s">
        <v>6</v>
      </c>
      <c r="C400" s="48" t="s">
        <v>165</v>
      </c>
      <c r="D400" s="77"/>
      <c r="E400" s="61"/>
      <c r="G400" s="80">
        <f t="shared" si="21"/>
        <v>85295405</v>
      </c>
      <c r="H400" s="51"/>
      <c r="J400" s="49"/>
      <c r="K400" s="49"/>
      <c r="L400" s="49"/>
      <c r="M400" s="49"/>
    </row>
    <row r="401" spans="1:13" ht="13" customHeight="1" x14ac:dyDescent="0.25">
      <c r="A401" s="47"/>
      <c r="B401" s="43" t="s">
        <v>6</v>
      </c>
      <c r="C401" s="48" t="s">
        <v>165</v>
      </c>
      <c r="D401" s="77"/>
      <c r="E401" s="61"/>
      <c r="G401" s="80">
        <f t="shared" si="21"/>
        <v>85295405</v>
      </c>
      <c r="H401" s="51"/>
      <c r="J401" s="49"/>
      <c r="K401" s="49"/>
      <c r="L401" s="49"/>
      <c r="M401" s="49"/>
    </row>
    <row r="402" spans="1:13" ht="13" customHeight="1" x14ac:dyDescent="0.25">
      <c r="A402" s="47"/>
      <c r="B402" s="43" t="s">
        <v>6</v>
      </c>
      <c r="C402" s="48" t="s">
        <v>165</v>
      </c>
      <c r="D402" s="77"/>
      <c r="E402" s="61"/>
      <c r="G402" s="80">
        <f t="shared" si="21"/>
        <v>85295405</v>
      </c>
      <c r="H402" s="51"/>
      <c r="J402" s="49"/>
      <c r="K402" s="49"/>
      <c r="L402" s="49"/>
      <c r="M402" s="49"/>
    </row>
    <row r="403" spans="1:13" ht="13" customHeight="1" x14ac:dyDescent="0.25">
      <c r="A403" s="47"/>
      <c r="B403" s="43" t="s">
        <v>6</v>
      </c>
      <c r="C403" s="48" t="s">
        <v>165</v>
      </c>
      <c r="D403" s="77"/>
      <c r="E403" s="61"/>
      <c r="G403" s="80">
        <f t="shared" si="21"/>
        <v>85295405</v>
      </c>
      <c r="H403" s="51"/>
      <c r="J403" s="49"/>
      <c r="K403" s="49"/>
      <c r="L403" s="49"/>
      <c r="M403" s="49"/>
    </row>
    <row r="404" spans="1:13" ht="13" customHeight="1" x14ac:dyDescent="0.25">
      <c r="A404" s="47"/>
      <c r="B404" s="43" t="s">
        <v>6</v>
      </c>
      <c r="C404" s="48" t="s">
        <v>165</v>
      </c>
      <c r="D404" s="77"/>
      <c r="E404" s="61"/>
      <c r="G404" s="80">
        <f t="shared" si="21"/>
        <v>85295405</v>
      </c>
      <c r="H404" s="51"/>
      <c r="J404" s="49"/>
      <c r="K404" s="49"/>
      <c r="L404" s="49"/>
      <c r="M404" s="49"/>
    </row>
    <row r="405" spans="1:13" ht="26" x14ac:dyDescent="0.25">
      <c r="A405" s="47"/>
      <c r="B405" s="43" t="s">
        <v>6</v>
      </c>
      <c r="C405" s="48" t="s">
        <v>165</v>
      </c>
      <c r="G405" s="80">
        <f t="shared" si="21"/>
        <v>85295405</v>
      </c>
      <c r="H405" s="51"/>
      <c r="I405" s="51"/>
      <c r="J405" s="51"/>
      <c r="K405" s="51"/>
      <c r="L405" s="51"/>
      <c r="M405" s="51"/>
    </row>
    <row r="406" spans="1:13" ht="26" x14ac:dyDescent="0.25">
      <c r="A406" s="47"/>
      <c r="B406" s="43" t="s">
        <v>6</v>
      </c>
      <c r="C406" s="48" t="s">
        <v>165</v>
      </c>
      <c r="G406" s="80">
        <f t="shared" si="21"/>
        <v>85295405</v>
      </c>
      <c r="H406" s="51"/>
      <c r="I406" s="51"/>
      <c r="J406" s="51"/>
      <c r="K406" s="51"/>
      <c r="L406" s="51"/>
      <c r="M406" s="51"/>
    </row>
    <row r="407" spans="1:13" x14ac:dyDescent="0.25">
      <c r="A407" s="51"/>
      <c r="B407" s="50" t="s">
        <v>166</v>
      </c>
      <c r="C407" s="50"/>
      <c r="D407" s="75"/>
      <c r="E407" s="76"/>
      <c r="H407" s="51"/>
      <c r="I407" s="51"/>
      <c r="J407" s="51"/>
      <c r="K407" s="51"/>
      <c r="L407" s="51"/>
      <c r="M407" s="51"/>
    </row>
    <row r="408" spans="1:13" x14ac:dyDescent="0.25">
      <c r="A408" s="47">
        <v>45658</v>
      </c>
      <c r="B408" s="43" t="s">
        <v>0</v>
      </c>
      <c r="C408" s="48" t="s">
        <v>1</v>
      </c>
      <c r="D408" s="77"/>
      <c r="E408" s="78"/>
      <c r="F408" s="49">
        <v>324336935</v>
      </c>
      <c r="G408" s="80"/>
      <c r="H408" s="49"/>
      <c r="I408" s="51"/>
      <c r="K408" s="49"/>
      <c r="L408" s="49"/>
      <c r="M408" s="49"/>
    </row>
    <row r="409" spans="1:13" ht="13" customHeight="1" x14ac:dyDescent="0.25">
      <c r="A409" s="10">
        <v>45682</v>
      </c>
      <c r="B409" s="43" t="s">
        <v>6</v>
      </c>
      <c r="C409" s="48" t="s">
        <v>167</v>
      </c>
      <c r="D409" s="77"/>
      <c r="E409" s="61">
        <v>2536912</v>
      </c>
      <c r="G409" s="80">
        <f>F408-E409</f>
        <v>321800023</v>
      </c>
      <c r="H409" s="51"/>
      <c r="J409" s="49"/>
      <c r="K409" s="49"/>
      <c r="L409" s="49"/>
      <c r="M409" s="49"/>
    </row>
    <row r="410" spans="1:13" ht="13" customHeight="1" x14ac:dyDescent="0.25">
      <c r="A410" s="10">
        <v>45711</v>
      </c>
      <c r="B410" s="43" t="s">
        <v>6</v>
      </c>
      <c r="C410" s="48" t="s">
        <v>167</v>
      </c>
      <c r="D410" s="77"/>
      <c r="E410" s="61">
        <v>2560167</v>
      </c>
      <c r="G410" s="80">
        <f>G409-E410</f>
        <v>319239856</v>
      </c>
      <c r="H410" s="51"/>
      <c r="J410" s="49"/>
      <c r="K410" s="49"/>
      <c r="L410" s="49"/>
      <c r="M410" s="49"/>
    </row>
    <row r="411" spans="1:13" ht="13" customHeight="1" x14ac:dyDescent="0.25">
      <c r="A411" s="10">
        <v>45741</v>
      </c>
      <c r="B411" s="43" t="s">
        <v>6</v>
      </c>
      <c r="C411" s="48" t="s">
        <v>167</v>
      </c>
      <c r="D411" s="77"/>
      <c r="E411" s="61">
        <v>2583635</v>
      </c>
      <c r="G411" s="80">
        <f t="shared" ref="G411:G420" si="22">G410-E411</f>
        <v>316656221</v>
      </c>
      <c r="H411" s="51"/>
      <c r="J411" s="49"/>
      <c r="K411" s="49"/>
      <c r="L411" s="49"/>
      <c r="M411" s="49"/>
    </row>
    <row r="412" spans="1:13" ht="13" customHeight="1" x14ac:dyDescent="0.25">
      <c r="A412" s="10">
        <v>45772</v>
      </c>
      <c r="B412" s="43" t="s">
        <v>6</v>
      </c>
      <c r="C412" s="48" t="s">
        <v>167</v>
      </c>
      <c r="D412" s="77"/>
      <c r="E412" s="61">
        <v>2607318</v>
      </c>
      <c r="G412" s="80">
        <f t="shared" si="22"/>
        <v>314048903</v>
      </c>
      <c r="H412" s="51"/>
      <c r="J412" s="49"/>
      <c r="K412" s="49"/>
      <c r="L412" s="49"/>
      <c r="M412" s="49"/>
    </row>
    <row r="413" spans="1:13" ht="13" customHeight="1" x14ac:dyDescent="0.25">
      <c r="A413" s="47"/>
      <c r="B413" s="43" t="s">
        <v>6</v>
      </c>
      <c r="C413" s="48" t="s">
        <v>167</v>
      </c>
      <c r="D413" s="77"/>
      <c r="E413" s="61"/>
      <c r="G413" s="80">
        <f t="shared" si="22"/>
        <v>314048903</v>
      </c>
      <c r="H413" s="51"/>
      <c r="J413" s="49"/>
      <c r="K413" s="49"/>
      <c r="L413" s="49"/>
      <c r="M413" s="49"/>
    </row>
    <row r="414" spans="1:13" ht="13" customHeight="1" x14ac:dyDescent="0.25">
      <c r="A414" s="47"/>
      <c r="B414" s="43" t="s">
        <v>6</v>
      </c>
      <c r="C414" s="48" t="s">
        <v>167</v>
      </c>
      <c r="D414" s="77"/>
      <c r="E414" s="61"/>
      <c r="G414" s="80">
        <f t="shared" si="22"/>
        <v>314048903</v>
      </c>
      <c r="H414" s="51"/>
      <c r="J414" s="49"/>
      <c r="K414" s="49"/>
      <c r="L414" s="49"/>
      <c r="M414" s="49"/>
    </row>
    <row r="415" spans="1:13" ht="13" customHeight="1" x14ac:dyDescent="0.25">
      <c r="A415" s="47"/>
      <c r="B415" s="43" t="s">
        <v>6</v>
      </c>
      <c r="C415" s="48" t="s">
        <v>167</v>
      </c>
      <c r="D415" s="77"/>
      <c r="E415" s="61"/>
      <c r="G415" s="80">
        <f t="shared" si="22"/>
        <v>314048903</v>
      </c>
      <c r="H415" s="51"/>
      <c r="J415" s="49"/>
      <c r="K415" s="49"/>
      <c r="L415" s="49"/>
      <c r="M415" s="49"/>
    </row>
    <row r="416" spans="1:13" ht="13" customHeight="1" x14ac:dyDescent="0.25">
      <c r="A416" s="47"/>
      <c r="B416" s="43" t="s">
        <v>6</v>
      </c>
      <c r="C416" s="48" t="s">
        <v>167</v>
      </c>
      <c r="D416" s="77"/>
      <c r="E416" s="61"/>
      <c r="G416" s="80">
        <f t="shared" si="22"/>
        <v>314048903</v>
      </c>
      <c r="H416" s="51"/>
      <c r="J416" s="49"/>
      <c r="K416" s="49"/>
      <c r="L416" s="49"/>
      <c r="M416" s="49"/>
    </row>
    <row r="417" spans="1:13" ht="13" customHeight="1" x14ac:dyDescent="0.25">
      <c r="A417" s="47"/>
      <c r="B417" s="43" t="s">
        <v>6</v>
      </c>
      <c r="C417" s="48" t="s">
        <v>167</v>
      </c>
      <c r="D417" s="77"/>
      <c r="E417" s="61"/>
      <c r="G417" s="80">
        <f t="shared" si="22"/>
        <v>314048903</v>
      </c>
      <c r="H417" s="51"/>
      <c r="J417" s="49"/>
      <c r="K417" s="49"/>
      <c r="L417" s="49"/>
      <c r="M417" s="49"/>
    </row>
    <row r="418" spans="1:13" ht="13" customHeight="1" x14ac:dyDescent="0.25">
      <c r="A418" s="47"/>
      <c r="B418" s="43" t="s">
        <v>6</v>
      </c>
      <c r="C418" s="48" t="s">
        <v>167</v>
      </c>
      <c r="D418" s="77"/>
      <c r="E418" s="61"/>
      <c r="G418" s="80">
        <f t="shared" si="22"/>
        <v>314048903</v>
      </c>
      <c r="H418" s="51"/>
      <c r="J418" s="49"/>
      <c r="K418" s="49"/>
      <c r="L418" s="49"/>
      <c r="M418" s="49"/>
    </row>
    <row r="419" spans="1:13" ht="26" x14ac:dyDescent="0.25">
      <c r="A419" s="57"/>
      <c r="B419" s="51"/>
      <c r="C419" s="48" t="s">
        <v>167</v>
      </c>
      <c r="G419" s="80">
        <f t="shared" si="22"/>
        <v>314048903</v>
      </c>
      <c r="H419" s="51"/>
      <c r="I419" s="51"/>
      <c r="J419" s="51"/>
      <c r="K419" s="51"/>
      <c r="L419" s="51"/>
      <c r="M419" s="51"/>
    </row>
    <row r="420" spans="1:13" ht="26" x14ac:dyDescent="0.25">
      <c r="A420" s="57"/>
      <c r="B420" s="51"/>
      <c r="C420" s="48" t="s">
        <v>167</v>
      </c>
      <c r="G420" s="80">
        <f t="shared" si="22"/>
        <v>314048903</v>
      </c>
      <c r="H420" s="51"/>
      <c r="I420" s="51"/>
      <c r="J420" s="51"/>
      <c r="K420" s="51"/>
      <c r="L420" s="51"/>
      <c r="M420" s="51"/>
    </row>
    <row r="421" spans="1:13" x14ac:dyDescent="0.25">
      <c r="A421" s="51"/>
      <c r="B421" s="50" t="s">
        <v>168</v>
      </c>
      <c r="C421" s="50"/>
      <c r="D421" s="75"/>
      <c r="E421" s="76"/>
      <c r="H421" s="51"/>
      <c r="I421" s="51"/>
      <c r="J421" s="51"/>
      <c r="K421" s="51"/>
      <c r="L421" s="51"/>
      <c r="M421" s="51"/>
    </row>
    <row r="422" spans="1:13" x14ac:dyDescent="0.25">
      <c r="A422" s="47">
        <v>45658</v>
      </c>
      <c r="B422" s="43" t="s">
        <v>0</v>
      </c>
      <c r="C422" s="48" t="s">
        <v>1</v>
      </c>
      <c r="D422" s="77"/>
      <c r="E422" s="78"/>
      <c r="F422" s="49">
        <v>123942277</v>
      </c>
      <c r="G422" s="80"/>
      <c r="H422" s="49"/>
      <c r="I422" s="51"/>
      <c r="K422" s="49"/>
      <c r="L422" s="49"/>
      <c r="M422" s="49"/>
    </row>
    <row r="423" spans="1:13" ht="13" customHeight="1" x14ac:dyDescent="0.25">
      <c r="A423" s="10">
        <v>45682</v>
      </c>
      <c r="B423" s="43" t="s">
        <v>6</v>
      </c>
      <c r="C423" s="48" t="s">
        <v>169</v>
      </c>
      <c r="D423" s="77"/>
      <c r="E423" s="61">
        <v>2132377</v>
      </c>
      <c r="G423" s="80">
        <f>F422-E423</f>
        <v>121809900</v>
      </c>
      <c r="H423" s="51"/>
      <c r="J423" s="49"/>
      <c r="K423" s="49"/>
      <c r="L423" s="49"/>
      <c r="M423" s="49"/>
    </row>
    <row r="424" spans="1:13" ht="13" customHeight="1" x14ac:dyDescent="0.25">
      <c r="A424" s="10">
        <v>45711</v>
      </c>
      <c r="B424" s="43" t="s">
        <v>6</v>
      </c>
      <c r="C424" s="48" t="s">
        <v>169</v>
      </c>
      <c r="D424" s="77"/>
      <c r="E424" s="61">
        <v>2151479</v>
      </c>
      <c r="G424" s="80">
        <f>G423-E424</f>
        <v>119658421</v>
      </c>
      <c r="H424" s="51"/>
      <c r="J424" s="49"/>
      <c r="K424" s="49"/>
      <c r="L424" s="49"/>
      <c r="M424" s="49"/>
    </row>
    <row r="425" spans="1:13" ht="13" customHeight="1" x14ac:dyDescent="0.25">
      <c r="A425" s="10">
        <v>45741</v>
      </c>
      <c r="B425" s="43" t="s">
        <v>6</v>
      </c>
      <c r="C425" s="48" t="s">
        <v>169</v>
      </c>
      <c r="D425" s="77"/>
      <c r="E425" s="61">
        <v>2170753</v>
      </c>
      <c r="G425" s="80">
        <f t="shared" ref="G425:G434" si="23">G424-E425</f>
        <v>117487668</v>
      </c>
      <c r="H425" s="51"/>
      <c r="J425" s="49"/>
      <c r="K425" s="49"/>
      <c r="L425" s="49"/>
      <c r="M425" s="49"/>
    </row>
    <row r="426" spans="1:13" ht="13" customHeight="1" x14ac:dyDescent="0.25">
      <c r="A426" s="10">
        <v>45772</v>
      </c>
      <c r="B426" s="43" t="s">
        <v>6</v>
      </c>
      <c r="C426" s="48" t="s">
        <v>169</v>
      </c>
      <c r="D426" s="77"/>
      <c r="E426" s="61">
        <v>2190199</v>
      </c>
      <c r="G426" s="80">
        <f t="shared" si="23"/>
        <v>115297469</v>
      </c>
      <c r="H426" s="51"/>
      <c r="J426" s="49"/>
      <c r="K426" s="49"/>
      <c r="L426" s="49"/>
      <c r="M426" s="49"/>
    </row>
    <row r="427" spans="1:13" ht="13" customHeight="1" x14ac:dyDescent="0.25">
      <c r="A427" s="47"/>
      <c r="B427" s="43" t="s">
        <v>6</v>
      </c>
      <c r="C427" s="48" t="s">
        <v>169</v>
      </c>
      <c r="D427" s="77"/>
      <c r="E427" s="61"/>
      <c r="G427" s="80">
        <f t="shared" si="23"/>
        <v>115297469</v>
      </c>
      <c r="H427" s="51"/>
      <c r="J427" s="49"/>
      <c r="K427" s="49"/>
      <c r="L427" s="49"/>
      <c r="M427" s="49"/>
    </row>
    <row r="428" spans="1:13" ht="13" customHeight="1" x14ac:dyDescent="0.25">
      <c r="A428" s="47"/>
      <c r="B428" s="43" t="s">
        <v>6</v>
      </c>
      <c r="C428" s="48" t="s">
        <v>169</v>
      </c>
      <c r="D428" s="77"/>
      <c r="E428" s="61"/>
      <c r="G428" s="80">
        <f t="shared" si="23"/>
        <v>115297469</v>
      </c>
      <c r="H428" s="51"/>
      <c r="J428" s="49"/>
      <c r="K428" s="49"/>
      <c r="L428" s="49"/>
      <c r="M428" s="49"/>
    </row>
    <row r="429" spans="1:13" ht="13" customHeight="1" x14ac:dyDescent="0.25">
      <c r="A429" s="47"/>
      <c r="B429" s="43" t="s">
        <v>6</v>
      </c>
      <c r="C429" s="48" t="s">
        <v>169</v>
      </c>
      <c r="D429" s="77"/>
      <c r="E429" s="61"/>
      <c r="G429" s="80">
        <f t="shared" si="23"/>
        <v>115297469</v>
      </c>
      <c r="H429" s="51"/>
      <c r="J429" s="49"/>
      <c r="K429" s="49"/>
      <c r="L429" s="49"/>
      <c r="M429" s="49"/>
    </row>
    <row r="430" spans="1:13" ht="13" customHeight="1" x14ac:dyDescent="0.25">
      <c r="A430" s="47"/>
      <c r="B430" s="43" t="s">
        <v>6</v>
      </c>
      <c r="C430" s="48" t="s">
        <v>169</v>
      </c>
      <c r="D430" s="77"/>
      <c r="E430" s="61"/>
      <c r="G430" s="80">
        <f t="shared" si="23"/>
        <v>115297469</v>
      </c>
      <c r="H430" s="51"/>
      <c r="J430" s="49"/>
      <c r="K430" s="49"/>
      <c r="L430" s="49"/>
      <c r="M430" s="49"/>
    </row>
    <row r="431" spans="1:13" ht="13" customHeight="1" x14ac:dyDescent="0.25">
      <c r="A431" s="47"/>
      <c r="B431" s="43" t="s">
        <v>6</v>
      </c>
      <c r="C431" s="48" t="s">
        <v>169</v>
      </c>
      <c r="D431" s="77"/>
      <c r="E431" s="61"/>
      <c r="G431" s="80">
        <f t="shared" si="23"/>
        <v>115297469</v>
      </c>
      <c r="H431" s="51"/>
      <c r="J431" s="49"/>
      <c r="K431" s="49"/>
      <c r="L431" s="49"/>
      <c r="M431" s="49"/>
    </row>
    <row r="432" spans="1:13" ht="13" customHeight="1" x14ac:dyDescent="0.25">
      <c r="A432" s="47"/>
      <c r="B432" s="43" t="s">
        <v>6</v>
      </c>
      <c r="C432" s="48" t="s">
        <v>169</v>
      </c>
      <c r="D432" s="77"/>
      <c r="E432" s="61"/>
      <c r="G432" s="80">
        <f t="shared" si="23"/>
        <v>115297469</v>
      </c>
      <c r="H432" s="51"/>
      <c r="J432" s="49"/>
      <c r="K432" s="49"/>
      <c r="L432" s="49"/>
      <c r="M432" s="49"/>
    </row>
    <row r="433" spans="1:13" ht="26" x14ac:dyDescent="0.25">
      <c r="A433" s="47"/>
      <c r="B433" s="43" t="s">
        <v>6</v>
      </c>
      <c r="C433" s="48" t="s">
        <v>169</v>
      </c>
      <c r="G433" s="80">
        <f t="shared" si="23"/>
        <v>115297469</v>
      </c>
      <c r="H433" s="51"/>
      <c r="I433" s="51"/>
      <c r="J433" s="51"/>
      <c r="K433" s="51"/>
      <c r="L433" s="51"/>
      <c r="M433" s="51"/>
    </row>
    <row r="434" spans="1:13" ht="26" x14ac:dyDescent="0.25">
      <c r="A434" s="47"/>
      <c r="B434" s="43" t="s">
        <v>6</v>
      </c>
      <c r="C434" s="48" t="s">
        <v>169</v>
      </c>
      <c r="G434" s="80">
        <f t="shared" si="23"/>
        <v>115297469</v>
      </c>
      <c r="H434" s="51"/>
      <c r="I434" s="51"/>
      <c r="J434" s="51"/>
      <c r="K434" s="51"/>
      <c r="L434" s="51"/>
      <c r="M434" s="51"/>
    </row>
    <row r="435" spans="1:13" x14ac:dyDescent="0.25">
      <c r="A435" s="51"/>
      <c r="B435" s="50" t="s">
        <v>170</v>
      </c>
      <c r="C435" s="50"/>
      <c r="D435" s="75"/>
      <c r="E435" s="76"/>
      <c r="H435" s="51"/>
      <c r="I435" s="51"/>
      <c r="J435" s="51"/>
      <c r="K435" s="51"/>
      <c r="L435" s="51"/>
      <c r="M435" s="51"/>
    </row>
    <row r="436" spans="1:13" x14ac:dyDescent="0.25">
      <c r="A436" s="47">
        <v>45658</v>
      </c>
      <c r="B436" s="43" t="s">
        <v>0</v>
      </c>
      <c r="C436" s="48" t="s">
        <v>1</v>
      </c>
      <c r="D436" s="77"/>
      <c r="E436" s="78"/>
      <c r="F436" s="61">
        <v>350746731</v>
      </c>
      <c r="G436" s="80"/>
      <c r="H436" s="49"/>
      <c r="I436" s="51"/>
      <c r="K436" s="49"/>
      <c r="L436" s="49"/>
      <c r="M436" s="49"/>
    </row>
    <row r="437" spans="1:13" ht="13" customHeight="1" x14ac:dyDescent="0.25">
      <c r="A437" s="10">
        <v>45682</v>
      </c>
      <c r="B437" s="43" t="s">
        <v>6</v>
      </c>
      <c r="C437" s="48" t="s">
        <v>171</v>
      </c>
      <c r="D437" s="77"/>
      <c r="E437" s="61">
        <v>2294634</v>
      </c>
      <c r="G437" s="80">
        <f>F436-E437</f>
        <v>348452097</v>
      </c>
      <c r="H437" s="51"/>
      <c r="J437" s="49"/>
      <c r="K437" s="49"/>
      <c r="L437" s="49"/>
      <c r="M437" s="49"/>
    </row>
    <row r="438" spans="1:13" ht="13" customHeight="1" x14ac:dyDescent="0.25">
      <c r="A438" s="10">
        <v>45711</v>
      </c>
      <c r="B438" s="43" t="s">
        <v>6</v>
      </c>
      <c r="C438" s="48" t="s">
        <v>171</v>
      </c>
      <c r="D438" s="77"/>
      <c r="E438" s="61">
        <v>2315669</v>
      </c>
      <c r="G438" s="80">
        <f>G437-E438</f>
        <v>346136428</v>
      </c>
      <c r="H438" s="51"/>
      <c r="J438" s="49"/>
      <c r="K438" s="49"/>
      <c r="L438" s="49"/>
      <c r="M438" s="49"/>
    </row>
    <row r="439" spans="1:13" ht="13" customHeight="1" x14ac:dyDescent="0.25">
      <c r="A439" s="10">
        <v>45741</v>
      </c>
      <c r="B439" s="43" t="s">
        <v>6</v>
      </c>
      <c r="C439" s="48" t="s">
        <v>171</v>
      </c>
      <c r="D439" s="77"/>
      <c r="E439" s="61">
        <v>2336896</v>
      </c>
      <c r="G439" s="80">
        <f t="shared" ref="G439:G448" si="24">G438-E439</f>
        <v>343799532</v>
      </c>
      <c r="H439" s="51"/>
      <c r="J439" s="49"/>
      <c r="K439" s="49"/>
      <c r="L439" s="49"/>
      <c r="M439" s="49"/>
    </row>
    <row r="440" spans="1:13" ht="13" customHeight="1" x14ac:dyDescent="0.25">
      <c r="A440" s="10">
        <v>45772</v>
      </c>
      <c r="B440" s="43" t="s">
        <v>6</v>
      </c>
      <c r="C440" s="48" t="s">
        <v>171</v>
      </c>
      <c r="D440" s="77"/>
      <c r="E440" s="61">
        <v>2358317</v>
      </c>
      <c r="G440" s="80">
        <f t="shared" si="24"/>
        <v>341441215</v>
      </c>
      <c r="H440" s="51"/>
      <c r="J440" s="49"/>
      <c r="K440" s="49"/>
      <c r="L440" s="49"/>
      <c r="M440" s="49"/>
    </row>
    <row r="441" spans="1:13" ht="13" customHeight="1" x14ac:dyDescent="0.25">
      <c r="A441" s="47"/>
      <c r="B441" s="43" t="s">
        <v>6</v>
      </c>
      <c r="C441" s="48" t="s">
        <v>171</v>
      </c>
      <c r="D441" s="77"/>
      <c r="E441" s="61"/>
      <c r="G441" s="80">
        <f t="shared" si="24"/>
        <v>341441215</v>
      </c>
      <c r="H441" s="51"/>
      <c r="J441" s="49"/>
      <c r="K441" s="49"/>
      <c r="L441" s="49"/>
      <c r="M441" s="49"/>
    </row>
    <row r="442" spans="1:13" ht="13" customHeight="1" x14ac:dyDescent="0.25">
      <c r="A442" s="47"/>
      <c r="B442" s="43" t="s">
        <v>6</v>
      </c>
      <c r="C442" s="48" t="s">
        <v>171</v>
      </c>
      <c r="D442" s="77"/>
      <c r="E442" s="61"/>
      <c r="G442" s="80">
        <f t="shared" si="24"/>
        <v>341441215</v>
      </c>
      <c r="H442" s="51"/>
      <c r="J442" s="49"/>
      <c r="K442" s="49"/>
      <c r="L442" s="49"/>
      <c r="M442" s="49"/>
    </row>
    <row r="443" spans="1:13" ht="13" customHeight="1" x14ac:dyDescent="0.25">
      <c r="A443" s="47"/>
      <c r="B443" s="43" t="s">
        <v>6</v>
      </c>
      <c r="C443" s="48" t="s">
        <v>171</v>
      </c>
      <c r="D443" s="77"/>
      <c r="E443" s="61"/>
      <c r="G443" s="80">
        <f t="shared" si="24"/>
        <v>341441215</v>
      </c>
      <c r="H443" s="51"/>
      <c r="J443" s="49"/>
      <c r="K443" s="49"/>
      <c r="L443" s="49"/>
      <c r="M443" s="49"/>
    </row>
    <row r="444" spans="1:13" ht="13" customHeight="1" x14ac:dyDescent="0.25">
      <c r="A444" s="47"/>
      <c r="B444" s="43" t="s">
        <v>6</v>
      </c>
      <c r="C444" s="48" t="s">
        <v>171</v>
      </c>
      <c r="D444" s="77"/>
      <c r="E444" s="61"/>
      <c r="G444" s="80">
        <f t="shared" si="24"/>
        <v>341441215</v>
      </c>
      <c r="H444" s="51"/>
      <c r="J444" s="49"/>
      <c r="K444" s="49"/>
      <c r="L444" s="49"/>
      <c r="M444" s="49"/>
    </row>
    <row r="445" spans="1:13" ht="13" customHeight="1" x14ac:dyDescent="0.25">
      <c r="A445" s="47"/>
      <c r="B445" s="43" t="s">
        <v>6</v>
      </c>
      <c r="C445" s="48" t="s">
        <v>171</v>
      </c>
      <c r="D445" s="77"/>
      <c r="E445" s="61"/>
      <c r="G445" s="80">
        <f t="shared" si="24"/>
        <v>341441215</v>
      </c>
      <c r="H445" s="51"/>
      <c r="J445" s="49"/>
      <c r="K445" s="49"/>
      <c r="L445" s="49"/>
      <c r="M445" s="49"/>
    </row>
    <row r="446" spans="1:13" ht="13" customHeight="1" x14ac:dyDescent="0.25">
      <c r="A446" s="47"/>
      <c r="B446" s="43" t="s">
        <v>6</v>
      </c>
      <c r="C446" s="48" t="s">
        <v>171</v>
      </c>
      <c r="D446" s="77"/>
      <c r="E446" s="61"/>
      <c r="G446" s="80">
        <f t="shared" si="24"/>
        <v>341441215</v>
      </c>
      <c r="H446" s="51"/>
      <c r="J446" s="49"/>
      <c r="K446" s="49"/>
      <c r="L446" s="49"/>
      <c r="M446" s="49"/>
    </row>
    <row r="447" spans="1:13" ht="26" x14ac:dyDescent="0.25">
      <c r="A447" s="47"/>
      <c r="B447" s="43" t="s">
        <v>6</v>
      </c>
      <c r="C447" s="48" t="s">
        <v>171</v>
      </c>
      <c r="G447" s="80">
        <f t="shared" si="24"/>
        <v>341441215</v>
      </c>
      <c r="H447" s="51"/>
      <c r="I447" s="51"/>
      <c r="J447" s="51"/>
      <c r="K447" s="51"/>
      <c r="L447" s="51"/>
      <c r="M447" s="51"/>
    </row>
    <row r="448" spans="1:13" ht="26" x14ac:dyDescent="0.25">
      <c r="A448" s="47"/>
      <c r="B448" s="43" t="s">
        <v>6</v>
      </c>
      <c r="C448" s="48" t="s">
        <v>171</v>
      </c>
      <c r="G448" s="80">
        <f t="shared" si="24"/>
        <v>341441215</v>
      </c>
      <c r="H448" s="51"/>
      <c r="I448" s="51"/>
      <c r="J448" s="51"/>
      <c r="K448" s="51"/>
      <c r="L448" s="51"/>
      <c r="M448" s="51"/>
    </row>
    <row r="449" spans="1:13" x14ac:dyDescent="0.25">
      <c r="A449" s="51"/>
      <c r="B449" s="50" t="s">
        <v>172</v>
      </c>
      <c r="C449" s="50"/>
      <c r="D449" s="75"/>
      <c r="E449" s="76"/>
      <c r="H449" s="51"/>
      <c r="I449" s="51"/>
      <c r="J449" s="51"/>
      <c r="K449" s="51"/>
      <c r="L449" s="51"/>
      <c r="M449" s="51"/>
    </row>
    <row r="450" spans="1:13" x14ac:dyDescent="0.25">
      <c r="A450" s="47">
        <v>45658</v>
      </c>
      <c r="B450" s="43" t="s">
        <v>0</v>
      </c>
      <c r="C450" s="48" t="s">
        <v>1</v>
      </c>
      <c r="D450" s="77"/>
      <c r="E450" s="78"/>
      <c r="F450" s="61">
        <v>480700847</v>
      </c>
      <c r="G450" s="80"/>
      <c r="H450" s="49"/>
      <c r="I450" s="51"/>
      <c r="K450" s="49"/>
      <c r="L450" s="49"/>
      <c r="M450" s="49"/>
    </row>
    <row r="451" spans="1:13" ht="13" customHeight="1" x14ac:dyDescent="0.25">
      <c r="A451" s="10">
        <v>45682</v>
      </c>
      <c r="B451" s="43" t="s">
        <v>6</v>
      </c>
      <c r="C451" s="48" t="s">
        <v>173</v>
      </c>
      <c r="D451" s="77"/>
      <c r="E451" s="61">
        <v>2510656</v>
      </c>
      <c r="G451" s="80">
        <f>F450-E451</f>
        <v>478190191</v>
      </c>
      <c r="H451" s="51"/>
      <c r="J451" s="49"/>
      <c r="K451" s="49"/>
      <c r="L451" s="49"/>
      <c r="M451" s="49"/>
    </row>
    <row r="452" spans="1:13" ht="13" customHeight="1" x14ac:dyDescent="0.25">
      <c r="A452" s="10">
        <v>45711</v>
      </c>
      <c r="B452" s="43" t="s">
        <v>6</v>
      </c>
      <c r="C452" s="48" t="s">
        <v>173</v>
      </c>
      <c r="D452" s="77"/>
      <c r="E452" s="61">
        <v>2533147</v>
      </c>
      <c r="G452" s="80">
        <f>G451-E452</f>
        <v>475657044</v>
      </c>
      <c r="H452" s="51"/>
      <c r="J452" s="49"/>
      <c r="K452" s="49"/>
      <c r="L452" s="49"/>
      <c r="M452" s="49"/>
    </row>
    <row r="453" spans="1:13" ht="13" customHeight="1" x14ac:dyDescent="0.25">
      <c r="A453" s="10">
        <v>45741</v>
      </c>
      <c r="B453" s="43" t="s">
        <v>6</v>
      </c>
      <c r="C453" s="48" t="s">
        <v>173</v>
      </c>
      <c r="D453" s="77"/>
      <c r="E453" s="61">
        <v>2555840</v>
      </c>
      <c r="G453" s="80">
        <f t="shared" ref="G453:G454" si="25">G452-E453</f>
        <v>473101204</v>
      </c>
      <c r="H453" s="51"/>
      <c r="J453" s="49"/>
      <c r="K453" s="49"/>
      <c r="L453" s="49"/>
      <c r="M453" s="49"/>
    </row>
    <row r="454" spans="1:13" ht="13" customHeight="1" x14ac:dyDescent="0.25">
      <c r="A454" s="10">
        <v>45772</v>
      </c>
      <c r="B454" s="43" t="s">
        <v>6</v>
      </c>
      <c r="C454" s="48" t="s">
        <v>173</v>
      </c>
      <c r="D454" s="77"/>
      <c r="E454" s="61">
        <v>2578736</v>
      </c>
      <c r="G454" s="80">
        <f t="shared" si="25"/>
        <v>470522468</v>
      </c>
      <c r="H454" s="51"/>
      <c r="J454" s="49"/>
      <c r="K454" s="49"/>
      <c r="L454" s="49"/>
      <c r="M454" s="49"/>
    </row>
    <row r="455" spans="1:13" ht="13" customHeight="1" x14ac:dyDescent="0.25">
      <c r="A455" s="47"/>
      <c r="B455" s="43" t="s">
        <v>0</v>
      </c>
      <c r="C455" s="48" t="s">
        <v>174</v>
      </c>
      <c r="D455" s="49"/>
      <c r="E455" s="78"/>
      <c r="G455" s="80">
        <f>G454+D455</f>
        <v>470522468</v>
      </c>
      <c r="I455" s="51"/>
      <c r="J455" s="49"/>
      <c r="K455" s="49"/>
      <c r="L455" s="49"/>
      <c r="M455" s="49"/>
    </row>
    <row r="456" spans="1:13" ht="13" customHeight="1" x14ac:dyDescent="0.25">
      <c r="A456" s="47"/>
      <c r="B456" s="43" t="s">
        <v>6</v>
      </c>
      <c r="C456" s="48" t="s">
        <v>175</v>
      </c>
      <c r="D456" s="77"/>
      <c r="E456" s="61"/>
      <c r="G456" s="80">
        <f>G455-E456</f>
        <v>470522468</v>
      </c>
      <c r="H456" s="51"/>
      <c r="I456" s="49"/>
      <c r="J456" s="49"/>
      <c r="K456" s="49"/>
      <c r="L456" s="49"/>
      <c r="M456" s="49"/>
    </row>
    <row r="457" spans="1:13" ht="13" customHeight="1" x14ac:dyDescent="0.25">
      <c r="A457" s="47"/>
      <c r="B457" s="43" t="s">
        <v>6</v>
      </c>
      <c r="C457" s="48" t="s">
        <v>173</v>
      </c>
      <c r="D457" s="77"/>
      <c r="E457" s="61"/>
      <c r="G457" s="80">
        <f t="shared" ref="G457:G463" si="26">G456-E457</f>
        <v>470522468</v>
      </c>
      <c r="H457" s="51"/>
      <c r="I457" s="49"/>
      <c r="J457" s="49"/>
      <c r="K457" s="49"/>
      <c r="L457" s="49"/>
      <c r="M457" s="49"/>
    </row>
    <row r="458" spans="1:13" ht="13" customHeight="1" x14ac:dyDescent="0.25">
      <c r="A458" s="47"/>
      <c r="B458" s="43" t="s">
        <v>6</v>
      </c>
      <c r="C458" s="48" t="s">
        <v>173</v>
      </c>
      <c r="D458" s="77"/>
      <c r="E458" s="61"/>
      <c r="G458" s="80">
        <f t="shared" si="26"/>
        <v>470522468</v>
      </c>
      <c r="H458" s="51"/>
      <c r="I458" s="49"/>
      <c r="J458" s="49"/>
      <c r="K458" s="49"/>
      <c r="L458" s="49"/>
      <c r="M458" s="49"/>
    </row>
    <row r="459" spans="1:13" ht="13" customHeight="1" x14ac:dyDescent="0.25">
      <c r="A459" s="47"/>
      <c r="B459" s="43" t="s">
        <v>6</v>
      </c>
      <c r="C459" s="48" t="s">
        <v>173</v>
      </c>
      <c r="D459" s="77"/>
      <c r="E459" s="61"/>
      <c r="G459" s="80">
        <f t="shared" si="26"/>
        <v>470522468</v>
      </c>
      <c r="H459" s="51"/>
      <c r="I459" s="49"/>
      <c r="J459" s="49"/>
      <c r="K459" s="49"/>
      <c r="L459" s="49"/>
      <c r="M459" s="49"/>
    </row>
    <row r="460" spans="1:13" ht="13" customHeight="1" x14ac:dyDescent="0.25">
      <c r="A460" s="47"/>
      <c r="B460" s="43" t="s">
        <v>6</v>
      </c>
      <c r="C460" s="48" t="s">
        <v>173</v>
      </c>
      <c r="D460" s="77"/>
      <c r="E460" s="61"/>
      <c r="G460" s="80">
        <f t="shared" si="26"/>
        <v>470522468</v>
      </c>
      <c r="H460" s="51"/>
      <c r="I460" s="49"/>
      <c r="J460" s="49"/>
      <c r="K460" s="49"/>
      <c r="L460" s="49"/>
      <c r="M460" s="49"/>
    </row>
    <row r="461" spans="1:13" ht="13" customHeight="1" x14ac:dyDescent="0.25">
      <c r="A461" s="47"/>
      <c r="B461" s="43" t="s">
        <v>6</v>
      </c>
      <c r="C461" s="48" t="s">
        <v>173</v>
      </c>
      <c r="D461" s="77"/>
      <c r="E461" s="61"/>
      <c r="G461" s="80">
        <f t="shared" si="26"/>
        <v>470522468</v>
      </c>
      <c r="H461" s="51"/>
      <c r="J461" s="49"/>
      <c r="K461" s="49"/>
      <c r="L461" s="49"/>
      <c r="M461" s="49"/>
    </row>
    <row r="462" spans="1:13" ht="26" x14ac:dyDescent="0.25">
      <c r="A462" s="47"/>
      <c r="B462" s="51"/>
      <c r="C462" s="48" t="s">
        <v>173</v>
      </c>
      <c r="G462" s="80">
        <f t="shared" si="26"/>
        <v>470522468</v>
      </c>
      <c r="H462" s="51"/>
      <c r="I462" s="51"/>
      <c r="J462" s="51"/>
      <c r="K462" s="51"/>
      <c r="L462" s="51"/>
      <c r="M462" s="51"/>
    </row>
    <row r="463" spans="1:13" ht="26" x14ac:dyDescent="0.25">
      <c r="A463" s="47"/>
      <c r="B463" s="51"/>
      <c r="C463" s="48" t="s">
        <v>173</v>
      </c>
      <c r="G463" s="80">
        <f t="shared" si="26"/>
        <v>470522468</v>
      </c>
      <c r="H463" s="51"/>
      <c r="I463" s="51"/>
      <c r="J463" s="51"/>
      <c r="K463" s="51"/>
      <c r="L463" s="51"/>
      <c r="M463" s="51"/>
    </row>
    <row r="464" spans="1:13" x14ac:dyDescent="0.25">
      <c r="A464" s="51"/>
      <c r="B464" s="50" t="s">
        <v>176</v>
      </c>
      <c r="C464" s="50"/>
      <c r="D464" s="75"/>
      <c r="E464" s="76"/>
      <c r="H464" s="51"/>
      <c r="I464" s="51"/>
      <c r="J464" s="51"/>
      <c r="K464" s="51"/>
      <c r="L464" s="51"/>
      <c r="M464" s="51"/>
    </row>
    <row r="465" spans="1:13" x14ac:dyDescent="0.25">
      <c r="A465" s="47">
        <v>45658</v>
      </c>
      <c r="B465" s="43" t="s">
        <v>0</v>
      </c>
      <c r="C465" s="48" t="s">
        <v>1</v>
      </c>
      <c r="D465" s="77"/>
      <c r="E465" s="78"/>
      <c r="F465" s="61">
        <v>259617672</v>
      </c>
      <c r="G465" s="80"/>
      <c r="H465" s="49"/>
      <c r="I465" s="51"/>
      <c r="K465" s="49"/>
      <c r="L465" s="49"/>
      <c r="M465" s="49"/>
    </row>
    <row r="466" spans="1:13" ht="13" customHeight="1" x14ac:dyDescent="0.25">
      <c r="A466" s="10">
        <v>45682</v>
      </c>
      <c r="B466" s="43" t="s">
        <v>6</v>
      </c>
      <c r="C466" s="48" t="s">
        <v>177</v>
      </c>
      <c r="D466" s="77"/>
      <c r="E466" s="61">
        <v>1752672</v>
      </c>
      <c r="G466" s="80">
        <f>F465-E466</f>
        <v>257865000</v>
      </c>
      <c r="H466" s="51"/>
      <c r="J466" s="49"/>
      <c r="K466" s="49"/>
      <c r="L466" s="49"/>
      <c r="M466" s="49"/>
    </row>
    <row r="467" spans="1:13" ht="13" customHeight="1" x14ac:dyDescent="0.25">
      <c r="A467" s="10">
        <v>45711</v>
      </c>
      <c r="B467" s="43" t="s">
        <v>6</v>
      </c>
      <c r="C467" s="48" t="s">
        <v>177</v>
      </c>
      <c r="D467" s="77"/>
      <c r="E467" s="61">
        <v>1768736</v>
      </c>
      <c r="G467" s="80">
        <f>G466-E467</f>
        <v>256096264</v>
      </c>
      <c r="H467" s="51"/>
      <c r="J467" s="49"/>
      <c r="K467" s="49"/>
      <c r="L467" s="49"/>
      <c r="M467" s="49"/>
    </row>
    <row r="468" spans="1:13" ht="13" customHeight="1" x14ac:dyDescent="0.25">
      <c r="A468" s="10">
        <v>45741</v>
      </c>
      <c r="B468" s="43" t="s">
        <v>6</v>
      </c>
      <c r="C468" s="48" t="s">
        <v>177</v>
      </c>
      <c r="D468" s="77"/>
      <c r="E468" s="61">
        <v>1784951</v>
      </c>
      <c r="G468" s="80">
        <f t="shared" ref="G468:G477" si="27">G467-E468</f>
        <v>254311313</v>
      </c>
      <c r="H468" s="51"/>
      <c r="J468" s="49"/>
      <c r="K468" s="49"/>
      <c r="L468" s="49"/>
      <c r="M468" s="49"/>
    </row>
    <row r="469" spans="1:13" ht="13" customHeight="1" x14ac:dyDescent="0.25">
      <c r="A469" s="10">
        <v>45772</v>
      </c>
      <c r="B469" s="43" t="s">
        <v>6</v>
      </c>
      <c r="C469" s="48" t="s">
        <v>177</v>
      </c>
      <c r="D469" s="77"/>
      <c r="E469" s="61">
        <v>1801313</v>
      </c>
      <c r="G469" s="80">
        <f t="shared" si="27"/>
        <v>252510000</v>
      </c>
      <c r="H469" s="51"/>
      <c r="J469" s="49"/>
      <c r="K469" s="49"/>
      <c r="L469" s="49"/>
      <c r="M469" s="49"/>
    </row>
    <row r="470" spans="1:13" ht="13" customHeight="1" x14ac:dyDescent="0.25">
      <c r="A470" s="47"/>
      <c r="B470" s="43" t="s">
        <v>6</v>
      </c>
      <c r="C470" s="48" t="s">
        <v>177</v>
      </c>
      <c r="D470" s="77"/>
      <c r="E470" s="61"/>
      <c r="G470" s="80">
        <f t="shared" si="27"/>
        <v>252510000</v>
      </c>
      <c r="H470" s="51"/>
      <c r="J470" s="49"/>
      <c r="K470" s="49"/>
      <c r="L470" s="49"/>
      <c r="M470" s="49"/>
    </row>
    <row r="471" spans="1:13" ht="13" customHeight="1" x14ac:dyDescent="0.25">
      <c r="A471" s="47"/>
      <c r="B471" s="43" t="s">
        <v>6</v>
      </c>
      <c r="C471" s="48" t="s">
        <v>177</v>
      </c>
      <c r="D471" s="77"/>
      <c r="E471" s="61"/>
      <c r="G471" s="80">
        <f t="shared" si="27"/>
        <v>252510000</v>
      </c>
      <c r="H471" s="51"/>
      <c r="J471" s="49"/>
      <c r="K471" s="49"/>
      <c r="L471" s="49"/>
      <c r="M471" s="49"/>
    </row>
    <row r="472" spans="1:13" ht="13" customHeight="1" x14ac:dyDescent="0.25">
      <c r="A472" s="47"/>
      <c r="B472" s="43" t="s">
        <v>6</v>
      </c>
      <c r="C472" s="48" t="s">
        <v>177</v>
      </c>
      <c r="D472" s="77"/>
      <c r="E472" s="61"/>
      <c r="G472" s="80">
        <f t="shared" si="27"/>
        <v>252510000</v>
      </c>
      <c r="H472" s="51"/>
      <c r="J472" s="49"/>
      <c r="K472" s="49"/>
      <c r="L472" s="49"/>
      <c r="M472" s="49"/>
    </row>
    <row r="473" spans="1:13" ht="13" customHeight="1" x14ac:dyDescent="0.25">
      <c r="A473" s="47"/>
      <c r="B473" s="43" t="s">
        <v>6</v>
      </c>
      <c r="C473" s="48" t="s">
        <v>177</v>
      </c>
      <c r="D473" s="77"/>
      <c r="E473" s="61"/>
      <c r="G473" s="80">
        <f t="shared" si="27"/>
        <v>252510000</v>
      </c>
      <c r="H473" s="51"/>
      <c r="J473" s="49"/>
      <c r="K473" s="49"/>
      <c r="L473" s="49"/>
      <c r="M473" s="49"/>
    </row>
    <row r="474" spans="1:13" ht="13" customHeight="1" x14ac:dyDescent="0.25">
      <c r="A474" s="47"/>
      <c r="B474" s="43" t="s">
        <v>6</v>
      </c>
      <c r="C474" s="48" t="s">
        <v>177</v>
      </c>
      <c r="D474" s="77"/>
      <c r="E474" s="61"/>
      <c r="G474" s="80">
        <f t="shared" si="27"/>
        <v>252510000</v>
      </c>
      <c r="H474" s="51"/>
      <c r="J474" s="49"/>
      <c r="K474" s="49"/>
      <c r="L474" s="49"/>
      <c r="M474" s="49"/>
    </row>
    <row r="475" spans="1:13" ht="13" customHeight="1" x14ac:dyDescent="0.25">
      <c r="A475" s="47"/>
      <c r="B475" s="43" t="s">
        <v>6</v>
      </c>
      <c r="C475" s="48" t="s">
        <v>177</v>
      </c>
      <c r="D475" s="77"/>
      <c r="E475" s="61"/>
      <c r="G475" s="80">
        <f t="shared" si="27"/>
        <v>252510000</v>
      </c>
      <c r="H475" s="51"/>
      <c r="J475" s="49"/>
      <c r="K475" s="49"/>
      <c r="L475" s="49"/>
      <c r="M475" s="49"/>
    </row>
    <row r="476" spans="1:13" ht="26" x14ac:dyDescent="0.25">
      <c r="A476" s="47"/>
      <c r="B476" s="43" t="s">
        <v>6</v>
      </c>
      <c r="C476" s="48" t="s">
        <v>177</v>
      </c>
      <c r="G476" s="80">
        <f t="shared" si="27"/>
        <v>252510000</v>
      </c>
      <c r="H476" s="51"/>
      <c r="I476" s="51"/>
      <c r="J476" s="51"/>
      <c r="K476" s="51"/>
      <c r="L476" s="51"/>
      <c r="M476" s="51"/>
    </row>
    <row r="477" spans="1:13" ht="26" x14ac:dyDescent="0.25">
      <c r="A477" s="47"/>
      <c r="B477" s="43" t="s">
        <v>6</v>
      </c>
      <c r="C477" s="48" t="s">
        <v>177</v>
      </c>
      <c r="G477" s="80">
        <f t="shared" si="27"/>
        <v>252510000</v>
      </c>
      <c r="H477" s="51"/>
      <c r="I477" s="51"/>
      <c r="J477" s="51"/>
      <c r="K477" s="51"/>
      <c r="L477" s="51"/>
      <c r="M477" s="51"/>
    </row>
    <row r="478" spans="1:13" x14ac:dyDescent="0.25">
      <c r="A478" s="51"/>
      <c r="B478" s="50" t="s">
        <v>178</v>
      </c>
      <c r="C478" s="50"/>
      <c r="D478" s="75"/>
      <c r="E478" s="76"/>
      <c r="H478" s="51"/>
      <c r="I478" s="51"/>
      <c r="J478" s="51"/>
      <c r="K478" s="51"/>
      <c r="L478" s="51"/>
      <c r="M478" s="51"/>
    </row>
    <row r="479" spans="1:13" x14ac:dyDescent="0.25">
      <c r="A479" s="47">
        <v>45658</v>
      </c>
      <c r="B479" s="43" t="s">
        <v>0</v>
      </c>
      <c r="C479" s="48" t="s">
        <v>1</v>
      </c>
      <c r="D479" s="77"/>
      <c r="E479" s="78"/>
      <c r="F479" s="61">
        <v>31633339</v>
      </c>
      <c r="G479" s="80"/>
      <c r="H479" s="49"/>
      <c r="I479" s="51"/>
      <c r="K479" s="49"/>
      <c r="L479" s="49"/>
      <c r="M479" s="49"/>
    </row>
    <row r="480" spans="1:13" ht="13" customHeight="1" x14ac:dyDescent="0.25">
      <c r="A480" s="10">
        <v>45682</v>
      </c>
      <c r="B480" s="43" t="s">
        <v>6</v>
      </c>
      <c r="C480" s="48" t="s">
        <v>179</v>
      </c>
      <c r="D480" s="77"/>
      <c r="E480" s="61">
        <v>797149</v>
      </c>
      <c r="G480" s="80">
        <f>F479-E480</f>
        <v>30836190</v>
      </c>
      <c r="H480" s="51"/>
      <c r="J480" s="49"/>
      <c r="K480" s="49"/>
      <c r="L480" s="49"/>
      <c r="M480" s="49"/>
    </row>
    <row r="481" spans="1:13" ht="13" customHeight="1" x14ac:dyDescent="0.25">
      <c r="A481" s="10">
        <v>45711</v>
      </c>
      <c r="B481" s="43" t="s">
        <v>6</v>
      </c>
      <c r="C481" s="48" t="s">
        <v>179</v>
      </c>
      <c r="D481" s="77"/>
      <c r="E481" s="61">
        <v>804456</v>
      </c>
      <c r="G481" s="80">
        <f>G480-E481</f>
        <v>30031734</v>
      </c>
      <c r="H481" s="51"/>
      <c r="J481" s="49"/>
      <c r="K481" s="49"/>
      <c r="L481" s="49"/>
      <c r="M481" s="49"/>
    </row>
    <row r="482" spans="1:13" ht="13" customHeight="1" x14ac:dyDescent="0.25">
      <c r="A482" s="10">
        <v>45741</v>
      </c>
      <c r="B482" s="43" t="s">
        <v>6</v>
      </c>
      <c r="C482" s="48" t="s">
        <v>179</v>
      </c>
      <c r="D482" s="77"/>
      <c r="E482" s="61">
        <v>811830</v>
      </c>
      <c r="G482" s="80">
        <f t="shared" ref="G482:G491" si="28">G481-E482</f>
        <v>29219904</v>
      </c>
      <c r="H482" s="51"/>
      <c r="J482" s="49"/>
      <c r="K482" s="49"/>
      <c r="L482" s="49"/>
      <c r="M482" s="49"/>
    </row>
    <row r="483" spans="1:13" ht="13" customHeight="1" x14ac:dyDescent="0.25">
      <c r="A483" s="10">
        <v>45772</v>
      </c>
      <c r="B483" s="43" t="s">
        <v>6</v>
      </c>
      <c r="C483" s="48" t="s">
        <v>179</v>
      </c>
      <c r="D483" s="77"/>
      <c r="E483" s="61">
        <v>819272</v>
      </c>
      <c r="G483" s="80">
        <f t="shared" si="28"/>
        <v>28400632</v>
      </c>
      <c r="H483" s="51"/>
      <c r="J483" s="49"/>
      <c r="K483" s="49"/>
      <c r="L483" s="49"/>
      <c r="M483" s="49"/>
    </row>
    <row r="484" spans="1:13" ht="13" customHeight="1" x14ac:dyDescent="0.25">
      <c r="A484" s="47"/>
      <c r="B484" s="43" t="s">
        <v>6</v>
      </c>
      <c r="C484" s="48" t="s">
        <v>179</v>
      </c>
      <c r="D484" s="77"/>
      <c r="E484" s="61"/>
      <c r="G484" s="80">
        <f t="shared" si="28"/>
        <v>28400632</v>
      </c>
      <c r="H484" s="51"/>
      <c r="J484" s="49"/>
      <c r="K484" s="49"/>
      <c r="L484" s="49"/>
      <c r="M484" s="49"/>
    </row>
    <row r="485" spans="1:13" ht="13" customHeight="1" x14ac:dyDescent="0.25">
      <c r="A485" s="47"/>
      <c r="B485" s="43" t="s">
        <v>6</v>
      </c>
      <c r="C485" s="48" t="s">
        <v>179</v>
      </c>
      <c r="D485" s="77"/>
      <c r="E485" s="61"/>
      <c r="G485" s="80">
        <f t="shared" si="28"/>
        <v>28400632</v>
      </c>
      <c r="H485" s="51"/>
      <c r="J485" s="49"/>
      <c r="K485" s="49"/>
      <c r="L485" s="49"/>
      <c r="M485" s="49"/>
    </row>
    <row r="486" spans="1:13" ht="13" customHeight="1" x14ac:dyDescent="0.25">
      <c r="A486" s="47"/>
      <c r="B486" s="43" t="s">
        <v>6</v>
      </c>
      <c r="C486" s="48" t="s">
        <v>179</v>
      </c>
      <c r="D486" s="77"/>
      <c r="E486" s="61"/>
      <c r="G486" s="80">
        <f t="shared" si="28"/>
        <v>28400632</v>
      </c>
      <c r="H486" s="51"/>
      <c r="J486" s="49"/>
      <c r="K486" s="49"/>
      <c r="L486" s="49"/>
      <c r="M486" s="49"/>
    </row>
    <row r="487" spans="1:13" ht="13" customHeight="1" x14ac:dyDescent="0.25">
      <c r="A487" s="47"/>
      <c r="B487" s="43" t="s">
        <v>6</v>
      </c>
      <c r="C487" s="48" t="s">
        <v>179</v>
      </c>
      <c r="D487" s="77"/>
      <c r="E487" s="61"/>
      <c r="G487" s="80">
        <f t="shared" si="28"/>
        <v>28400632</v>
      </c>
      <c r="H487" s="51"/>
      <c r="J487" s="49"/>
      <c r="K487" s="49"/>
      <c r="L487" s="49"/>
      <c r="M487" s="49"/>
    </row>
    <row r="488" spans="1:13" ht="13" customHeight="1" x14ac:dyDescent="0.25">
      <c r="A488" s="47"/>
      <c r="B488" s="43" t="s">
        <v>6</v>
      </c>
      <c r="C488" s="48" t="s">
        <v>179</v>
      </c>
      <c r="D488" s="77"/>
      <c r="E488" s="61"/>
      <c r="G488" s="80">
        <f t="shared" si="28"/>
        <v>28400632</v>
      </c>
      <c r="H488" s="51"/>
      <c r="J488" s="49"/>
      <c r="K488" s="49"/>
      <c r="L488" s="49"/>
      <c r="M488" s="49"/>
    </row>
    <row r="489" spans="1:13" ht="13" customHeight="1" x14ac:dyDescent="0.25">
      <c r="A489" s="47"/>
      <c r="B489" s="43" t="s">
        <v>6</v>
      </c>
      <c r="C489" s="48" t="s">
        <v>179</v>
      </c>
      <c r="D489" s="77"/>
      <c r="E489" s="61"/>
      <c r="G489" s="80">
        <f t="shared" si="28"/>
        <v>28400632</v>
      </c>
      <c r="H489" s="51"/>
      <c r="J489" s="49"/>
      <c r="K489" s="49"/>
      <c r="L489" s="49"/>
      <c r="M489" s="49"/>
    </row>
    <row r="490" spans="1:13" ht="26" x14ac:dyDescent="0.25">
      <c r="A490" s="47"/>
      <c r="B490" s="43" t="s">
        <v>6</v>
      </c>
      <c r="C490" s="48" t="s">
        <v>179</v>
      </c>
      <c r="G490" s="80">
        <f t="shared" si="28"/>
        <v>28400632</v>
      </c>
      <c r="H490" s="51"/>
      <c r="I490" s="51"/>
      <c r="J490" s="51"/>
      <c r="K490" s="51"/>
      <c r="L490" s="51"/>
      <c r="M490" s="51"/>
    </row>
    <row r="491" spans="1:13" ht="26" x14ac:dyDescent="0.25">
      <c r="A491" s="47"/>
      <c r="B491" s="43" t="s">
        <v>6</v>
      </c>
      <c r="C491" s="48" t="s">
        <v>179</v>
      </c>
      <c r="G491" s="80">
        <f t="shared" si="28"/>
        <v>28400632</v>
      </c>
      <c r="H491" s="51"/>
      <c r="I491" s="51"/>
      <c r="J491" s="51"/>
      <c r="K491" s="51"/>
      <c r="L491" s="51"/>
      <c r="M491" s="51"/>
    </row>
    <row r="492" spans="1:13" x14ac:dyDescent="0.25">
      <c r="A492" s="51"/>
      <c r="B492" s="50" t="s">
        <v>180</v>
      </c>
      <c r="C492" s="50"/>
      <c r="D492" s="75"/>
      <c r="E492" s="76"/>
      <c r="H492" s="51"/>
      <c r="I492" s="51"/>
      <c r="J492" s="51"/>
      <c r="K492" s="51"/>
      <c r="L492" s="51"/>
      <c r="M492" s="51"/>
    </row>
    <row r="493" spans="1:13" x14ac:dyDescent="0.25">
      <c r="A493" s="47">
        <v>45658</v>
      </c>
      <c r="B493" s="43" t="s">
        <v>0</v>
      </c>
      <c r="C493" s="48" t="s">
        <v>1</v>
      </c>
      <c r="D493" s="77"/>
      <c r="E493" s="78"/>
      <c r="F493" s="61">
        <v>15573455</v>
      </c>
      <c r="G493" s="80"/>
      <c r="H493" s="49"/>
      <c r="I493" s="51"/>
      <c r="K493" s="49"/>
      <c r="L493" s="49"/>
      <c r="M493" s="49"/>
    </row>
    <row r="494" spans="1:13" ht="13" customHeight="1" x14ac:dyDescent="0.25">
      <c r="A494" s="10">
        <v>45682</v>
      </c>
      <c r="B494" s="43" t="s">
        <v>6</v>
      </c>
      <c r="C494" s="48" t="s">
        <v>181</v>
      </c>
      <c r="D494" s="77"/>
      <c r="E494" s="61">
        <v>1494179</v>
      </c>
      <c r="G494" s="80">
        <f>F493-E494</f>
        <v>14079276</v>
      </c>
      <c r="H494" s="51"/>
      <c r="J494" s="49"/>
      <c r="K494" s="49"/>
      <c r="L494" s="49"/>
      <c r="M494" s="49"/>
    </row>
    <row r="495" spans="1:13" ht="13" customHeight="1" x14ac:dyDescent="0.25">
      <c r="A495" s="10">
        <v>45711</v>
      </c>
      <c r="B495" s="43" t="s">
        <v>6</v>
      </c>
      <c r="C495" s="48" t="s">
        <v>181</v>
      </c>
      <c r="D495" s="77"/>
      <c r="E495" s="61">
        <v>1507876</v>
      </c>
      <c r="G495" s="80">
        <f>G494-E495</f>
        <v>12571400</v>
      </c>
      <c r="H495" s="51"/>
      <c r="J495" s="49"/>
      <c r="K495" s="49"/>
      <c r="L495" s="49"/>
      <c r="M495" s="49"/>
    </row>
    <row r="496" spans="1:13" ht="13" customHeight="1" x14ac:dyDescent="0.25">
      <c r="A496" s="10">
        <v>45741</v>
      </c>
      <c r="B496" s="43" t="s">
        <v>6</v>
      </c>
      <c r="C496" s="48" t="s">
        <v>181</v>
      </c>
      <c r="D496" s="77"/>
      <c r="E496" s="61">
        <v>1521698</v>
      </c>
      <c r="G496" s="80">
        <f t="shared" ref="G496:G504" si="29">G495-E496</f>
        <v>11049702</v>
      </c>
      <c r="H496" s="51"/>
      <c r="J496" s="49"/>
      <c r="K496" s="49"/>
      <c r="L496" s="49"/>
      <c r="M496" s="49"/>
    </row>
    <row r="497" spans="1:13" ht="13" customHeight="1" x14ac:dyDescent="0.25">
      <c r="A497" s="10">
        <v>45772</v>
      </c>
      <c r="B497" s="43" t="s">
        <v>6</v>
      </c>
      <c r="C497" s="48" t="s">
        <v>181</v>
      </c>
      <c r="D497" s="77"/>
      <c r="E497" s="61">
        <v>1535647</v>
      </c>
      <c r="G497" s="80">
        <f t="shared" si="29"/>
        <v>9514055</v>
      </c>
      <c r="H497" s="51"/>
      <c r="J497" s="49"/>
      <c r="K497" s="49"/>
      <c r="L497" s="49"/>
      <c r="M497" s="49"/>
    </row>
    <row r="498" spans="1:13" ht="13" customHeight="1" x14ac:dyDescent="0.25">
      <c r="A498" s="47"/>
      <c r="B498" s="43" t="s">
        <v>6</v>
      </c>
      <c r="C498" s="48" t="s">
        <v>181</v>
      </c>
      <c r="D498" s="77"/>
      <c r="E498" s="61"/>
      <c r="G498" s="80">
        <f t="shared" si="29"/>
        <v>9514055</v>
      </c>
      <c r="H498" s="51"/>
      <c r="J498" s="49"/>
      <c r="K498" s="49"/>
      <c r="L498" s="49"/>
      <c r="M498" s="49"/>
    </row>
    <row r="499" spans="1:13" ht="13" customHeight="1" x14ac:dyDescent="0.25">
      <c r="A499" s="47"/>
      <c r="B499" s="43" t="s">
        <v>6</v>
      </c>
      <c r="C499" s="48" t="s">
        <v>181</v>
      </c>
      <c r="D499" s="77"/>
      <c r="E499" s="61"/>
      <c r="G499" s="80">
        <f t="shared" si="29"/>
        <v>9514055</v>
      </c>
      <c r="H499" s="51"/>
      <c r="J499" s="49"/>
      <c r="K499" s="49"/>
      <c r="L499" s="49"/>
      <c r="M499" s="49"/>
    </row>
    <row r="500" spans="1:13" ht="13" customHeight="1" x14ac:dyDescent="0.25">
      <c r="A500" s="47"/>
      <c r="B500" s="43" t="s">
        <v>6</v>
      </c>
      <c r="C500" s="48" t="s">
        <v>181</v>
      </c>
      <c r="D500" s="77"/>
      <c r="E500" s="61"/>
      <c r="G500" s="80">
        <f t="shared" si="29"/>
        <v>9514055</v>
      </c>
      <c r="H500" s="51"/>
      <c r="J500" s="49"/>
      <c r="K500" s="49"/>
      <c r="L500" s="49"/>
      <c r="M500" s="49"/>
    </row>
    <row r="501" spans="1:13" ht="13" customHeight="1" x14ac:dyDescent="0.25">
      <c r="A501" s="47"/>
      <c r="B501" s="43" t="s">
        <v>6</v>
      </c>
      <c r="C501" s="48" t="s">
        <v>181</v>
      </c>
      <c r="D501" s="77"/>
      <c r="E501" s="61"/>
      <c r="G501" s="80">
        <f t="shared" si="29"/>
        <v>9514055</v>
      </c>
      <c r="H501" s="51"/>
      <c r="J501" s="49"/>
      <c r="K501" s="49"/>
      <c r="L501" s="49"/>
      <c r="M501" s="49"/>
    </row>
    <row r="502" spans="1:13" ht="13" customHeight="1" x14ac:dyDescent="0.25">
      <c r="A502" s="47"/>
      <c r="B502" s="43" t="s">
        <v>6</v>
      </c>
      <c r="C502" s="48" t="s">
        <v>181</v>
      </c>
      <c r="D502" s="77"/>
      <c r="E502" s="61"/>
      <c r="G502" s="80">
        <f t="shared" si="29"/>
        <v>9514055</v>
      </c>
      <c r="H502" s="51"/>
      <c r="J502" s="49"/>
      <c r="K502" s="49"/>
      <c r="L502" s="49"/>
      <c r="M502" s="49"/>
    </row>
    <row r="503" spans="1:13" ht="26" x14ac:dyDescent="0.25">
      <c r="A503" s="47"/>
      <c r="B503" s="43" t="s">
        <v>6</v>
      </c>
      <c r="C503" s="48" t="s">
        <v>181</v>
      </c>
      <c r="G503" s="80">
        <f t="shared" si="29"/>
        <v>9514055</v>
      </c>
      <c r="H503" s="51"/>
      <c r="I503" s="51"/>
      <c r="J503" s="51"/>
      <c r="K503" s="51"/>
      <c r="L503" s="51"/>
      <c r="M503" s="51"/>
    </row>
    <row r="504" spans="1:13" ht="26" x14ac:dyDescent="0.25">
      <c r="A504" s="47"/>
      <c r="B504" s="43" t="s">
        <v>6</v>
      </c>
      <c r="C504" s="48" t="s">
        <v>181</v>
      </c>
      <c r="G504" s="80">
        <f t="shared" si="29"/>
        <v>9514055</v>
      </c>
      <c r="H504" s="51"/>
      <c r="I504" s="51"/>
      <c r="J504" s="51"/>
      <c r="K504" s="51"/>
      <c r="L504" s="51"/>
      <c r="M504" s="51"/>
    </row>
    <row r="505" spans="1:13" x14ac:dyDescent="0.25">
      <c r="A505" s="51"/>
      <c r="B505" s="50" t="s">
        <v>182</v>
      </c>
      <c r="C505" s="50"/>
      <c r="D505" s="75"/>
      <c r="E505" s="76"/>
      <c r="H505" s="51"/>
      <c r="I505" s="51"/>
      <c r="J505" s="51"/>
      <c r="K505" s="51"/>
      <c r="L505" s="51"/>
      <c r="M505" s="51"/>
    </row>
    <row r="506" spans="1:13" x14ac:dyDescent="0.25">
      <c r="A506" s="47">
        <v>45658</v>
      </c>
      <c r="B506" s="43" t="s">
        <v>0</v>
      </c>
      <c r="C506" s="48" t="s">
        <v>1</v>
      </c>
      <c r="D506" s="77"/>
      <c r="E506" s="78"/>
      <c r="F506" s="61">
        <v>103709807</v>
      </c>
      <c r="G506" s="80"/>
      <c r="H506" s="49"/>
      <c r="I506" s="51"/>
      <c r="K506" s="49"/>
      <c r="L506" s="49"/>
      <c r="M506" s="49"/>
    </row>
    <row r="507" spans="1:13" ht="13" customHeight="1" x14ac:dyDescent="0.25">
      <c r="A507" s="10">
        <v>45682</v>
      </c>
      <c r="B507" s="43" t="s">
        <v>6</v>
      </c>
      <c r="C507" s="48" t="s">
        <v>183</v>
      </c>
      <c r="D507" s="77"/>
      <c r="E507" s="61">
        <v>1434218</v>
      </c>
      <c r="G507" s="80">
        <f>F506-E507</f>
        <v>102275589</v>
      </c>
      <c r="H507" s="51"/>
      <c r="J507" s="49"/>
      <c r="K507" s="49"/>
      <c r="L507" s="49"/>
      <c r="M507" s="49"/>
    </row>
    <row r="508" spans="1:13" ht="13" customHeight="1" x14ac:dyDescent="0.25">
      <c r="A508" s="10">
        <v>45711</v>
      </c>
      <c r="B508" s="43" t="s">
        <v>6</v>
      </c>
      <c r="C508" s="48" t="s">
        <v>183</v>
      </c>
      <c r="D508" s="77"/>
      <c r="E508" s="61">
        <v>1447066</v>
      </c>
      <c r="G508" s="80">
        <f>G507-E508</f>
        <v>100828523</v>
      </c>
      <c r="H508" s="51"/>
      <c r="J508" s="49"/>
      <c r="K508" s="49"/>
      <c r="L508" s="49"/>
      <c r="M508" s="49"/>
    </row>
    <row r="509" spans="1:13" ht="13" customHeight="1" x14ac:dyDescent="0.25">
      <c r="A509" s="10">
        <v>45741</v>
      </c>
      <c r="B509" s="43" t="s">
        <v>6</v>
      </c>
      <c r="C509" s="48" t="s">
        <v>183</v>
      </c>
      <c r="D509" s="77"/>
      <c r="E509" s="61">
        <v>1460029</v>
      </c>
      <c r="G509" s="80">
        <f t="shared" ref="G509:G517" si="30">G508-E509</f>
        <v>99368494</v>
      </c>
      <c r="H509" s="51"/>
      <c r="J509" s="49"/>
      <c r="K509" s="49"/>
      <c r="L509" s="49"/>
      <c r="M509" s="49"/>
    </row>
    <row r="510" spans="1:13" ht="13" customHeight="1" x14ac:dyDescent="0.25">
      <c r="A510" s="10">
        <v>45772</v>
      </c>
      <c r="B510" s="43" t="s">
        <v>6</v>
      </c>
      <c r="C510" s="48" t="s">
        <v>183</v>
      </c>
      <c r="D510" s="77"/>
      <c r="E510" s="61">
        <v>1473109</v>
      </c>
      <c r="G510" s="80">
        <f t="shared" si="30"/>
        <v>97895385</v>
      </c>
      <c r="H510" s="51"/>
      <c r="J510" s="49"/>
      <c r="K510" s="49"/>
      <c r="L510" s="49"/>
      <c r="M510" s="49"/>
    </row>
    <row r="511" spans="1:13" ht="13" customHeight="1" x14ac:dyDescent="0.25">
      <c r="A511" s="47"/>
      <c r="B511" s="43" t="s">
        <v>6</v>
      </c>
      <c r="C511" s="48" t="s">
        <v>183</v>
      </c>
      <c r="D511" s="77"/>
      <c r="E511" s="61"/>
      <c r="G511" s="80">
        <f t="shared" si="30"/>
        <v>97895385</v>
      </c>
      <c r="H511" s="51"/>
      <c r="J511" s="49"/>
      <c r="K511" s="49"/>
      <c r="L511" s="49"/>
      <c r="M511" s="49"/>
    </row>
    <row r="512" spans="1:13" ht="13" customHeight="1" x14ac:dyDescent="0.25">
      <c r="A512" s="47"/>
      <c r="B512" s="43" t="s">
        <v>6</v>
      </c>
      <c r="C512" s="48" t="s">
        <v>183</v>
      </c>
      <c r="D512" s="77"/>
      <c r="E512" s="61"/>
      <c r="G512" s="80">
        <f t="shared" si="30"/>
        <v>97895385</v>
      </c>
      <c r="H512" s="51"/>
      <c r="J512" s="49"/>
      <c r="K512" s="49"/>
      <c r="L512" s="49"/>
      <c r="M512" s="49"/>
    </row>
    <row r="513" spans="1:13" ht="13" customHeight="1" x14ac:dyDescent="0.25">
      <c r="A513" s="47"/>
      <c r="B513" s="43" t="s">
        <v>6</v>
      </c>
      <c r="C513" s="48" t="s">
        <v>183</v>
      </c>
      <c r="D513" s="77"/>
      <c r="E513" s="61"/>
      <c r="G513" s="80">
        <f t="shared" si="30"/>
        <v>97895385</v>
      </c>
      <c r="H513" s="51"/>
      <c r="J513" s="49"/>
      <c r="K513" s="49"/>
      <c r="L513" s="49"/>
      <c r="M513" s="49"/>
    </row>
    <row r="514" spans="1:13" ht="13" customHeight="1" x14ac:dyDescent="0.25">
      <c r="A514" s="47"/>
      <c r="B514" s="43" t="s">
        <v>6</v>
      </c>
      <c r="C514" s="48" t="s">
        <v>183</v>
      </c>
      <c r="D514" s="77"/>
      <c r="E514" s="61"/>
      <c r="G514" s="80">
        <f t="shared" si="30"/>
        <v>97895385</v>
      </c>
      <c r="H514" s="51"/>
      <c r="J514" s="49"/>
      <c r="K514" s="49"/>
      <c r="L514" s="49"/>
      <c r="M514" s="49"/>
    </row>
    <row r="515" spans="1:13" ht="13" customHeight="1" x14ac:dyDescent="0.25">
      <c r="A515" s="47"/>
      <c r="B515" s="43" t="s">
        <v>6</v>
      </c>
      <c r="C515" s="48" t="s">
        <v>183</v>
      </c>
      <c r="D515" s="77"/>
      <c r="E515" s="61"/>
      <c r="G515" s="80">
        <f t="shared" si="30"/>
        <v>97895385</v>
      </c>
      <c r="H515" s="51"/>
      <c r="J515" s="49"/>
      <c r="K515" s="49"/>
      <c r="L515" s="49"/>
      <c r="M515" s="49"/>
    </row>
    <row r="516" spans="1:13" ht="26" x14ac:dyDescent="0.25">
      <c r="A516" s="47"/>
      <c r="B516" s="43" t="s">
        <v>6</v>
      </c>
      <c r="C516" s="48" t="s">
        <v>183</v>
      </c>
      <c r="G516" s="80">
        <f t="shared" si="30"/>
        <v>97895385</v>
      </c>
      <c r="H516" s="51"/>
      <c r="I516" s="51"/>
      <c r="J516" s="51"/>
      <c r="K516" s="51"/>
      <c r="L516" s="51"/>
      <c r="M516" s="51"/>
    </row>
    <row r="517" spans="1:13" ht="26" x14ac:dyDescent="0.25">
      <c r="A517" s="47"/>
      <c r="B517" s="43" t="s">
        <v>6</v>
      </c>
      <c r="C517" s="48" t="s">
        <v>183</v>
      </c>
      <c r="G517" s="80">
        <f t="shared" si="30"/>
        <v>97895385</v>
      </c>
      <c r="H517" s="51"/>
      <c r="I517" s="51"/>
      <c r="J517" s="51"/>
      <c r="K517" s="51"/>
      <c r="L517" s="51"/>
      <c r="M517" s="51"/>
    </row>
    <row r="518" spans="1:13" x14ac:dyDescent="0.25">
      <c r="A518" s="51"/>
      <c r="B518" s="50" t="s">
        <v>111</v>
      </c>
      <c r="C518" s="50"/>
      <c r="D518" s="75"/>
      <c r="E518" s="76"/>
      <c r="H518" s="51"/>
      <c r="I518" s="51"/>
      <c r="J518" s="51"/>
      <c r="K518" s="51"/>
      <c r="L518" s="51"/>
      <c r="M518" s="51"/>
    </row>
    <row r="519" spans="1:13" x14ac:dyDescent="0.25">
      <c r="A519" s="47">
        <v>45658</v>
      </c>
      <c r="B519" s="43" t="s">
        <v>0</v>
      </c>
      <c r="C519" s="48" t="s">
        <v>1</v>
      </c>
      <c r="D519" s="77"/>
      <c r="E519" s="78"/>
      <c r="F519" s="61">
        <v>116035312</v>
      </c>
      <c r="G519" s="80"/>
      <c r="H519" s="49"/>
      <c r="I519" s="51"/>
      <c r="K519" s="49"/>
      <c r="L519" s="49"/>
      <c r="M519" s="49"/>
    </row>
    <row r="520" spans="1:13" ht="13" customHeight="1" x14ac:dyDescent="0.25">
      <c r="A520" s="10">
        <v>45682</v>
      </c>
      <c r="B520" s="43" t="s">
        <v>6</v>
      </c>
      <c r="C520" s="48" t="s">
        <v>184</v>
      </c>
      <c r="D520" s="77"/>
      <c r="E520" s="61">
        <v>1271330</v>
      </c>
      <c r="G520" s="80">
        <f>F519-E520</f>
        <v>114763982</v>
      </c>
      <c r="H520" s="51"/>
      <c r="J520" s="49"/>
      <c r="K520" s="49"/>
      <c r="L520" s="49"/>
      <c r="M520" s="49"/>
    </row>
    <row r="521" spans="1:13" ht="13" customHeight="1" x14ac:dyDescent="0.25">
      <c r="A521" s="10">
        <v>45711</v>
      </c>
      <c r="B521" s="43" t="s">
        <v>6</v>
      </c>
      <c r="C521" s="48" t="s">
        <v>184</v>
      </c>
      <c r="D521" s="77"/>
      <c r="E521" s="61">
        <v>1282719</v>
      </c>
      <c r="G521" s="80">
        <f>G520-E521</f>
        <v>113481263</v>
      </c>
      <c r="H521" s="51"/>
      <c r="J521" s="49"/>
      <c r="K521" s="49"/>
      <c r="L521" s="49"/>
      <c r="M521" s="49"/>
    </row>
    <row r="522" spans="1:13" ht="13" customHeight="1" x14ac:dyDescent="0.25">
      <c r="A522" s="10">
        <v>45741</v>
      </c>
      <c r="B522" s="43" t="s">
        <v>6</v>
      </c>
      <c r="C522" s="48" t="s">
        <v>184</v>
      </c>
      <c r="D522" s="77"/>
      <c r="E522" s="61">
        <v>1294210</v>
      </c>
      <c r="G522" s="80">
        <f t="shared" ref="G522:G531" si="31">G521-E522</f>
        <v>112187053</v>
      </c>
      <c r="H522" s="51"/>
      <c r="J522" s="49"/>
      <c r="K522" s="49"/>
      <c r="L522" s="49"/>
      <c r="M522" s="49"/>
    </row>
    <row r="523" spans="1:13" ht="13" customHeight="1" x14ac:dyDescent="0.25">
      <c r="A523" s="10">
        <v>45772</v>
      </c>
      <c r="B523" s="43" t="s">
        <v>6</v>
      </c>
      <c r="C523" s="48" t="s">
        <v>184</v>
      </c>
      <c r="D523" s="77"/>
      <c r="E523" s="61">
        <v>1305804</v>
      </c>
      <c r="G523" s="80">
        <f t="shared" si="31"/>
        <v>110881249</v>
      </c>
      <c r="H523" s="51"/>
      <c r="J523" s="49"/>
      <c r="K523" s="49"/>
      <c r="L523" s="49"/>
      <c r="M523" s="49"/>
    </row>
    <row r="524" spans="1:13" ht="13" customHeight="1" x14ac:dyDescent="0.25">
      <c r="A524" s="47"/>
      <c r="B524" s="43" t="s">
        <v>6</v>
      </c>
      <c r="C524" s="48" t="s">
        <v>184</v>
      </c>
      <c r="D524" s="77"/>
      <c r="E524" s="61"/>
      <c r="G524" s="80">
        <f t="shared" si="31"/>
        <v>110881249</v>
      </c>
      <c r="H524" s="51"/>
      <c r="J524" s="49"/>
      <c r="K524" s="49"/>
      <c r="L524" s="49"/>
      <c r="M524" s="49"/>
    </row>
    <row r="525" spans="1:13" ht="13" customHeight="1" x14ac:dyDescent="0.25">
      <c r="A525" s="47"/>
      <c r="B525" s="43" t="s">
        <v>6</v>
      </c>
      <c r="C525" s="48" t="s">
        <v>184</v>
      </c>
      <c r="D525" s="77"/>
      <c r="E525" s="61"/>
      <c r="G525" s="80">
        <f t="shared" si="31"/>
        <v>110881249</v>
      </c>
      <c r="H525" s="51"/>
      <c r="J525" s="49"/>
      <c r="K525" s="49"/>
      <c r="L525" s="49"/>
      <c r="M525" s="49"/>
    </row>
    <row r="526" spans="1:13" ht="13" customHeight="1" x14ac:dyDescent="0.25">
      <c r="A526" s="47"/>
      <c r="B526" s="43" t="s">
        <v>6</v>
      </c>
      <c r="C526" s="48" t="s">
        <v>184</v>
      </c>
      <c r="D526" s="77"/>
      <c r="E526" s="61"/>
      <c r="G526" s="80">
        <f t="shared" si="31"/>
        <v>110881249</v>
      </c>
      <c r="H526" s="51"/>
      <c r="J526" s="49"/>
      <c r="K526" s="49"/>
      <c r="L526" s="49"/>
      <c r="M526" s="49"/>
    </row>
    <row r="527" spans="1:13" ht="13" customHeight="1" x14ac:dyDescent="0.25">
      <c r="A527" s="47"/>
      <c r="B527" s="43" t="s">
        <v>6</v>
      </c>
      <c r="C527" s="48" t="s">
        <v>184</v>
      </c>
      <c r="D527" s="77"/>
      <c r="E527" s="61"/>
      <c r="G527" s="80">
        <f t="shared" si="31"/>
        <v>110881249</v>
      </c>
      <c r="H527" s="51"/>
      <c r="J527" s="49"/>
      <c r="K527" s="49"/>
      <c r="L527" s="49"/>
      <c r="M527" s="49"/>
    </row>
    <row r="528" spans="1:13" ht="13" customHeight="1" x14ac:dyDescent="0.25">
      <c r="A528" s="47"/>
      <c r="B528" s="43" t="s">
        <v>6</v>
      </c>
      <c r="C528" s="48" t="s">
        <v>184</v>
      </c>
      <c r="D528" s="77"/>
      <c r="E528" s="61"/>
      <c r="G528" s="80">
        <f t="shared" si="31"/>
        <v>110881249</v>
      </c>
      <c r="H528" s="51"/>
      <c r="J528" s="49"/>
      <c r="K528" s="49"/>
      <c r="L528" s="49"/>
      <c r="M528" s="49"/>
    </row>
    <row r="529" spans="1:13" ht="13" customHeight="1" x14ac:dyDescent="0.25">
      <c r="A529" s="47"/>
      <c r="B529" s="43" t="s">
        <v>6</v>
      </c>
      <c r="C529" s="48" t="s">
        <v>184</v>
      </c>
      <c r="D529" s="77"/>
      <c r="E529" s="61"/>
      <c r="G529" s="80">
        <f t="shared" si="31"/>
        <v>110881249</v>
      </c>
      <c r="H529" s="51"/>
      <c r="J529" s="49"/>
      <c r="K529" s="49"/>
      <c r="L529" s="49"/>
      <c r="M529" s="49"/>
    </row>
    <row r="530" spans="1:13" ht="26" x14ac:dyDescent="0.25">
      <c r="A530" s="47"/>
      <c r="B530" s="43" t="s">
        <v>6</v>
      </c>
      <c r="C530" s="48" t="s">
        <v>184</v>
      </c>
      <c r="G530" s="80">
        <f t="shared" si="31"/>
        <v>110881249</v>
      </c>
      <c r="H530" s="51"/>
      <c r="I530" s="51"/>
      <c r="J530" s="51"/>
      <c r="K530" s="51"/>
      <c r="L530" s="51"/>
      <c r="M530" s="51"/>
    </row>
    <row r="531" spans="1:13" ht="26" x14ac:dyDescent="0.25">
      <c r="A531" s="47"/>
      <c r="B531" s="43" t="s">
        <v>6</v>
      </c>
      <c r="C531" s="48" t="s">
        <v>184</v>
      </c>
      <c r="G531" s="80">
        <f t="shared" si="31"/>
        <v>110881249</v>
      </c>
      <c r="H531" s="51"/>
      <c r="I531" s="51"/>
      <c r="J531" s="51"/>
      <c r="K531" s="51"/>
      <c r="L531" s="51"/>
      <c r="M531" s="51"/>
    </row>
    <row r="532" spans="1:13" x14ac:dyDescent="0.25">
      <c r="A532" s="51"/>
      <c r="B532" s="50" t="s">
        <v>185</v>
      </c>
      <c r="C532" s="50"/>
      <c r="D532" s="75"/>
      <c r="E532" s="76"/>
      <c r="H532" s="51"/>
      <c r="I532" s="51"/>
      <c r="J532" s="51"/>
      <c r="K532" s="51"/>
      <c r="L532" s="51"/>
      <c r="M532" s="51"/>
    </row>
    <row r="533" spans="1:13" x14ac:dyDescent="0.25">
      <c r="A533" s="47">
        <v>45658</v>
      </c>
      <c r="B533" s="43" t="s">
        <v>0</v>
      </c>
      <c r="C533" s="48" t="s">
        <v>1</v>
      </c>
      <c r="D533" s="77"/>
      <c r="E533" s="78"/>
      <c r="F533" s="61">
        <v>235261234</v>
      </c>
      <c r="G533" s="80"/>
      <c r="H533" s="49"/>
      <c r="I533" s="51"/>
      <c r="K533" s="49"/>
      <c r="L533" s="49"/>
      <c r="M533" s="49"/>
    </row>
    <row r="534" spans="1:13" ht="13" customHeight="1" x14ac:dyDescent="0.25">
      <c r="A534" s="10">
        <v>45682</v>
      </c>
      <c r="B534" s="43" t="s">
        <v>6</v>
      </c>
      <c r="C534" s="48" t="s">
        <v>186</v>
      </c>
      <c r="D534" s="77"/>
      <c r="E534" s="61">
        <v>1300918</v>
      </c>
      <c r="G534" s="80">
        <f>F533-E534</f>
        <v>233960316</v>
      </c>
      <c r="H534" s="51"/>
      <c r="J534" s="49"/>
      <c r="K534" s="49"/>
      <c r="L534" s="49"/>
      <c r="M534" s="49"/>
    </row>
    <row r="535" spans="1:13" ht="13" customHeight="1" x14ac:dyDescent="0.25">
      <c r="A535" s="10">
        <v>45711</v>
      </c>
      <c r="B535" s="43" t="s">
        <v>6</v>
      </c>
      <c r="C535" s="48" t="s">
        <v>186</v>
      </c>
      <c r="D535" s="77"/>
      <c r="E535" s="61">
        <v>1312573</v>
      </c>
      <c r="G535" s="80">
        <f>G534-E535</f>
        <v>232647743</v>
      </c>
      <c r="H535" s="51"/>
      <c r="J535" s="49"/>
      <c r="K535" s="49"/>
      <c r="L535" s="49"/>
      <c r="M535" s="49"/>
    </row>
    <row r="536" spans="1:13" ht="13" customHeight="1" x14ac:dyDescent="0.25">
      <c r="A536" s="10">
        <v>45741</v>
      </c>
      <c r="B536" s="43" t="s">
        <v>6</v>
      </c>
      <c r="C536" s="48" t="s">
        <v>186</v>
      </c>
      <c r="D536" s="77"/>
      <c r="E536" s="61">
        <v>1324331</v>
      </c>
      <c r="G536" s="80">
        <f t="shared" ref="G536:G545" si="32">G535-E536</f>
        <v>231323412</v>
      </c>
      <c r="H536" s="51"/>
      <c r="J536" s="49"/>
      <c r="K536" s="49"/>
      <c r="L536" s="49"/>
      <c r="M536" s="49"/>
    </row>
    <row r="537" spans="1:13" ht="13" customHeight="1" x14ac:dyDescent="0.25">
      <c r="A537" s="10">
        <v>45772</v>
      </c>
      <c r="B537" s="43" t="s">
        <v>6</v>
      </c>
      <c r="C537" s="48" t="s">
        <v>186</v>
      </c>
      <c r="D537" s="77"/>
      <c r="E537" s="61">
        <v>1336195</v>
      </c>
      <c r="G537" s="80">
        <f t="shared" si="32"/>
        <v>229987217</v>
      </c>
      <c r="H537" s="51"/>
      <c r="J537" s="49"/>
      <c r="K537" s="49"/>
      <c r="L537" s="49"/>
      <c r="M537" s="49"/>
    </row>
    <row r="538" spans="1:13" ht="13" customHeight="1" x14ac:dyDescent="0.25">
      <c r="A538" s="47"/>
      <c r="B538" s="43" t="s">
        <v>6</v>
      </c>
      <c r="C538" s="48" t="s">
        <v>186</v>
      </c>
      <c r="D538" s="77"/>
      <c r="E538" s="61"/>
      <c r="G538" s="80">
        <f t="shared" si="32"/>
        <v>229987217</v>
      </c>
      <c r="H538" s="51"/>
      <c r="J538" s="49"/>
      <c r="K538" s="49"/>
      <c r="L538" s="49"/>
      <c r="M538" s="49"/>
    </row>
    <row r="539" spans="1:13" ht="13" customHeight="1" x14ac:dyDescent="0.25">
      <c r="A539" s="47"/>
      <c r="B539" s="43" t="s">
        <v>6</v>
      </c>
      <c r="C539" s="48" t="s">
        <v>186</v>
      </c>
      <c r="D539" s="77"/>
      <c r="E539" s="61"/>
      <c r="G539" s="80">
        <f t="shared" si="32"/>
        <v>229987217</v>
      </c>
      <c r="H539" s="51"/>
      <c r="J539" s="49"/>
      <c r="K539" s="49"/>
      <c r="L539" s="49"/>
      <c r="M539" s="49"/>
    </row>
    <row r="540" spans="1:13" ht="13" customHeight="1" x14ac:dyDescent="0.25">
      <c r="A540" s="47"/>
      <c r="B540" s="43" t="s">
        <v>6</v>
      </c>
      <c r="C540" s="48" t="s">
        <v>186</v>
      </c>
      <c r="D540" s="77"/>
      <c r="E540" s="61"/>
      <c r="G540" s="80">
        <f t="shared" si="32"/>
        <v>229987217</v>
      </c>
      <c r="H540" s="51"/>
      <c r="J540" s="49"/>
      <c r="K540" s="49"/>
      <c r="L540" s="49"/>
      <c r="M540" s="49"/>
    </row>
    <row r="541" spans="1:13" ht="13" customHeight="1" x14ac:dyDescent="0.25">
      <c r="A541" s="47"/>
      <c r="B541" s="43" t="s">
        <v>6</v>
      </c>
      <c r="C541" s="48" t="s">
        <v>187</v>
      </c>
      <c r="D541" s="77"/>
      <c r="E541" s="61"/>
      <c r="G541" s="80">
        <f t="shared" si="32"/>
        <v>229987217</v>
      </c>
      <c r="H541" s="51"/>
      <c r="J541" s="49"/>
      <c r="K541" s="49"/>
      <c r="L541" s="49"/>
      <c r="M541" s="49"/>
    </row>
    <row r="542" spans="1:13" ht="13" customHeight="1" x14ac:dyDescent="0.25">
      <c r="A542" s="47"/>
      <c r="B542" s="43" t="s">
        <v>6</v>
      </c>
      <c r="C542" s="48" t="s">
        <v>186</v>
      </c>
      <c r="D542" s="77"/>
      <c r="E542" s="61"/>
      <c r="G542" s="80">
        <f t="shared" si="32"/>
        <v>229987217</v>
      </c>
      <c r="H542" s="51"/>
      <c r="J542" s="49"/>
      <c r="K542" s="49"/>
      <c r="L542" s="49"/>
      <c r="M542" s="49"/>
    </row>
    <row r="543" spans="1:13" ht="13" customHeight="1" x14ac:dyDescent="0.25">
      <c r="A543" s="47"/>
      <c r="B543" s="43" t="s">
        <v>6</v>
      </c>
      <c r="C543" s="48" t="s">
        <v>186</v>
      </c>
      <c r="D543" s="77"/>
      <c r="E543" s="61"/>
      <c r="G543" s="80">
        <f t="shared" si="32"/>
        <v>229987217</v>
      </c>
      <c r="H543" s="51"/>
      <c r="J543" s="49"/>
      <c r="K543" s="49"/>
      <c r="L543" s="49"/>
      <c r="M543" s="49"/>
    </row>
    <row r="544" spans="1:13" ht="26" x14ac:dyDescent="0.25">
      <c r="A544" s="47"/>
      <c r="B544" s="43" t="s">
        <v>6</v>
      </c>
      <c r="C544" s="48" t="s">
        <v>186</v>
      </c>
      <c r="G544" s="80">
        <f t="shared" si="32"/>
        <v>229987217</v>
      </c>
      <c r="H544" s="51"/>
      <c r="I544" s="51"/>
      <c r="J544" s="51"/>
      <c r="K544" s="51"/>
      <c r="L544" s="51"/>
      <c r="M544" s="51"/>
    </row>
    <row r="545" spans="1:13" ht="26" x14ac:dyDescent="0.25">
      <c r="A545" s="47"/>
      <c r="B545" s="43" t="s">
        <v>6</v>
      </c>
      <c r="C545" s="48" t="s">
        <v>186</v>
      </c>
      <c r="G545" s="80">
        <f t="shared" si="32"/>
        <v>229987217</v>
      </c>
      <c r="H545" s="51"/>
      <c r="I545" s="51"/>
      <c r="J545" s="51"/>
      <c r="K545" s="51"/>
      <c r="L545" s="51"/>
      <c r="M545" s="51"/>
    </row>
    <row r="546" spans="1:13" ht="13" customHeight="1" x14ac:dyDescent="0.25">
      <c r="A546" s="51"/>
      <c r="B546" s="51"/>
      <c r="C546" s="44"/>
      <c r="D546" s="72"/>
      <c r="E546" s="84"/>
      <c r="F546" s="72"/>
      <c r="G546" s="72"/>
      <c r="H546" s="46"/>
      <c r="I546" s="46"/>
      <c r="J546" s="46"/>
      <c r="K546" s="46"/>
      <c r="L546" s="46"/>
      <c r="M546" s="46"/>
    </row>
    <row r="547" spans="1:13" ht="13" customHeight="1" x14ac:dyDescent="0.25">
      <c r="A547" s="51"/>
      <c r="B547" s="51"/>
      <c r="C547" s="44"/>
      <c r="D547" s="72"/>
      <c r="E547" s="84"/>
      <c r="F547" s="72"/>
      <c r="G547" s="72"/>
      <c r="H547" s="46"/>
      <c r="I547" s="46"/>
      <c r="J547" s="46"/>
      <c r="K547" s="46"/>
      <c r="L547" s="46"/>
      <c r="M547" s="46"/>
    </row>
    <row r="548" spans="1:13" ht="13" customHeight="1" x14ac:dyDescent="0.25">
      <c r="A548" s="51"/>
      <c r="B548" s="50" t="s">
        <v>195</v>
      </c>
      <c r="C548" s="50"/>
      <c r="D548" s="75"/>
      <c r="E548" s="76"/>
      <c r="H548" s="46"/>
      <c r="I548" s="46"/>
      <c r="J548" s="46"/>
      <c r="K548" s="46"/>
      <c r="L548" s="46"/>
      <c r="M548" s="46"/>
    </row>
    <row r="549" spans="1:13" ht="13" customHeight="1" x14ac:dyDescent="0.25">
      <c r="A549" s="47">
        <v>45658</v>
      </c>
      <c r="B549" s="43" t="s">
        <v>0</v>
      </c>
      <c r="C549" s="48" t="s">
        <v>1</v>
      </c>
      <c r="D549" s="77"/>
      <c r="E549" s="78"/>
      <c r="F549" s="61">
        <v>235261234</v>
      </c>
      <c r="G549" s="80"/>
      <c r="H549" s="46"/>
      <c r="I549" s="46"/>
      <c r="J549" s="46"/>
      <c r="K549" s="46"/>
      <c r="L549" s="46"/>
      <c r="M549" s="46"/>
    </row>
    <row r="550" spans="1:13" ht="13" customHeight="1" x14ac:dyDescent="0.25">
      <c r="A550" s="10">
        <v>45741</v>
      </c>
      <c r="B550" s="43" t="s">
        <v>6</v>
      </c>
      <c r="C550" s="48" t="s">
        <v>186</v>
      </c>
      <c r="D550" s="77"/>
      <c r="E550" s="61">
        <v>1324331</v>
      </c>
      <c r="G550" s="80" t="e">
        <f>#REF!-E550</f>
        <v>#REF!</v>
      </c>
      <c r="H550" s="46"/>
      <c r="I550" s="46"/>
      <c r="J550" s="46"/>
      <c r="K550" s="46"/>
      <c r="L550" s="46"/>
      <c r="M550" s="46"/>
    </row>
    <row r="551" spans="1:13" ht="13" customHeight="1" x14ac:dyDescent="0.25">
      <c r="A551" s="10">
        <v>45772</v>
      </c>
      <c r="B551" s="43" t="s">
        <v>6</v>
      </c>
      <c r="C551" s="48" t="s">
        <v>186</v>
      </c>
      <c r="D551" s="77"/>
      <c r="E551" s="61">
        <v>1336195</v>
      </c>
      <c r="G551" s="80" t="e">
        <f t="shared" ref="G551" si="33">G550-E551</f>
        <v>#REF!</v>
      </c>
      <c r="H551" s="46"/>
      <c r="I551" s="46"/>
      <c r="J551" s="46"/>
      <c r="K551" s="46"/>
      <c r="L551" s="46"/>
      <c r="M551" s="46"/>
    </row>
    <row r="552" spans="1:13" ht="13" customHeight="1" x14ac:dyDescent="0.25">
      <c r="A552" s="51"/>
      <c r="B552" s="51"/>
      <c r="C552" s="44"/>
      <c r="D552" s="72"/>
      <c r="E552" s="84"/>
      <c r="F552" s="72"/>
      <c r="G552" s="72"/>
      <c r="H552" s="46"/>
      <c r="I552" s="46"/>
      <c r="J552" s="46"/>
      <c r="K552" s="46"/>
      <c r="L552" s="46"/>
      <c r="M552" s="46"/>
    </row>
    <row r="553" spans="1:13" ht="13" customHeight="1" x14ac:dyDescent="0.25">
      <c r="A553" s="51"/>
      <c r="B553" s="51"/>
      <c r="C553" s="44"/>
      <c r="D553" s="72"/>
      <c r="E553" s="84"/>
      <c r="F553" s="72"/>
      <c r="G553" s="72"/>
      <c r="H553" s="46"/>
      <c r="I553" s="46"/>
      <c r="J553" s="46"/>
      <c r="K553" s="46"/>
      <c r="L553" s="46"/>
      <c r="M553" s="46"/>
    </row>
    <row r="554" spans="1:13" ht="13" customHeight="1" x14ac:dyDescent="0.25">
      <c r="A554" s="51"/>
      <c r="B554" s="51"/>
      <c r="C554" s="44"/>
      <c r="D554" s="72"/>
      <c r="E554" s="84"/>
      <c r="F554" s="72"/>
      <c r="G554" s="72"/>
      <c r="H554" s="46"/>
      <c r="I554" s="46"/>
      <c r="J554" s="46"/>
      <c r="K554" s="46"/>
      <c r="L554" s="46"/>
      <c r="M554" s="46"/>
    </row>
    <row r="555" spans="1:13" ht="13" customHeight="1" x14ac:dyDescent="0.25">
      <c r="A555" s="51"/>
      <c r="B555" s="51"/>
      <c r="C555" s="44"/>
      <c r="D555" s="72"/>
      <c r="E555" s="84"/>
      <c r="F555" s="72"/>
      <c r="G555" s="72"/>
      <c r="H555" s="46"/>
      <c r="I555" s="46"/>
      <c r="J555" s="46"/>
      <c r="K555" s="46"/>
      <c r="L555" s="46"/>
      <c r="M555" s="46"/>
    </row>
    <row r="556" spans="1:13" x14ac:dyDescent="0.25">
      <c r="A556" s="51"/>
      <c r="B556" s="51"/>
      <c r="C556" s="51"/>
      <c r="D556" s="73">
        <f t="shared" ref="D556" si="34">SUM(D8:D546)</f>
        <v>0</v>
      </c>
      <c r="E556" s="73">
        <f>SUM(E8:E546)</f>
        <v>379811489</v>
      </c>
      <c r="F556" s="73">
        <f>SUM(F8:F546)</f>
        <v>6552556961</v>
      </c>
      <c r="H556" s="51"/>
      <c r="I556" s="51"/>
      <c r="J556" s="51"/>
      <c r="K556" s="51"/>
      <c r="L556" s="51"/>
      <c r="M556" s="51"/>
    </row>
    <row r="557" spans="1:13" x14ac:dyDescent="0.25">
      <c r="A557" s="51"/>
      <c r="B557" s="51"/>
      <c r="C557" s="51"/>
      <c r="D557" s="72"/>
      <c r="E557" s="84"/>
      <c r="F557" s="90"/>
      <c r="G557" s="72"/>
      <c r="H557" s="46"/>
      <c r="I557" s="46"/>
      <c r="J557" s="46"/>
      <c r="K557" s="46"/>
      <c r="L557" s="46"/>
      <c r="M557" s="46"/>
    </row>
  </sheetData>
  <mergeCells count="1">
    <mergeCell ref="A61:F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REKAP PIUTANG BANK</vt:lpstr>
      <vt:lpstr>Sheet1</vt:lpstr>
      <vt:lpstr>Sheet3</vt:lpstr>
      <vt:lpstr>Piutang Bank Mandiri -24</vt:lpstr>
      <vt:lpstr>Piutang Bank BSI-24</vt:lpstr>
      <vt:lpstr>Piutang Bank Mandiri -25</vt:lpstr>
      <vt:lpstr>Piutang Bank BSI - 25</vt:lpstr>
      <vt:lpstr>'REKAP PIUTANG BANK'!Print_Area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BUKU BESAR</dc:title>
  <dc:creator>Crystal Decisions</dc:creator>
  <dc:description>Powered by Crystal</dc:description>
  <cp:lastModifiedBy>Shaida tun</cp:lastModifiedBy>
  <cp:lastPrinted>2026-02-05T04:02:11Z</cp:lastPrinted>
  <dcterms:created xsi:type="dcterms:W3CDTF">2025-02-19T07:59:42Z</dcterms:created>
  <dcterms:modified xsi:type="dcterms:W3CDTF">2026-02-05T04:03:28Z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01734361CD07C3C85B968AA4B2781C480C5E84517533FB2EE1174F74E95997FC9503DC872D15E7FE07B95AE100ED7F409BC84484925E18B3AFB81B88C0217F616F88CC76CDF1929560E49CA94C2E961E987839F6AD938D374A7BD01D61022A66982130267459251FC41D84323CED5EF2B84E8E7D788DA625AE1944757A2B56A</vt:lpwstr>
  </property>
  <property fmtid="{D5CDD505-2E9C-101B-9397-08002B2CF9AE}" pid="3" name="Business Objects Context Information1">
    <vt:lpwstr>2443841941A6B75384BFA58E5E4CCBE92D55D1136D7FC3CE78E9BDD79C3AA494A821B373E2683F038FA0A3334A4D89E287A75D9F71EE037AB084C5A29CC6A21748B3C4A6DD1B94649DD6758D3D4D84A2FE70A01DA9358317E32A06AF0B7559AADF357B1AD979038BC3957B417929E6D363CBA8F8A5B0869883AEABFC61BC8A3</vt:lpwstr>
  </property>
  <property fmtid="{D5CDD505-2E9C-101B-9397-08002B2CF9AE}" pid="4" name="Business Objects Context Information2">
    <vt:lpwstr>ED66031237C51A950D8E607DE4813AEECF5E58DBEA210D68C3500F8A13552D9DFAFCE9AA15AB5A9A3B2836C4008367DE6B3C8FDFB6BFFAC3A1CDF823CE75B5AC73192130E4D7810B7FBB80BA30BBFDE53A96F69CD28616D5084CA303C228A6EBB1EFEF62BB53C149528D0F07D2A976D82A83C9F3D375E711120F05DD1CB0AD2</vt:lpwstr>
  </property>
  <property fmtid="{D5CDD505-2E9C-101B-9397-08002B2CF9AE}" pid="5" name="Business Objects Context Information3">
    <vt:lpwstr>90176DA256D33147C455021EB80221E6AD1D3721BD0AD8621A4DF9BC9C526B550F077E13C6708CC5E1C552273D65A212DFDB11E9EA7ECC6513A40D77F44A019AD75043CF1E2894DBD5D3834916660AC1E15E44AA49684DC8A16F36657CB1B4CF7D1359E9B37E50F303EAD2124FAA6C4F96AED9907D8347E436EE9EB66180BFB</vt:lpwstr>
  </property>
  <property fmtid="{D5CDD505-2E9C-101B-9397-08002B2CF9AE}" pid="6" name="Business Objects Context Information4">
    <vt:lpwstr>6CFF1D597B9740B8F2237E95C753DF8C6DAE8DBF95BC3F5C1737E4D15DACD0DA5E1E06BFBF84A08F0CF94D0604342E54078DC3A8465B1C0CAF762583E457C86B5CBC88BE21DB4954A86767C35D7EAE8B861B2511155B02A01FCC2521E1AE3122FEC41CDAA310B36C49F6D3C621CA572006795AFA31A70DC8EAFB231012F2854</vt:lpwstr>
  </property>
  <property fmtid="{D5CDD505-2E9C-101B-9397-08002B2CF9AE}" pid="7" name="Business Objects Context Information5">
    <vt:lpwstr>20CB9CD4522B458BF0233288D03B7071910D3A908A2FE310302D85FE0994257D01BCF25DDB4EB2A114BF674E945A4399944D6CB9D64A2106F693DB16C6B536D8D37F850AA8B0FA18170ED3DA8A51712C428EB3174142D8C8E9CA931722F1E0EF7E9F95AD7718C7ABACE1560212987A61AB65EA31A6C9E4DC16704731B4D15A0</vt:lpwstr>
  </property>
  <property fmtid="{D5CDD505-2E9C-101B-9397-08002B2CF9AE}" pid="8" name="Business Objects Context Information6">
    <vt:lpwstr>AA367F8F9A42D28FE36E698DA779272FAAD3A343</vt:lpwstr>
  </property>
</Properties>
</file>