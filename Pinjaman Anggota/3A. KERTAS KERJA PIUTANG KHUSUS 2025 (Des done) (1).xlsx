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DARH\Desktop\2025 - SHAIDATUN ROHMAH\2025 - SHAIDATUN ROHMAH\C. KERTAS KERJA 2025\"/>
    </mc:Choice>
  </mc:AlternateContent>
  <xr:revisionPtr revIDLastSave="0" documentId="13_ncr:1_{6D9C0199-732F-4BF9-8B77-7EB707213CA5}" xr6:coauthVersionLast="47" xr6:coauthVersionMax="47" xr10:uidLastSave="{00000000-0000-0000-0000-000000000000}"/>
  <bookViews>
    <workbookView xWindow="-110" yWindow="-110" windowWidth="19420" windowHeight="10300" tabRatio="926" xr2:uid="{EC3F90DA-1A3A-4B91-AC9B-178C671126F0}"/>
  </bookViews>
  <sheets>
    <sheet name="PIUTANG KHUSUS" sheetId="1" r:id="rId1"/>
    <sheet name="Sheet1" sheetId="8" r:id="rId2"/>
    <sheet name="Desember" sheetId="5" state="hidden" r:id="rId3"/>
    <sheet name="November" sheetId="4" state="hidden" r:id="rId4"/>
    <sheet name="Oktober" sheetId="3" state="hidden" r:id="rId5"/>
  </sheets>
  <externalReferences>
    <externalReference r:id="rId6"/>
  </externalReferences>
  <definedNames>
    <definedName name="_xlnm._FilterDatabase" localSheetId="2" hidden="1">Desember!$A$3:$B$46</definedName>
    <definedName name="_xlnm._FilterDatabase" localSheetId="3" hidden="1">November!$A$2:$B$47</definedName>
    <definedName name="_xlnm._FilterDatabase" localSheetId="0" hidden="1">'PIUTANG KHUSUS'!$BA$3:$BB$3</definedName>
    <definedName name="_xlnm.Print_Area" localSheetId="0">'PIUTANG KHUSUS'!$A$1:$BE$167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64" i="1" l="1"/>
  <c r="BB165" i="1"/>
  <c r="BB167" i="1" s="1"/>
  <c r="BA167" i="1"/>
  <c r="BB145" i="1"/>
  <c r="BB151" i="1" l="1"/>
  <c r="BB149" i="1"/>
  <c r="BB148" i="1"/>
  <c r="BB146" i="1"/>
  <c r="BB139" i="1"/>
  <c r="BB138" i="1"/>
  <c r="BB130" i="1"/>
  <c r="BB131" i="1"/>
  <c r="BB129" i="1"/>
  <c r="BB120" i="1"/>
  <c r="BB112" i="1"/>
  <c r="BB111" i="1"/>
  <c r="BB107" i="1"/>
  <c r="BB102" i="1"/>
  <c r="BB96" i="1"/>
  <c r="BB95" i="1"/>
  <c r="BB89" i="1"/>
  <c r="BB76" i="1"/>
  <c r="BB71" i="1"/>
  <c r="BB67" i="1"/>
  <c r="BB60" i="1"/>
  <c r="BB59" i="1"/>
  <c r="BB53" i="1"/>
  <c r="BB51" i="1"/>
  <c r="BB46" i="1"/>
  <c r="BB43" i="1"/>
  <c r="BB35" i="1"/>
  <c r="BB33" i="1"/>
  <c r="BB31" i="1"/>
  <c r="BB27" i="1"/>
  <c r="BB24" i="1"/>
  <c r="BB17" i="1"/>
  <c r="BB15" i="1"/>
  <c r="BA165" i="1" l="1"/>
  <c r="BC165" i="1"/>
  <c r="BC164" i="1"/>
  <c r="BD164" i="1"/>
  <c r="BD16" i="1"/>
  <c r="BD17" i="1"/>
  <c r="BD18" i="1"/>
  <c r="BD19" i="1"/>
  <c r="BD20" i="1"/>
  <c r="BD21" i="1"/>
  <c r="BD22" i="1"/>
  <c r="BD24" i="1"/>
  <c r="BD25" i="1"/>
  <c r="BD26" i="1"/>
  <c r="BD27" i="1"/>
  <c r="BD28" i="1"/>
  <c r="BD29" i="1"/>
  <c r="BD30" i="1"/>
  <c r="BD31" i="1"/>
  <c r="BD32" i="1"/>
  <c r="BD34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1" i="1"/>
  <c r="BD142" i="1"/>
  <c r="BD143" i="1"/>
  <c r="BD144" i="1"/>
  <c r="BD147" i="1"/>
  <c r="BD148" i="1"/>
  <c r="BD149" i="1"/>
  <c r="BD150" i="1"/>
  <c r="BD151" i="1"/>
  <c r="BD153" i="1"/>
  <c r="BD154" i="1"/>
  <c r="BD155" i="1"/>
  <c r="BD156" i="1"/>
  <c r="BD157" i="1"/>
  <c r="BD158" i="1"/>
  <c r="BD159" i="1"/>
  <c r="BD160" i="1"/>
  <c r="BD161" i="1"/>
  <c r="BD162" i="1"/>
  <c r="BD163" i="1"/>
  <c r="BD15" i="1"/>
  <c r="BC17" i="1"/>
  <c r="BC16" i="1"/>
  <c r="BC18" i="1"/>
  <c r="BC19" i="1"/>
  <c r="BC20" i="1"/>
  <c r="BC21" i="1"/>
  <c r="BC22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5" i="1"/>
  <c r="AZ145" i="1"/>
  <c r="AZ165" i="1" s="1"/>
  <c r="AY165" i="1" l="1"/>
  <c r="AY167" i="1" s="1"/>
  <c r="AZ167" i="1"/>
  <c r="G31" i="8" l="1"/>
  <c r="G32" i="8"/>
  <c r="G33" i="8"/>
  <c r="G34" i="8"/>
  <c r="G35" i="8"/>
  <c r="G36" i="8"/>
  <c r="G37" i="8"/>
  <c r="G38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4" i="8"/>
  <c r="AW165" i="1"/>
  <c r="AW167" i="1" s="1"/>
  <c r="AX165" i="1" l="1"/>
  <c r="AX167" i="1" s="1"/>
  <c r="BE157" i="1"/>
  <c r="BE158" i="1"/>
  <c r="BE159" i="1"/>
  <c r="BE160" i="1"/>
  <c r="BE161" i="1"/>
  <c r="BE162" i="1"/>
  <c r="BE163" i="1"/>
  <c r="AV33" i="1"/>
  <c r="BD33" i="1" s="1"/>
  <c r="AV152" i="1"/>
  <c r="BD152" i="1" s="1"/>
  <c r="AV165" i="1" l="1"/>
  <c r="AV167" i="1" l="1"/>
  <c r="AU23" i="1"/>
  <c r="BC23" i="1" s="1"/>
  <c r="BD6" i="1"/>
  <c r="BD7" i="1"/>
  <c r="BD8" i="1"/>
  <c r="BD9" i="1"/>
  <c r="BD10" i="1"/>
  <c r="BD11" i="1"/>
  <c r="BD12" i="1"/>
  <c r="BD13" i="1"/>
  <c r="BD14" i="1"/>
  <c r="BD5" i="1"/>
  <c r="BC9" i="1"/>
  <c r="BC10" i="1"/>
  <c r="BC11" i="1"/>
  <c r="BC12" i="1"/>
  <c r="BC13" i="1"/>
  <c r="BC14" i="1"/>
  <c r="BC5" i="1"/>
  <c r="BC6" i="1"/>
  <c r="BC7" i="1"/>
  <c r="BC8" i="1"/>
  <c r="AU165" i="1" l="1"/>
  <c r="AU167" i="1" s="1"/>
  <c r="AT23" i="1" l="1"/>
  <c r="BD23" i="1" s="1"/>
  <c r="BC167" i="1" l="1"/>
  <c r="AT35" i="1"/>
  <c r="BD35" i="1" s="1"/>
  <c r="AT107" i="1"/>
  <c r="BD107" i="1" s="1"/>
  <c r="AT146" i="1"/>
  <c r="BD146" i="1" s="1"/>
  <c r="AT145" i="1" l="1"/>
  <c r="AT165" i="1" s="1"/>
  <c r="AS165" i="1" l="1"/>
  <c r="AS167" i="1" s="1"/>
  <c r="AT167" i="1"/>
  <c r="AQ165" i="1" l="1"/>
  <c r="AQ167" i="1" s="1"/>
  <c r="AR140" i="1" l="1"/>
  <c r="AR145" i="1" l="1"/>
  <c r="BD145" i="1" s="1"/>
  <c r="BD165" i="1" s="1"/>
  <c r="AR165" i="1" l="1"/>
  <c r="AR167" i="1"/>
  <c r="AM165" i="1"/>
  <c r="AI165" i="1" l="1"/>
  <c r="B17" i="3"/>
  <c r="B16" i="3"/>
  <c r="B15" i="3"/>
  <c r="G48" i="4"/>
  <c r="F48" i="4"/>
  <c r="E48" i="4"/>
  <c r="D48" i="4"/>
  <c r="C48" i="4"/>
  <c r="B48" i="4"/>
  <c r="G46" i="4"/>
  <c r="G45" i="4"/>
  <c r="B45" i="4"/>
  <c r="G44" i="4"/>
  <c r="B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50" i="5"/>
  <c r="G49" i="5"/>
  <c r="B49" i="5"/>
  <c r="G47" i="5"/>
  <c r="G46" i="5"/>
  <c r="G45" i="5"/>
  <c r="B45" i="5"/>
  <c r="G44" i="5"/>
  <c r="B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AP177" i="1"/>
  <c r="AP176" i="1"/>
  <c r="AP175" i="1"/>
  <c r="AN174" i="1"/>
  <c r="AP174" i="1" s="1"/>
  <c r="AP173" i="1"/>
  <c r="AI167" i="1"/>
  <c r="AO165" i="1"/>
  <c r="AO167" i="1" s="1"/>
  <c r="AM167" i="1"/>
  <c r="AK165" i="1"/>
  <c r="AK167" i="1" s="1"/>
  <c r="AG165" i="1"/>
  <c r="AG167" i="1" s="1"/>
  <c r="AE165" i="1"/>
  <c r="AE167" i="1" s="1"/>
  <c r="X165" i="1"/>
  <c r="X167" i="1" s="1"/>
  <c r="V165" i="1"/>
  <c r="V167" i="1" s="1"/>
  <c r="T165" i="1"/>
  <c r="T167" i="1" s="1"/>
  <c r="R165" i="1"/>
  <c r="R167" i="1" s="1"/>
  <c r="N165" i="1"/>
  <c r="N167" i="1" s="1"/>
  <c r="L165" i="1"/>
  <c r="L167" i="1" s="1"/>
  <c r="J165" i="1"/>
  <c r="J167" i="1" s="1"/>
  <c r="H165" i="1"/>
  <c r="D165" i="1"/>
  <c r="D167" i="1" s="1"/>
  <c r="C165" i="1"/>
  <c r="C167" i="1" s="1"/>
  <c r="AC156" i="1"/>
  <c r="AB156" i="1"/>
  <c r="AD156" i="1" s="1"/>
  <c r="BE156" i="1" s="1"/>
  <c r="AC155" i="1"/>
  <c r="AB155" i="1"/>
  <c r="AC154" i="1"/>
  <c r="AB154" i="1"/>
  <c r="AC153" i="1"/>
  <c r="AB153" i="1"/>
  <c r="AD153" i="1" s="1"/>
  <c r="BE153" i="1" s="1"/>
  <c r="AC152" i="1"/>
  <c r="AB152" i="1"/>
  <c r="AD152" i="1" s="1"/>
  <c r="BE152" i="1" s="1"/>
  <c r="AC151" i="1"/>
  <c r="AB151" i="1"/>
  <c r="AC150" i="1"/>
  <c r="AB150" i="1"/>
  <c r="AD150" i="1" s="1"/>
  <c r="BE150" i="1" s="1"/>
  <c r="AC149" i="1"/>
  <c r="AB149" i="1"/>
  <c r="AC148" i="1"/>
  <c r="AB148" i="1"/>
  <c r="AD148" i="1" s="1"/>
  <c r="BE148" i="1" s="1"/>
  <c r="AC147" i="1"/>
  <c r="AB147" i="1"/>
  <c r="AC146" i="1"/>
  <c r="AB146" i="1"/>
  <c r="AD146" i="1" s="1"/>
  <c r="BE146" i="1" s="1"/>
  <c r="AB145" i="1"/>
  <c r="Q145" i="1"/>
  <c r="O145" i="1"/>
  <c r="I145" i="1"/>
  <c r="AC144" i="1"/>
  <c r="AB144" i="1"/>
  <c r="AD144" i="1" s="1"/>
  <c r="BE144" i="1" s="1"/>
  <c r="AC143" i="1"/>
  <c r="AB143" i="1"/>
  <c r="G142" i="1"/>
  <c r="AC142" i="1" s="1"/>
  <c r="F142" i="1"/>
  <c r="AB142" i="1" s="1"/>
  <c r="AC141" i="1"/>
  <c r="AB141" i="1"/>
  <c r="AD141" i="1" s="1"/>
  <c r="BE141" i="1" s="1"/>
  <c r="AP140" i="1"/>
  <c r="BD140" i="1" s="1"/>
  <c r="AB140" i="1"/>
  <c r="Q140" i="1"/>
  <c r="O140" i="1"/>
  <c r="I140" i="1"/>
  <c r="AC139" i="1"/>
  <c r="AB139" i="1"/>
  <c r="AC138" i="1"/>
  <c r="AB138" i="1"/>
  <c r="AC137" i="1"/>
  <c r="AB137" i="1"/>
  <c r="AC136" i="1"/>
  <c r="AB136" i="1"/>
  <c r="AD136" i="1" s="1"/>
  <c r="BE136" i="1" s="1"/>
  <c r="AC135" i="1"/>
  <c r="AB135" i="1"/>
  <c r="AC134" i="1"/>
  <c r="AB134" i="1"/>
  <c r="AD134" i="1" s="1"/>
  <c r="BE134" i="1" s="1"/>
  <c r="AB133" i="1"/>
  <c r="Q133" i="1"/>
  <c r="AC133" i="1" s="1"/>
  <c r="AC132" i="1"/>
  <c r="AB132" i="1"/>
  <c r="AB131" i="1"/>
  <c r="W131" i="1"/>
  <c r="W165" i="1" s="1"/>
  <c r="W167" i="1" s="1"/>
  <c r="U131" i="1"/>
  <c r="AC131" i="1" s="1"/>
  <c r="AC130" i="1"/>
  <c r="AB130" i="1"/>
  <c r="AB129" i="1"/>
  <c r="S129" i="1"/>
  <c r="AC129" i="1" s="1"/>
  <c r="AC128" i="1"/>
  <c r="AB128" i="1"/>
  <c r="AD128" i="1" s="1"/>
  <c r="BE128" i="1" s="1"/>
  <c r="AC127" i="1"/>
  <c r="AB127" i="1"/>
  <c r="AD127" i="1" s="1"/>
  <c r="BE127" i="1" s="1"/>
  <c r="AC126" i="1"/>
  <c r="AB126" i="1"/>
  <c r="AC125" i="1"/>
  <c r="AB125" i="1"/>
  <c r="AC124" i="1"/>
  <c r="AB124" i="1"/>
  <c r="AC123" i="1"/>
  <c r="AB123" i="1"/>
  <c r="AD123" i="1" s="1"/>
  <c r="BE123" i="1" s="1"/>
  <c r="AC122" i="1"/>
  <c r="AB122" i="1"/>
  <c r="AD122" i="1" s="1"/>
  <c r="BE122" i="1" s="1"/>
  <c r="AC121" i="1"/>
  <c r="AB121" i="1"/>
  <c r="AC120" i="1"/>
  <c r="AB120" i="1"/>
  <c r="AC119" i="1"/>
  <c r="AB119" i="1"/>
  <c r="AD119" i="1" s="1"/>
  <c r="BE119" i="1" s="1"/>
  <c r="AC118" i="1"/>
  <c r="AB118" i="1"/>
  <c r="AC117" i="1"/>
  <c r="AB117" i="1"/>
  <c r="AD117" i="1" s="1"/>
  <c r="BE117" i="1" s="1"/>
  <c r="AC116" i="1"/>
  <c r="AB116" i="1"/>
  <c r="AD116" i="1" s="1"/>
  <c r="BE116" i="1" s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B109" i="1"/>
  <c r="G109" i="1"/>
  <c r="E109" i="1"/>
  <c r="AC108" i="1"/>
  <c r="AB108" i="1"/>
  <c r="AD108" i="1" s="1"/>
  <c r="BE108" i="1" s="1"/>
  <c r="AB107" i="1"/>
  <c r="M107" i="1"/>
  <c r="AC107" i="1" s="1"/>
  <c r="AC106" i="1"/>
  <c r="AB106" i="1"/>
  <c r="AD106" i="1" s="1"/>
  <c r="BE106" i="1" s="1"/>
  <c r="AC105" i="1"/>
  <c r="AB105" i="1"/>
  <c r="AC104" i="1"/>
  <c r="AB104" i="1"/>
  <c r="AC103" i="1"/>
  <c r="AB103" i="1"/>
  <c r="AA102" i="1"/>
  <c r="Z102" i="1"/>
  <c r="K102" i="1"/>
  <c r="AC101" i="1"/>
  <c r="AB101" i="1"/>
  <c r="AC100" i="1"/>
  <c r="AB100" i="1"/>
  <c r="AD100" i="1" s="1"/>
  <c r="BE100" i="1" s="1"/>
  <c r="AC99" i="1"/>
  <c r="AB99" i="1"/>
  <c r="AD99" i="1" s="1"/>
  <c r="BE99" i="1" s="1"/>
  <c r="AC98" i="1"/>
  <c r="AB98" i="1"/>
  <c r="AC97" i="1"/>
  <c r="AB97" i="1"/>
  <c r="AC96" i="1"/>
  <c r="AB96" i="1"/>
  <c r="AB95" i="1"/>
  <c r="AA95" i="1"/>
  <c r="AC95" i="1" s="1"/>
  <c r="AC94" i="1"/>
  <c r="AB94" i="1"/>
  <c r="AC93" i="1"/>
  <c r="AB93" i="1"/>
  <c r="AC92" i="1"/>
  <c r="AB92" i="1"/>
  <c r="AD92" i="1" s="1"/>
  <c r="BE92" i="1" s="1"/>
  <c r="AC91" i="1"/>
  <c r="AB91" i="1"/>
  <c r="AC90" i="1"/>
  <c r="AB90" i="1"/>
  <c r="AD90" i="1" s="1"/>
  <c r="BE90" i="1" s="1"/>
  <c r="AC89" i="1"/>
  <c r="AB89" i="1"/>
  <c r="AC88" i="1"/>
  <c r="AB88" i="1"/>
  <c r="AD88" i="1" s="1"/>
  <c r="BE88" i="1" s="1"/>
  <c r="AC87" i="1"/>
  <c r="AB87" i="1"/>
  <c r="AC86" i="1"/>
  <c r="AB86" i="1"/>
  <c r="AD86" i="1" s="1"/>
  <c r="BE86" i="1" s="1"/>
  <c r="AC85" i="1"/>
  <c r="AB85" i="1"/>
  <c r="AB84" i="1"/>
  <c r="O84" i="1"/>
  <c r="AC83" i="1"/>
  <c r="AB83" i="1"/>
  <c r="AB82" i="1"/>
  <c r="AA82" i="1"/>
  <c r="M82" i="1"/>
  <c r="AC81" i="1"/>
  <c r="AB81" i="1"/>
  <c r="AC80" i="1"/>
  <c r="AB80" i="1"/>
  <c r="AC79" i="1"/>
  <c r="AB79" i="1"/>
  <c r="AC78" i="1"/>
  <c r="AB78" i="1"/>
  <c r="AC77" i="1"/>
  <c r="AB77" i="1"/>
  <c r="AF76" i="1"/>
  <c r="BD76" i="1" s="1"/>
  <c r="AC76" i="1"/>
  <c r="AB76" i="1"/>
  <c r="AC75" i="1"/>
  <c r="AB75" i="1"/>
  <c r="AC74" i="1"/>
  <c r="AB74" i="1"/>
  <c r="AC73" i="1"/>
  <c r="AB73" i="1"/>
  <c r="AD73" i="1" s="1"/>
  <c r="BE73" i="1" s="1"/>
  <c r="AC72" i="1"/>
  <c r="AB72" i="1"/>
  <c r="AB71" i="1"/>
  <c r="AA71" i="1"/>
  <c r="AC71" i="1" s="1"/>
  <c r="AD71" i="1" s="1"/>
  <c r="BE71" i="1" s="1"/>
  <c r="AC70" i="1"/>
  <c r="AB70" i="1"/>
  <c r="AC69" i="1"/>
  <c r="AB69" i="1"/>
  <c r="AC68" i="1"/>
  <c r="AB68" i="1"/>
  <c r="AC67" i="1"/>
  <c r="AB67" i="1"/>
  <c r="AD67" i="1" s="1"/>
  <c r="BE67" i="1" s="1"/>
  <c r="AC66" i="1"/>
  <c r="AB66" i="1"/>
  <c r="AC65" i="1"/>
  <c r="AB65" i="1"/>
  <c r="AC64" i="1"/>
  <c r="AB64" i="1"/>
  <c r="AD64" i="1" s="1"/>
  <c r="BE64" i="1" s="1"/>
  <c r="AC63" i="1"/>
  <c r="AB63" i="1"/>
  <c r="AD63" i="1" s="1"/>
  <c r="BE63" i="1" s="1"/>
  <c r="AC62" i="1"/>
  <c r="AB62" i="1"/>
  <c r="AC61" i="1"/>
  <c r="AB61" i="1"/>
  <c r="AD61" i="1" s="1"/>
  <c r="BE61" i="1" s="1"/>
  <c r="AC60" i="1"/>
  <c r="AB60" i="1"/>
  <c r="AC59" i="1"/>
  <c r="AB59" i="1"/>
  <c r="AC58" i="1"/>
  <c r="AB58" i="1"/>
  <c r="AD58" i="1" s="1"/>
  <c r="BE58" i="1" s="1"/>
  <c r="AC57" i="1"/>
  <c r="AB57" i="1"/>
  <c r="AC56" i="1"/>
  <c r="AB56" i="1"/>
  <c r="AB55" i="1"/>
  <c r="K55" i="1"/>
  <c r="AC54" i="1"/>
  <c r="AB54" i="1"/>
  <c r="AC53" i="1"/>
  <c r="AB53" i="1"/>
  <c r="AD53" i="1" s="1"/>
  <c r="BE53" i="1" s="1"/>
  <c r="AC52" i="1"/>
  <c r="AB52" i="1"/>
  <c r="AC51" i="1"/>
  <c r="AB51" i="1"/>
  <c r="AC50" i="1"/>
  <c r="AB50" i="1"/>
  <c r="AC49" i="1"/>
  <c r="AB49" i="1"/>
  <c r="AD49" i="1" s="1"/>
  <c r="BE49" i="1" s="1"/>
  <c r="AC48" i="1"/>
  <c r="AB48" i="1"/>
  <c r="AC47" i="1"/>
  <c r="AB47" i="1"/>
  <c r="AD47" i="1" s="1"/>
  <c r="BE47" i="1" s="1"/>
  <c r="AC46" i="1"/>
  <c r="AB46" i="1"/>
  <c r="AC45" i="1"/>
  <c r="AB45" i="1"/>
  <c r="AC44" i="1"/>
  <c r="AB44" i="1"/>
  <c r="Q43" i="1"/>
  <c r="P43" i="1"/>
  <c r="P165" i="1" s="1"/>
  <c r="P167" i="1" s="1"/>
  <c r="AC42" i="1"/>
  <c r="AB42" i="1"/>
  <c r="AC41" i="1"/>
  <c r="AB41" i="1"/>
  <c r="AD41" i="1" s="1"/>
  <c r="BE41" i="1" s="1"/>
  <c r="AC40" i="1"/>
  <c r="AB40" i="1"/>
  <c r="AC39" i="1"/>
  <c r="AB39" i="1"/>
  <c r="AC38" i="1"/>
  <c r="AB38" i="1"/>
  <c r="AB37" i="1"/>
  <c r="I37" i="1"/>
  <c r="AC36" i="1"/>
  <c r="AB36" i="1"/>
  <c r="AB35" i="1"/>
  <c r="AA35" i="1"/>
  <c r="AC35" i="1" s="1"/>
  <c r="AC34" i="1"/>
  <c r="AB34" i="1"/>
  <c r="AD34" i="1" s="1"/>
  <c r="BE34" i="1" s="1"/>
  <c r="AB33" i="1"/>
  <c r="Y33" i="1"/>
  <c r="Y165" i="1" s="1"/>
  <c r="Y167" i="1" s="1"/>
  <c r="AC32" i="1"/>
  <c r="AB32" i="1"/>
  <c r="AB31" i="1"/>
  <c r="Q31" i="1"/>
  <c r="AC31" i="1" s="1"/>
  <c r="AC30" i="1"/>
  <c r="AB30" i="1"/>
  <c r="AC29" i="1"/>
  <c r="AB29" i="1"/>
  <c r="AD29" i="1" s="1"/>
  <c r="BE29" i="1" s="1"/>
  <c r="AC28" i="1"/>
  <c r="AB28" i="1"/>
  <c r="AD28" i="1" s="1"/>
  <c r="BE28" i="1" s="1"/>
  <c r="AC27" i="1"/>
  <c r="AB27" i="1"/>
  <c r="AC26" i="1"/>
  <c r="AB26" i="1"/>
  <c r="AC25" i="1"/>
  <c r="AB25" i="1"/>
  <c r="AB24" i="1"/>
  <c r="E24" i="1"/>
  <c r="AC24" i="1" s="1"/>
  <c r="AB23" i="1"/>
  <c r="S23" i="1"/>
  <c r="AC23" i="1" s="1"/>
  <c r="AC22" i="1"/>
  <c r="AB22" i="1"/>
  <c r="AD22" i="1" s="1"/>
  <c r="BE22" i="1" s="1"/>
  <c r="AC21" i="1"/>
  <c r="AB21" i="1"/>
  <c r="AC20" i="1"/>
  <c r="AB20" i="1"/>
  <c r="AC19" i="1"/>
  <c r="AB19" i="1"/>
  <c r="AC18" i="1"/>
  <c r="AB18" i="1"/>
  <c r="AC17" i="1"/>
  <c r="AB17" i="1"/>
  <c r="AD17" i="1" s="1"/>
  <c r="BE17" i="1" s="1"/>
  <c r="AC16" i="1"/>
  <c r="AB16" i="1"/>
  <c r="AC15" i="1"/>
  <c r="AB15" i="1"/>
  <c r="AD15" i="1" s="1"/>
  <c r="BE15" i="1" s="1"/>
  <c r="AC14" i="1"/>
  <c r="AB14" i="1"/>
  <c r="AC13" i="1"/>
  <c r="AB13" i="1"/>
  <c r="AC12" i="1"/>
  <c r="AB12" i="1"/>
  <c r="AC11" i="1"/>
  <c r="AB11" i="1"/>
  <c r="AC10" i="1"/>
  <c r="AB10" i="1"/>
  <c r="AD10" i="1" s="1"/>
  <c r="BE10" i="1" s="1"/>
  <c r="AC9" i="1"/>
  <c r="AB9" i="1"/>
  <c r="AD9" i="1" s="1"/>
  <c r="BE9" i="1" s="1"/>
  <c r="AC8" i="1"/>
  <c r="AB8" i="1"/>
  <c r="AC7" i="1"/>
  <c r="AB7" i="1"/>
  <c r="AD7" i="1" s="1"/>
  <c r="BE7" i="1" s="1"/>
  <c r="AC6" i="1"/>
  <c r="A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C5" i="1"/>
  <c r="AB5" i="1"/>
  <c r="AD26" i="1" l="1"/>
  <c r="BE26" i="1" s="1"/>
  <c r="AD32" i="1"/>
  <c r="BE32" i="1" s="1"/>
  <c r="AD50" i="1"/>
  <c r="BE50" i="1" s="1"/>
  <c r="AD56" i="1"/>
  <c r="BE56" i="1" s="1"/>
  <c r="AD91" i="1"/>
  <c r="BE91" i="1" s="1"/>
  <c r="AD97" i="1"/>
  <c r="BE97" i="1" s="1"/>
  <c r="AD126" i="1"/>
  <c r="BE126" i="1" s="1"/>
  <c r="AD138" i="1"/>
  <c r="BE138" i="1" s="1"/>
  <c r="BD167" i="1"/>
  <c r="AD12" i="1"/>
  <c r="BE12" i="1" s="1"/>
  <c r="AD42" i="1"/>
  <c r="BE42" i="1" s="1"/>
  <c r="AD66" i="1"/>
  <c r="BE66" i="1" s="1"/>
  <c r="AD83" i="1"/>
  <c r="BE83" i="1" s="1"/>
  <c r="AD112" i="1"/>
  <c r="BE112" i="1" s="1"/>
  <c r="AD118" i="1"/>
  <c r="BE118" i="1" s="1"/>
  <c r="AD130" i="1"/>
  <c r="BE130" i="1" s="1"/>
  <c r="AD151" i="1"/>
  <c r="BE151" i="1" s="1"/>
  <c r="AD81" i="1"/>
  <c r="BE81" i="1" s="1"/>
  <c r="AD133" i="1"/>
  <c r="BE133" i="1" s="1"/>
  <c r="U165" i="1"/>
  <c r="U167" i="1" s="1"/>
  <c r="AD14" i="1"/>
  <c r="BE14" i="1" s="1"/>
  <c r="AD46" i="1"/>
  <c r="BE46" i="1" s="1"/>
  <c r="AD52" i="1"/>
  <c r="BE52" i="1" s="1"/>
  <c r="AD62" i="1"/>
  <c r="BE62" i="1" s="1"/>
  <c r="AD98" i="1"/>
  <c r="BE98" i="1" s="1"/>
  <c r="AD103" i="1"/>
  <c r="BE103" i="1" s="1"/>
  <c r="AC109" i="1"/>
  <c r="AD109" i="1" s="1"/>
  <c r="BE109" i="1" s="1"/>
  <c r="AD114" i="1"/>
  <c r="BE114" i="1" s="1"/>
  <c r="AD125" i="1"/>
  <c r="BE125" i="1" s="1"/>
  <c r="AD135" i="1"/>
  <c r="BE135" i="1" s="1"/>
  <c r="AD54" i="1"/>
  <c r="BE54" i="1" s="1"/>
  <c r="O165" i="1"/>
  <c r="O167" i="1" s="1"/>
  <c r="AD94" i="1"/>
  <c r="BE94" i="1" s="1"/>
  <c r="I165" i="1"/>
  <c r="I167" i="1" s="1"/>
  <c r="G165" i="1"/>
  <c r="G167" i="1" s="1"/>
  <c r="F165" i="1"/>
  <c r="F167" i="1" s="1"/>
  <c r="AD18" i="1"/>
  <c r="BE18" i="1" s="1"/>
  <c r="AD21" i="1"/>
  <c r="BE21" i="1" s="1"/>
  <c r="AD36" i="1"/>
  <c r="BE36" i="1" s="1"/>
  <c r="AD39" i="1"/>
  <c r="BE39" i="1" s="1"/>
  <c r="AD70" i="1"/>
  <c r="BE70" i="1" s="1"/>
  <c r="AD85" i="1"/>
  <c r="BE85" i="1" s="1"/>
  <c r="AD111" i="1"/>
  <c r="BE111" i="1" s="1"/>
  <c r="AD137" i="1"/>
  <c r="BE137" i="1" s="1"/>
  <c r="AD6" i="1"/>
  <c r="BE6" i="1" s="1"/>
  <c r="AD121" i="1"/>
  <c r="BE121" i="1" s="1"/>
  <c r="AJ165" i="1"/>
  <c r="AJ167" i="1" s="1"/>
  <c r="AD48" i="1"/>
  <c r="BE48" i="1" s="1"/>
  <c r="AD51" i="1"/>
  <c r="BE51" i="1" s="1"/>
  <c r="AD57" i="1"/>
  <c r="BE57" i="1" s="1"/>
  <c r="AD132" i="1"/>
  <c r="BE132" i="1" s="1"/>
  <c r="AC145" i="1"/>
  <c r="AD145" i="1" s="1"/>
  <c r="BE145" i="1" s="1"/>
  <c r="AD75" i="1"/>
  <c r="BE75" i="1" s="1"/>
  <c r="AD115" i="1"/>
  <c r="BE115" i="1" s="1"/>
  <c r="AD5" i="1"/>
  <c r="BE5" i="1" s="1"/>
  <c r="AD20" i="1"/>
  <c r="BE20" i="1" s="1"/>
  <c r="AD59" i="1"/>
  <c r="BE59" i="1" s="1"/>
  <c r="AD79" i="1"/>
  <c r="BE79" i="1" s="1"/>
  <c r="M165" i="1"/>
  <c r="M167" i="1" s="1"/>
  <c r="AD87" i="1"/>
  <c r="BE87" i="1" s="1"/>
  <c r="AC102" i="1"/>
  <c r="AD113" i="1"/>
  <c r="BE113" i="1" s="1"/>
  <c r="AD131" i="1"/>
  <c r="BE131" i="1" s="1"/>
  <c r="AD139" i="1"/>
  <c r="BE139" i="1" s="1"/>
  <c r="AD25" i="1"/>
  <c r="BE25" i="1" s="1"/>
  <c r="AD89" i="1"/>
  <c r="BE89" i="1" s="1"/>
  <c r="AD110" i="1"/>
  <c r="BE110" i="1" s="1"/>
  <c r="AD143" i="1"/>
  <c r="BE143" i="1" s="1"/>
  <c r="AD149" i="1"/>
  <c r="BE149" i="1" s="1"/>
  <c r="AD19" i="1"/>
  <c r="BE19" i="1" s="1"/>
  <c r="AD45" i="1"/>
  <c r="BE45" i="1" s="1"/>
  <c r="AD8" i="1"/>
  <c r="BE8" i="1" s="1"/>
  <c r="AD13" i="1"/>
  <c r="BE13" i="1" s="1"/>
  <c r="AD27" i="1"/>
  <c r="BE27" i="1" s="1"/>
  <c r="AD44" i="1"/>
  <c r="BE44" i="1" s="1"/>
  <c r="AD68" i="1"/>
  <c r="BE68" i="1" s="1"/>
  <c r="AC140" i="1"/>
  <c r="AD140" i="1" s="1"/>
  <c r="BE140" i="1" s="1"/>
  <c r="AD65" i="1"/>
  <c r="BE65" i="1" s="1"/>
  <c r="AC84" i="1"/>
  <c r="AD84" i="1" s="1"/>
  <c r="BE84" i="1" s="1"/>
  <c r="AC82" i="1"/>
  <c r="AD82" i="1" s="1"/>
  <c r="BE82" i="1" s="1"/>
  <c r="AD105" i="1"/>
  <c r="BE105" i="1" s="1"/>
  <c r="AD154" i="1"/>
  <c r="BE154" i="1" s="1"/>
  <c r="AD11" i="1"/>
  <c r="BE11" i="1" s="1"/>
  <c r="AD40" i="1"/>
  <c r="BE40" i="1" s="1"/>
  <c r="AD77" i="1"/>
  <c r="BE77" i="1" s="1"/>
  <c r="AD80" i="1"/>
  <c r="BE80" i="1" s="1"/>
  <c r="AD96" i="1"/>
  <c r="BE96" i="1" s="1"/>
  <c r="AD101" i="1"/>
  <c r="BE101" i="1" s="1"/>
  <c r="AD124" i="1"/>
  <c r="BE124" i="1" s="1"/>
  <c r="AD142" i="1"/>
  <c r="BE142" i="1" s="1"/>
  <c r="AD129" i="1"/>
  <c r="BE129" i="1" s="1"/>
  <c r="AD155" i="1"/>
  <c r="BE155" i="1" s="1"/>
  <c r="E165" i="1"/>
  <c r="E167" i="1" s="1"/>
  <c r="AD69" i="1"/>
  <c r="BE69" i="1" s="1"/>
  <c r="AD104" i="1"/>
  <c r="BE104" i="1" s="1"/>
  <c r="AD16" i="1"/>
  <c r="BE16" i="1" s="1"/>
  <c r="AD30" i="1"/>
  <c r="BE30" i="1" s="1"/>
  <c r="AD38" i="1"/>
  <c r="BE38" i="1" s="1"/>
  <c r="Q165" i="1"/>
  <c r="Q167" i="1" s="1"/>
  <c r="AD60" i="1"/>
  <c r="BE60" i="1" s="1"/>
  <c r="AD72" i="1"/>
  <c r="BE72" i="1" s="1"/>
  <c r="AD74" i="1"/>
  <c r="BE74" i="1" s="1"/>
  <c r="AD76" i="1"/>
  <c r="BE76" i="1" s="1"/>
  <c r="AD93" i="1"/>
  <c r="BE93" i="1" s="1"/>
  <c r="AD120" i="1"/>
  <c r="BE120" i="1" s="1"/>
  <c r="AD147" i="1"/>
  <c r="BE147" i="1" s="1"/>
  <c r="S165" i="1"/>
  <c r="S167" i="1" s="1"/>
  <c r="BC174" i="1"/>
  <c r="AD23" i="1"/>
  <c r="BE23" i="1" s="1"/>
  <c r="AB43" i="1"/>
  <c r="AD24" i="1"/>
  <c r="BE24" i="1" s="1"/>
  <c r="AC33" i="1"/>
  <c r="AC37" i="1"/>
  <c r="AD37" i="1" s="1"/>
  <c r="BE37" i="1" s="1"/>
  <c r="AC43" i="1"/>
  <c r="Z165" i="1"/>
  <c r="Z167" i="1" s="1"/>
  <c r="AB102" i="1"/>
  <c r="K165" i="1"/>
  <c r="K167" i="1" s="1"/>
  <c r="AC55" i="1"/>
  <c r="AD55" i="1" s="1"/>
  <c r="BE55" i="1" s="1"/>
  <c r="AA165" i="1"/>
  <c r="AA167" i="1" s="1"/>
  <c r="AD35" i="1"/>
  <c r="BE35" i="1" s="1"/>
  <c r="AD95" i="1"/>
  <c r="BE95" i="1" s="1"/>
  <c r="AD107" i="1"/>
  <c r="BE107" i="1" s="1"/>
  <c r="AD31" i="1"/>
  <c r="BE31" i="1" s="1"/>
  <c r="AD78" i="1"/>
  <c r="BE78" i="1" s="1"/>
  <c r="AN165" i="1"/>
  <c r="AN167" i="1" s="1"/>
  <c r="AP165" i="1"/>
  <c r="AP167" i="1" s="1"/>
  <c r="AH165" i="1"/>
  <c r="AH167" i="1" s="1"/>
  <c r="AL165" i="1"/>
  <c r="AL167" i="1" s="1"/>
  <c r="AN181" i="1"/>
  <c r="AN182" i="1" s="1"/>
  <c r="AO182" i="1" s="1"/>
  <c r="AF165" i="1"/>
  <c r="AF167" i="1" s="1"/>
  <c r="AD102" i="1" l="1"/>
  <c r="BE102" i="1" s="1"/>
  <c r="AC165" i="1"/>
  <c r="AC167" i="1" s="1"/>
  <c r="AB165" i="1"/>
  <c r="AB167" i="1" s="1"/>
  <c r="AD33" i="1"/>
  <c r="BE33" i="1" s="1"/>
  <c r="AD43" i="1"/>
  <c r="BE43" i="1" s="1"/>
  <c r="BE165" i="1" l="1"/>
  <c r="BE167" i="1" s="1"/>
  <c r="AD165" i="1"/>
  <c r="AD167" i="1" s="1"/>
  <c r="BD168" i="1" s="1"/>
</calcChain>
</file>

<file path=xl/sharedStrings.xml><?xml version="1.0" encoding="utf-8"?>
<sst xmlns="http://schemas.openxmlformats.org/spreadsheetml/2006/main" count="528" uniqueCount="277">
  <si>
    <t>NO</t>
  </si>
  <si>
    <t>NAMA ANGGOTA</t>
  </si>
  <si>
    <t>SALDO AKHIR PIUTANG KHUSUS - 2023</t>
  </si>
  <si>
    <t>PEMBAYARAN 2024</t>
  </si>
  <si>
    <t>SALDO PIUTANG KHUSUS 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</si>
  <si>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</si>
  <si>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</si>
  <si>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</si>
  <si>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</si>
  <si>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</si>
  <si>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</si>
  <si>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</si>
  <si>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</si>
  <si>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</si>
  <si>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</si>
  <si>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</si>
  <si>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DECEMBER</t>
  </si>
  <si>
    <t>Penambahan</t>
  </si>
  <si>
    <t>Pengurangan</t>
  </si>
  <si>
    <t>Angsuran Bulanan</t>
  </si>
  <si>
    <t>Abdurrachman, S.Kom</t>
  </si>
  <si>
    <t>Achmad Suseno, Ir</t>
  </si>
  <si>
    <t>Achmad Tawakkal</t>
  </si>
  <si>
    <t>Ade Sugandi</t>
  </si>
  <si>
    <t>Afrizal</t>
  </si>
  <si>
    <t>Agung Budi Arnanto. s. Com</t>
  </si>
  <si>
    <t>Agung Prihanto, Ir</t>
  </si>
  <si>
    <t>Agung Wicaksono, Ir</t>
  </si>
  <si>
    <t>Agus Wijaya, Ir</t>
  </si>
  <si>
    <t>Ahmad Najib</t>
  </si>
  <si>
    <t>Ahmad Yunus</t>
  </si>
  <si>
    <t>Amy Abraham L, ST</t>
  </si>
  <si>
    <t>Anita Magdalena</t>
  </si>
  <si>
    <t>Ardiansah</t>
  </si>
  <si>
    <t>Arief Budi Permana, Ir</t>
  </si>
  <si>
    <t>Arifin</t>
  </si>
  <si>
    <t>Asgar</t>
  </si>
  <si>
    <t>Azwar Firly</t>
  </si>
  <si>
    <t>Dandi Rukmana</t>
  </si>
  <si>
    <t>Dede Ma'mun, SE</t>
  </si>
  <si>
    <t>Dedi Megananda, Ir</t>
  </si>
  <si>
    <t>Dias Afandi</t>
  </si>
  <si>
    <t>Didit E Firmansyah.</t>
  </si>
  <si>
    <t>Dino Vita Larasanto</t>
  </si>
  <si>
    <t>Elis Rosida</t>
  </si>
  <si>
    <t>Elva Moch. Ramdhani</t>
  </si>
  <si>
    <t>Erlini Agung, SE</t>
  </si>
  <si>
    <t>Erry Sanjaya Djayus</t>
  </si>
  <si>
    <t>Ery Dani Sampurno, Ir</t>
  </si>
  <si>
    <t>Eva Sintauli Saragih, SE</t>
  </si>
  <si>
    <t>Hadi Sutrisno, Ir</t>
  </si>
  <si>
    <t>Haeruddin</t>
  </si>
  <si>
    <t>Harinurdi, Ir</t>
  </si>
  <si>
    <t>Heri Wirawan, ST.</t>
  </si>
  <si>
    <t>Herry Sudradjat, SH</t>
  </si>
  <si>
    <t>Heru Susilo Budiman, Ir</t>
  </si>
  <si>
    <t>Heru Widodo, Ir</t>
  </si>
  <si>
    <t>Himawan</t>
  </si>
  <si>
    <t>Ilyas</t>
  </si>
  <si>
    <t>Indra Permana</t>
  </si>
  <si>
    <t>Irwanto, B.Sc.</t>
  </si>
  <si>
    <t>Jamaluddin Gani, Drs</t>
  </si>
  <si>
    <t>Jeffrey B. Massie, Ir</t>
  </si>
  <si>
    <t>Jhoni Rizkal Amza, Ir</t>
  </si>
  <si>
    <t>Joeliantoro, Ir</t>
  </si>
  <si>
    <t>Kosim Bin Mari</t>
  </si>
  <si>
    <t>Lily Pandansari</t>
  </si>
  <si>
    <t>Linda Kurniaty</t>
  </si>
  <si>
    <t>Lisa Sri Andayani, B.Sc.</t>
  </si>
  <si>
    <t>Liza Yuni. ST</t>
  </si>
  <si>
    <t>Mahmud Mochtar, ST</t>
  </si>
  <si>
    <t>Manggarseta Jatnika, Ir</t>
  </si>
  <si>
    <t>Mardini Embun Sari</t>
  </si>
  <si>
    <t>Marina</t>
  </si>
  <si>
    <t>Mat Hasan</t>
  </si>
  <si>
    <t>Mega Hadiyanti</t>
  </si>
  <si>
    <t>Moh. Rico Faridz, Ir</t>
  </si>
  <si>
    <t>Mohamad Cholil, Ir</t>
  </si>
  <si>
    <t>Muflikhin</t>
  </si>
  <si>
    <t>Muhidin</t>
  </si>
  <si>
    <t>Muslim</t>
  </si>
  <si>
    <t>Nasaruddin, SE</t>
  </si>
  <si>
    <t>Nossy Osriat</t>
  </si>
  <si>
    <t>Nursiwan</t>
  </si>
  <si>
    <t>Pardi</t>
  </si>
  <si>
    <t>Prasetyo S.T</t>
  </si>
  <si>
    <t>Pujianto</t>
  </si>
  <si>
    <t>Putri Nurlaksmi. SE</t>
  </si>
  <si>
    <t>R. Agus Doddy Dwisagita.</t>
  </si>
  <si>
    <t>Rachmadi S., Ir</t>
  </si>
  <si>
    <t>Rachmat Kurniawan</t>
  </si>
  <si>
    <t>Rahadi Sigit</t>
  </si>
  <si>
    <t>Ratna Nurcahya</t>
  </si>
  <si>
    <t>Ratna S. Rini</t>
  </si>
  <si>
    <t>Rino Yan Cahyo, SE</t>
  </si>
  <si>
    <t>Riska Tri Handayani</t>
  </si>
  <si>
    <t>Rizal Febrianto</t>
  </si>
  <si>
    <t>Rosalina Amran, SE</t>
  </si>
  <si>
    <t>Rudy Haryanto</t>
  </si>
  <si>
    <t>Rusdin Haluddin  Ir</t>
  </si>
  <si>
    <t>Sjaifuddin, Msc</t>
  </si>
  <si>
    <t>Safril</t>
  </si>
  <si>
    <t>Saifuddin Wijaya, Ir</t>
  </si>
  <si>
    <t>Saridi</t>
  </si>
  <si>
    <t>Soedjarwoko, Ir</t>
  </si>
  <si>
    <t>Soleh Abidin</t>
  </si>
  <si>
    <t>Sri S. Pantirawati</t>
  </si>
  <si>
    <t>Sudirman, SE</t>
  </si>
  <si>
    <t>Sugeng Yulianto, Ir</t>
  </si>
  <si>
    <t>Sukadi Redji</t>
  </si>
  <si>
    <t>Sumartini</t>
  </si>
  <si>
    <t>Supardi, SE</t>
  </si>
  <si>
    <t>Suratman, Drs</t>
  </si>
  <si>
    <t>Suroyo</t>
  </si>
  <si>
    <t>Sutrisno</t>
  </si>
  <si>
    <t>Syahlir</t>
  </si>
  <si>
    <t>Syamsul Bahri, Ir</t>
  </si>
  <si>
    <t>Tantyo Prayoga, Ir</t>
  </si>
  <si>
    <t>Taufik Hidayat, SE, MM.</t>
  </si>
  <si>
    <t>Taufik Satpam</t>
  </si>
  <si>
    <t>Teguh Andani S.Sos</t>
  </si>
  <si>
    <t>Toni Syarif Hidayat</t>
  </si>
  <si>
    <t>Totok Achmad, Ir</t>
  </si>
  <si>
    <t>Ucu Rusmanto</t>
  </si>
  <si>
    <t>Untung Prasetyo</t>
  </si>
  <si>
    <t>Wahidin</t>
  </si>
  <si>
    <t>Wasito Abdul Mukit, Ir</t>
  </si>
  <si>
    <t>Yansen Miri, Ir</t>
  </si>
  <si>
    <t>Yohana Kaonseng</t>
  </si>
  <si>
    <t>Yudas Pasomba</t>
  </si>
  <si>
    <t>Yunasri Zainal, Ir</t>
  </si>
  <si>
    <t>Zaitun Zara, Dra</t>
  </si>
  <si>
    <t>Zilzal HM, Ir</t>
  </si>
  <si>
    <t>Achmad Farid</t>
  </si>
  <si>
    <t>M Yunus (Satpam)</t>
  </si>
  <si>
    <t>Rofikoh Haziri</t>
  </si>
  <si>
    <t>Sumardi Supir</t>
  </si>
  <si>
    <t>Bobby A. Novrianto</t>
  </si>
  <si>
    <t>Sumardi</t>
  </si>
  <si>
    <t>Capt. Iman Satria Utama</t>
  </si>
  <si>
    <t>Sari Gita Tantini</t>
  </si>
  <si>
    <t>Irawati, ST</t>
  </si>
  <si>
    <t>Gde Sandhyana P, S.Kom</t>
  </si>
  <si>
    <t>Tri Budiyanto</t>
  </si>
  <si>
    <t>Muslim Dermawan</t>
  </si>
  <si>
    <t>Edit Hasta Prihantika</t>
  </si>
  <si>
    <t>Rizki Aldilla Tamtura</t>
  </si>
  <si>
    <t>Willy Adi Nugroho, SH</t>
  </si>
  <si>
    <t>Saepul</t>
  </si>
  <si>
    <t>Annissa Fadhillah</t>
  </si>
  <si>
    <t>Steffy H</t>
  </si>
  <si>
    <t>La Ode Muh Ichsan</t>
  </si>
  <si>
    <t>Muhammad Ardiansyah</t>
  </si>
  <si>
    <t>Marisa Theresia</t>
  </si>
  <si>
    <t>Zul Fajrin Azdin</t>
  </si>
  <si>
    <t>Megawati Rosalio Putri</t>
  </si>
  <si>
    <t>Aldico William Schuurman</t>
  </si>
  <si>
    <t>Yosida Isdianawati</t>
  </si>
  <si>
    <t>Susetyo Wijanarko</t>
  </si>
  <si>
    <t>Nenny Yuniarti</t>
  </si>
  <si>
    <t>Muhammad Sofyan</t>
  </si>
  <si>
    <t>Sahdat Fama Ridho</t>
  </si>
  <si>
    <t>Samsul Muslim</t>
  </si>
  <si>
    <t>Yudi Prawoto</t>
  </si>
  <si>
    <t>Alwin Ridwan</t>
  </si>
  <si>
    <t>Awaluddin Paingngi</t>
  </si>
  <si>
    <t>Adesta Munas Latief</t>
  </si>
  <si>
    <t>Endah Mustika</t>
  </si>
  <si>
    <t>Rochmansyah</t>
  </si>
  <si>
    <t>AHMAD YUNUS</t>
  </si>
  <si>
    <t>ANITA MAGDALENA</t>
  </si>
  <si>
    <t>DEDE MA'MUN</t>
  </si>
  <si>
    <t>DIDIET EDHITIA FIRMAN</t>
  </si>
  <si>
    <t>ENDAH MUSTIKA NINGTYAS</t>
  </si>
  <si>
    <t>ERRY SANJAYA DJAYUS</t>
  </si>
  <si>
    <t>EVA SINTAULI SARAGIH</t>
  </si>
  <si>
    <t>GDE SANDHYANA P</t>
  </si>
  <si>
    <t>HIMAWAN</t>
  </si>
  <si>
    <t>IRWANTO</t>
  </si>
  <si>
    <t>KOSIM</t>
  </si>
  <si>
    <t>LINDA KURNIATY</t>
  </si>
  <si>
    <t>MARINA ARIFIANTI</t>
  </si>
  <si>
    <t>MARISA THERESIA</t>
  </si>
  <si>
    <t>MEGAWATI ROSALIO PUTRI</t>
  </si>
  <si>
    <t>MUSLIM DERMAWAN BARUS</t>
  </si>
  <si>
    <t>NASARUDDIN</t>
  </si>
  <si>
    <t>NENNY YUNIARTI</t>
  </si>
  <si>
    <t>PRASETYO AZMAN</t>
  </si>
  <si>
    <t>RACHMAT KURNIAWAN</t>
  </si>
  <si>
    <t>RIZAL FEBRIANTO</t>
  </si>
  <si>
    <t>ROCHMANSYAH</t>
  </si>
  <si>
    <t>RUDI HARIYANTO</t>
  </si>
  <si>
    <t>SAHDAT FAMA RIDHO</t>
  </si>
  <si>
    <t>SAMSUL MUSLIM</t>
  </si>
  <si>
    <t>SARI GITA TANTINIS</t>
  </si>
  <si>
    <t>SARIDI</t>
  </si>
  <si>
    <t>SUKADI REDJI</t>
  </si>
  <si>
    <t>SUMARTINI</t>
  </si>
  <si>
    <t>SYAHLIR</t>
  </si>
  <si>
    <t>TEGUH ANDANI</t>
  </si>
  <si>
    <t>WAHIDIN</t>
  </si>
  <si>
    <t>WILLY ADI N</t>
  </si>
  <si>
    <t>YOHANA KAONSENG</t>
  </si>
  <si>
    <t>ILYAS</t>
  </si>
  <si>
    <t xml:space="preserve">TOTOK ACHMAD </t>
  </si>
  <si>
    <t>IRAWATI</t>
  </si>
  <si>
    <t>PUTRI NURLAKSMI</t>
  </si>
  <si>
    <t>LILY PANDANSARI</t>
  </si>
  <si>
    <t>ALDICIO WILLIAM SCHUURMAN</t>
  </si>
  <si>
    <t>TANTYO PRAJOGA</t>
  </si>
  <si>
    <t>R. AGUS DODDY DWISAGITA</t>
  </si>
  <si>
    <t>ROSALINA AMRAN</t>
  </si>
  <si>
    <t>a</t>
  </si>
  <si>
    <t>b</t>
  </si>
  <si>
    <t>Mekari (untuk p. reguler</t>
  </si>
  <si>
    <t>P. Khusus</t>
  </si>
  <si>
    <t>SUGENG YULIANTO</t>
  </si>
  <si>
    <t>Sudarman</t>
  </si>
  <si>
    <t>ALWIN RIDWAN</t>
  </si>
  <si>
    <t>BAYU MAHARDIKA</t>
  </si>
  <si>
    <t>NOSY OSRIAT</t>
  </si>
  <si>
    <t>ADESTA MUNAS LATIEF</t>
  </si>
  <si>
    <t>AWALUDDIN PAINGNGI</t>
  </si>
  <si>
    <t>DINO VITA LARASANTO</t>
  </si>
  <si>
    <t>SUSETYO WIJANARKO BUDIARDHI</t>
  </si>
  <si>
    <t>RAHADI SIGIT</t>
  </si>
  <si>
    <t>SYAFRIL</t>
  </si>
  <si>
    <t>M. SOPYAN</t>
  </si>
  <si>
    <t>RIZKI ALDILLA TAMTURA</t>
  </si>
  <si>
    <t>DANDY RUKMANA</t>
  </si>
  <si>
    <t>MAT HASAN</t>
  </si>
  <si>
    <t>HERI WIRAWAN, S.T.</t>
  </si>
  <si>
    <t>Elva Mochammad</t>
  </si>
  <si>
    <t>ELVA MOCHAMAD RAMADHAN</t>
  </si>
  <si>
    <t>Piutang Anggota - Khusus</t>
  </si>
  <si>
    <t>Januari</t>
  </si>
  <si>
    <t>Februari</t>
  </si>
  <si>
    <t>Maret</t>
  </si>
  <si>
    <t>April</t>
  </si>
  <si>
    <t>Mei</t>
  </si>
  <si>
    <t>Juni</t>
  </si>
  <si>
    <t>Total Penambahan</t>
  </si>
  <si>
    <t>Total Pengurangan</t>
  </si>
  <si>
    <t>Saldo Piutang Khusus 2025</t>
  </si>
  <si>
    <t>M RIZKI SATRIO</t>
  </si>
  <si>
    <t>Muhammad Arfah</t>
  </si>
  <si>
    <t>BAYU MAHARDIKA WICAKSONO</t>
  </si>
  <si>
    <t>WILLY ADI NUGROHO</t>
  </si>
  <si>
    <t>GDE SANDHYANA PRADHITA</t>
  </si>
  <si>
    <t>TOTOK ACHMAD SUGIHARSO</t>
  </si>
  <si>
    <t>RACHMAD KURNIAWAN</t>
  </si>
  <si>
    <t>PRASETYO</t>
  </si>
  <si>
    <t>ENDAH MUSTIKA NINGTIAS</t>
  </si>
  <si>
    <t>DIDIET EDITHIA FIRMAN</t>
  </si>
  <si>
    <t>DEDE MA'MUN SUMANTRI</t>
  </si>
  <si>
    <t>MARISA THERESIA SIHOMBING</t>
  </si>
  <si>
    <t>PUTRI NUR LAKSMI</t>
  </si>
  <si>
    <t>KOSIM BIN MARI</t>
  </si>
  <si>
    <t>Muchammad Choiron</t>
  </si>
  <si>
    <t>Indra Kusuma</t>
  </si>
  <si>
    <t>Vivi Hazlinda</t>
  </si>
  <si>
    <t>Mia Martina Indah</t>
  </si>
  <si>
    <t>selindo</t>
  </si>
  <si>
    <t>Pusat</t>
  </si>
  <si>
    <t>SBU ENERGI</t>
  </si>
  <si>
    <t>SBU INDUSTRI</t>
  </si>
  <si>
    <t>AKADEMI</t>
  </si>
  <si>
    <t>ELVA MOCH</t>
  </si>
  <si>
    <t>ERRY DJAYUS</t>
  </si>
  <si>
    <t>KOP</t>
  </si>
  <si>
    <t>Dea Adawiyah</t>
  </si>
  <si>
    <t>Juli</t>
  </si>
  <si>
    <t>Teguh Widodo</t>
  </si>
  <si>
    <t>Wahjoe Ario Tedjo</t>
  </si>
  <si>
    <t>UNTUNG PRASETYO</t>
  </si>
  <si>
    <t>DESEMBER</t>
  </si>
  <si>
    <t>Joko Utomo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</si>
</sst>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_);\(#,##0\)"/>
    <numFmt numFmtId="165" formatCode="_-* #,##0_-;\-* #,##0_-;_-* &quot;-&quot;??_-;_-@_-"/>
    <numFmt numFmtId="166" formatCode="_(* #,##0_);_(* \(#,##0\);_(* &quot;-&quot;??_);_(@_)"/>
    <numFmt numFmtId="167" formatCode="_(* #,##0_);_(* \(#,##0\);_(* &quot;-&quot;_);_(@_)"/>
  </numFmts>
  <fonts count="11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 Narrow"/>
      <family val="2"/>
    </font>
    <font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2"/>
      <name val="Calibri Light"/>
      <family val="1"/>
      <scheme val="major"/>
    </font>
    <font>
      <sz val="13"/>
      <name val="Calibri Light"/>
      <family val="1"/>
      <scheme val="major"/>
    </font>
    <font>
      <sz val="12"/>
      <name val="Cambria"/>
      <family val="1"/>
    </font>
    <font>
      <sz val="12"/>
      <color theme="1"/>
      <name val="Arial Narrow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/>
    </xf>
    <xf numFmtId="43" fontId="1" fillId="0" borderId="0" applyFont="0" applyFill="0" applyBorder="0" applyAlignment="0" applyProtection="0">
      <alignment vertical="top"/>
    </xf>
    <xf numFmtId="0" fontId="1" fillId="0" borderId="0">
      <alignment vertical="top"/>
    </xf>
    <xf numFmtId="41" fontId="1" fillId="0" borderId="0" applyFont="0" applyFill="0" applyBorder="0" applyAlignment="0" applyProtection="0"/>
  </cellStyleXfs>
  <cellXfs count="131">
    <xf numFmtId="0" fontId="0" fillId="0" borderId="0" xfId="0">
      <alignment vertical="top"/>
    </xf>
    <xf numFmtId="0" fontId="2" fillId="0" borderId="1" xfId="2" applyFont="1" applyBorder="1">
      <alignment vertical="top"/>
    </xf>
    <xf numFmtId="0" fontId="0" fillId="0" borderId="1" xfId="0" applyBorder="1">
      <alignment vertical="top"/>
    </xf>
    <xf numFmtId="0" fontId="2" fillId="2" borderId="1" xfId="2" applyFont="1" applyFill="1" applyBorder="1">
      <alignment vertical="top"/>
    </xf>
    <xf numFmtId="0" fontId="2" fillId="3" borderId="1" xfId="2" applyFont="1" applyFill="1" applyBorder="1">
      <alignment vertical="top"/>
    </xf>
    <xf numFmtId="164" fontId="2" fillId="0" borderId="1" xfId="1" applyNumberFormat="1" applyFont="1" applyBorder="1" applyAlignment="1">
      <alignment vertical="top"/>
    </xf>
    <xf numFmtId="164" fontId="1" fillId="0" borderId="1" xfId="1" applyNumberFormat="1" applyFont="1" applyBorder="1">
      <alignment vertical="top"/>
    </xf>
    <xf numFmtId="164" fontId="2" fillId="2" borderId="1" xfId="1" applyNumberFormat="1" applyFont="1" applyFill="1" applyBorder="1" applyAlignment="1">
      <alignment vertical="top"/>
    </xf>
    <xf numFmtId="164" fontId="1" fillId="2" borderId="1" xfId="1" applyNumberFormat="1" applyFont="1" applyFill="1" applyBorder="1">
      <alignment vertical="top"/>
    </xf>
    <xf numFmtId="164" fontId="2" fillId="3" borderId="1" xfId="1" applyNumberFormat="1" applyFont="1" applyFill="1" applyBorder="1" applyAlignment="1">
      <alignment vertical="top"/>
    </xf>
    <xf numFmtId="164" fontId="1" fillId="3" borderId="1" xfId="1" applyNumberFormat="1" applyFont="1" applyFill="1" applyBorder="1">
      <alignment vertical="top"/>
    </xf>
    <xf numFmtId="164" fontId="2" fillId="0" borderId="1" xfId="1" applyNumberFormat="1" applyFont="1" applyFill="1" applyBorder="1" applyAlignment="1">
      <alignment vertical="top"/>
    </xf>
    <xf numFmtId="164" fontId="1" fillId="0" borderId="1" xfId="1" applyNumberFormat="1" applyFont="1" applyFill="1" applyBorder="1">
      <alignment vertical="top"/>
    </xf>
    <xf numFmtId="164" fontId="0" fillId="0" borderId="0" xfId="0" applyNumberFormat="1">
      <alignment vertical="top"/>
    </xf>
    <xf numFmtId="165" fontId="0" fillId="0" borderId="0" xfId="1" applyNumberFormat="1" applyFont="1">
      <alignment vertical="top"/>
    </xf>
    <xf numFmtId="0" fontId="3" fillId="4" borderId="4" xfId="0" quotePrefix="1" applyFont="1" applyFill="1" applyBorder="1" applyAlignment="1">
      <alignment horizontal="left"/>
    </xf>
    <xf numFmtId="166" fontId="4" fillId="4" borderId="4" xfId="1" quotePrefix="1" applyNumberFormat="1" applyFont="1" applyFill="1" applyBorder="1" applyAlignment="1">
      <alignment horizontal="center"/>
    </xf>
    <xf numFmtId="0" fontId="3" fillId="4" borderId="4" xfId="0" applyFont="1" applyFill="1" applyBorder="1" applyAlignment="1"/>
    <xf numFmtId="41" fontId="4" fillId="4" borderId="4" xfId="3" applyFont="1" applyFill="1" applyBorder="1"/>
    <xf numFmtId="0" fontId="3" fillId="4" borderId="5" xfId="0" applyFont="1" applyFill="1" applyBorder="1" applyAlignment="1"/>
    <xf numFmtId="0" fontId="3" fillId="4" borderId="5" xfId="0" quotePrefix="1" applyFont="1" applyFill="1" applyBorder="1" applyAlignment="1">
      <alignment horizontal="left"/>
    </xf>
    <xf numFmtId="166" fontId="4" fillId="4" borderId="6" xfId="1" quotePrefix="1" applyNumberFormat="1" applyFont="1" applyFill="1" applyBorder="1" applyAlignment="1">
      <alignment horizontal="center"/>
    </xf>
    <xf numFmtId="166" fontId="0" fillId="0" borderId="0" xfId="0" applyNumberFormat="1">
      <alignment vertical="top"/>
    </xf>
    <xf numFmtId="0" fontId="2" fillId="5" borderId="1" xfId="2" applyFont="1" applyFill="1" applyBorder="1">
      <alignment vertical="top"/>
    </xf>
    <xf numFmtId="164" fontId="2" fillId="5" borderId="1" xfId="1" applyNumberFormat="1" applyFont="1" applyFill="1" applyBorder="1" applyAlignment="1">
      <alignment vertical="top"/>
    </xf>
    <xf numFmtId="0" fontId="2" fillId="6" borderId="1" xfId="2" applyFont="1" applyFill="1" applyBorder="1">
      <alignment vertical="top"/>
    </xf>
    <xf numFmtId="164" fontId="1" fillId="6" borderId="1" xfId="1" applyNumberFormat="1" applyFont="1" applyFill="1" applyBorder="1">
      <alignment vertical="top"/>
    </xf>
    <xf numFmtId="164" fontId="2" fillId="6" borderId="1" xfId="1" applyNumberFormat="1" applyFont="1" applyFill="1" applyBorder="1" applyAlignment="1">
      <alignment vertical="top"/>
    </xf>
    <xf numFmtId="0" fontId="3" fillId="4" borderId="7" xfId="0" quotePrefix="1" applyFont="1" applyFill="1" applyBorder="1" applyAlignment="1">
      <alignment horizontal="left"/>
    </xf>
    <xf numFmtId="166" fontId="4" fillId="4" borderId="8" xfId="1" quotePrefix="1" applyNumberFormat="1" applyFont="1" applyFill="1" applyBorder="1" applyAlignment="1">
      <alignment horizontal="center"/>
    </xf>
    <xf numFmtId="0" fontId="3" fillId="0" borderId="4" xfId="0" quotePrefix="1" applyFont="1" applyBorder="1" applyAlignment="1">
      <alignment horizontal="left"/>
    </xf>
    <xf numFmtId="0" fontId="3" fillId="0" borderId="4" xfId="0" applyFont="1" applyBorder="1" applyAlignment="1"/>
    <xf numFmtId="0" fontId="3" fillId="7" borderId="4" xfId="0" applyFont="1" applyFill="1" applyBorder="1" applyAlignment="1"/>
    <xf numFmtId="41" fontId="4" fillId="7" borderId="4" xfId="3" applyFont="1" applyFill="1" applyBorder="1"/>
    <xf numFmtId="41" fontId="4" fillId="0" borderId="4" xfId="3" applyFont="1" applyFill="1" applyBorder="1"/>
    <xf numFmtId="0" fontId="3" fillId="0" borderId="5" xfId="0" applyFont="1" applyBorder="1" applyAlignment="1"/>
    <xf numFmtId="41" fontId="4" fillId="4" borderId="6" xfId="3" applyFont="1" applyFill="1" applyBorder="1"/>
    <xf numFmtId="0" fontId="3" fillId="2" borderId="4" xfId="0" applyFont="1" applyFill="1" applyBorder="1" applyAlignment="1"/>
    <xf numFmtId="0" fontId="3" fillId="0" borderId="1" xfId="0" quotePrefix="1" applyFont="1" applyBorder="1" applyAlignment="1">
      <alignment horizontal="left"/>
    </xf>
    <xf numFmtId="166" fontId="4" fillId="4" borderId="1" xfId="1" quotePrefix="1" applyNumberFormat="1" applyFont="1" applyFill="1" applyBorder="1" applyAlignment="1">
      <alignment horizontal="center"/>
    </xf>
    <xf numFmtId="0" fontId="2" fillId="0" borderId="0" xfId="2" applyFont="1">
      <alignment vertical="top"/>
    </xf>
    <xf numFmtId="164" fontId="2" fillId="0" borderId="0" xfId="1" applyNumberFormat="1" applyFont="1" applyBorder="1" applyAlignment="1">
      <alignment vertical="top"/>
    </xf>
    <xf numFmtId="41" fontId="0" fillId="0" borderId="0" xfId="0" applyNumberFormat="1">
      <alignment vertical="top"/>
    </xf>
    <xf numFmtId="0" fontId="5" fillId="4" borderId="4" xfId="0" applyFont="1" applyFill="1" applyBorder="1" applyAlignment="1">
      <alignment horizontal="left" vertical="center"/>
    </xf>
    <xf numFmtId="167" fontId="5" fillId="4" borderId="6" xfId="0" applyNumberFormat="1" applyFont="1" applyFill="1" applyBorder="1" applyAlignment="1"/>
    <xf numFmtId="41" fontId="5" fillId="4" borderId="9" xfId="3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5" fontId="5" fillId="0" borderId="9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167" fontId="7" fillId="4" borderId="10" xfId="0" applyNumberFormat="1" applyFont="1" applyFill="1" applyBorder="1" applyAlignment="1"/>
    <xf numFmtId="49" fontId="8" fillId="0" borderId="4" xfId="0" applyNumberFormat="1" applyFont="1" applyBorder="1" applyAlignment="1">
      <alignment horizontal="left" vertical="center" wrapText="1" shrinkToFit="1"/>
    </xf>
    <xf numFmtId="41" fontId="8" fillId="0" borderId="4" xfId="3" applyFont="1" applyFill="1" applyBorder="1" applyAlignment="1">
      <alignment horizontal="left" vertical="center" wrapText="1" shrinkToFit="1"/>
    </xf>
    <xf numFmtId="0" fontId="2" fillId="5" borderId="11" xfId="2" applyFont="1" applyFill="1" applyBorder="1">
      <alignment vertical="top"/>
    </xf>
    <xf numFmtId="164" fontId="2" fillId="2" borderId="11" xfId="1" applyNumberFormat="1" applyFont="1" applyFill="1" applyBorder="1" applyAlignment="1">
      <alignment vertical="top"/>
    </xf>
    <xf numFmtId="0" fontId="6" fillId="0" borderId="12" xfId="0" applyFont="1" applyBorder="1" applyAlignment="1">
      <alignment horizontal="left" vertical="center" wrapText="1"/>
    </xf>
    <xf numFmtId="167" fontId="7" fillId="0" borderId="10" xfId="0" applyNumberFormat="1" applyFont="1" applyBorder="1" applyAlignment="1"/>
    <xf numFmtId="164" fontId="9" fillId="0" borderId="1" xfId="1" applyNumberFormat="1" applyFont="1" applyFill="1" applyBorder="1" applyAlignment="1">
      <alignment vertical="top"/>
    </xf>
    <xf numFmtId="0" fontId="0" fillId="6" borderId="0" xfId="0" applyFill="1">
      <alignment vertical="top"/>
    </xf>
    <xf numFmtId="164" fontId="9" fillId="0" borderId="1" xfId="1" applyNumberFormat="1" applyFont="1" applyFill="1" applyBorder="1" applyAlignment="1">
      <alignment horizontal="center" vertical="center" wrapText="1"/>
    </xf>
    <xf numFmtId="164" fontId="9" fillId="0" borderId="1" xfId="2" applyNumberFormat="1" applyFont="1" applyBorder="1">
      <alignment vertical="top"/>
    </xf>
    <xf numFmtId="164" fontId="0" fillId="0" borderId="0" xfId="1" applyNumberFormat="1" applyFont="1" applyFill="1">
      <alignment vertical="top"/>
    </xf>
    <xf numFmtId="0" fontId="9" fillId="0" borderId="0" xfId="0" applyFo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2" applyFont="1" applyBorder="1">
      <alignment vertical="top"/>
    </xf>
    <xf numFmtId="0" fontId="9" fillId="0" borderId="1" xfId="0" applyFont="1" applyBorder="1">
      <alignment vertical="top"/>
    </xf>
    <xf numFmtId="164" fontId="9" fillId="0" borderId="0" xfId="1" applyNumberFormat="1" applyFont="1" applyFill="1">
      <alignment vertical="top"/>
    </xf>
    <xf numFmtId="164" fontId="9" fillId="0" borderId="1" xfId="1" applyNumberFormat="1" applyFont="1" applyFill="1" applyBorder="1">
      <alignment vertical="top"/>
    </xf>
    <xf numFmtId="164" fontId="9" fillId="0" borderId="0" xfId="1" applyNumberFormat="1" applyFont="1" applyFill="1" applyAlignment="1">
      <alignment vertical="top"/>
    </xf>
    <xf numFmtId="164" fontId="9" fillId="0" borderId="1" xfId="1" applyNumberFormat="1" applyFont="1" applyFill="1" applyBorder="1" applyAlignment="1">
      <alignment horizontal="center" vertical="center"/>
    </xf>
    <xf numFmtId="164" fontId="9" fillId="0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9" fillId="0" borderId="0" xfId="0" applyNumberFormat="1" applyFont="1">
      <alignment vertical="top"/>
    </xf>
    <xf numFmtId="165" fontId="10" fillId="0" borderId="0" xfId="1" applyNumberFormat="1" applyFont="1" applyFill="1">
      <alignment vertical="top"/>
    </xf>
    <xf numFmtId="165" fontId="10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>
      <alignment vertical="top"/>
    </xf>
    <xf numFmtId="165" fontId="0" fillId="0" borderId="0" xfId="1" applyNumberFormat="1" applyFont="1" applyFill="1">
      <alignment vertical="top"/>
    </xf>
    <xf numFmtId="165" fontId="0" fillId="0" borderId="1" xfId="0" applyNumberFormat="1" applyBorder="1">
      <alignment vertical="top"/>
    </xf>
    <xf numFmtId="0" fontId="9" fillId="6" borderId="1" xfId="0" applyFont="1" applyFill="1" applyBorder="1">
      <alignment vertical="top"/>
    </xf>
    <xf numFmtId="164" fontId="9" fillId="6" borderId="1" xfId="2" applyNumberFormat="1" applyFont="1" applyFill="1" applyBorder="1">
      <alignment vertical="top"/>
    </xf>
    <xf numFmtId="165" fontId="0" fillId="0" borderId="0" xfId="0" applyNumberFormat="1">
      <alignment vertical="top"/>
    </xf>
    <xf numFmtId="166" fontId="4" fillId="0" borderId="4" xfId="1" quotePrefix="1" applyNumberFormat="1" applyFont="1" applyFill="1" applyBorder="1" applyAlignment="1">
      <alignment horizontal="center"/>
    </xf>
    <xf numFmtId="0" fontId="9" fillId="8" borderId="1" xfId="0" applyFont="1" applyFill="1" applyBorder="1">
      <alignment vertical="top"/>
    </xf>
    <xf numFmtId="0" fontId="9" fillId="8" borderId="1" xfId="2" applyFont="1" applyFill="1" applyBorder="1">
      <alignment vertical="top"/>
    </xf>
    <xf numFmtId="164" fontId="9" fillId="8" borderId="1" xfId="2" applyNumberFormat="1" applyFont="1" applyFill="1" applyBorder="1">
      <alignment vertical="top"/>
    </xf>
    <xf numFmtId="164" fontId="9" fillId="8" borderId="1" xfId="1" applyNumberFormat="1" applyFont="1" applyFill="1" applyBorder="1" applyAlignment="1">
      <alignment vertical="top"/>
    </xf>
    <xf numFmtId="164" fontId="9" fillId="8" borderId="1" xfId="1" applyNumberFormat="1" applyFont="1" applyFill="1" applyBorder="1">
      <alignment vertical="top"/>
    </xf>
    <xf numFmtId="165" fontId="10" fillId="8" borderId="1" xfId="1" applyNumberFormat="1" applyFont="1" applyFill="1" applyBorder="1">
      <alignment vertical="top"/>
    </xf>
    <xf numFmtId="0" fontId="0" fillId="8" borderId="0" xfId="0" applyFill="1">
      <alignment vertical="top"/>
    </xf>
    <xf numFmtId="165" fontId="9" fillId="6" borderId="1" xfId="1" applyNumberFormat="1" applyFont="1" applyFill="1" applyBorder="1">
      <alignment vertical="top"/>
    </xf>
    <xf numFmtId="165" fontId="10" fillId="0" borderId="0" xfId="1" applyNumberFormat="1" applyFont="1">
      <alignment vertical="top"/>
    </xf>
    <xf numFmtId="165" fontId="10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>
      <alignment vertical="top"/>
    </xf>
    <xf numFmtId="165" fontId="10" fillId="2" borderId="1" xfId="1" applyNumberFormat="1" applyFont="1" applyFill="1" applyBorder="1">
      <alignment vertical="top"/>
    </xf>
    <xf numFmtId="165" fontId="10" fillId="9" borderId="1" xfId="1" applyNumberFormat="1" applyFont="1" applyFill="1" applyBorder="1">
      <alignment vertical="top"/>
    </xf>
    <xf numFmtId="0" fontId="9" fillId="2" borderId="1" xfId="0" applyFont="1" applyFill="1" applyBorder="1">
      <alignment vertical="top"/>
    </xf>
    <xf numFmtId="0" fontId="9" fillId="2" borderId="1" xfId="2" applyFont="1" applyFill="1" applyBorder="1">
      <alignment vertical="top"/>
    </xf>
    <xf numFmtId="164" fontId="9" fillId="2" borderId="1" xfId="2" applyNumberFormat="1" applyFont="1" applyFill="1" applyBorder="1">
      <alignment vertical="top"/>
    </xf>
    <xf numFmtId="164" fontId="9" fillId="2" borderId="1" xfId="1" applyNumberFormat="1" applyFont="1" applyFill="1" applyBorder="1" applyAlignment="1">
      <alignment vertical="top"/>
    </xf>
    <xf numFmtId="164" fontId="9" fillId="2" borderId="1" xfId="1" applyNumberFormat="1" applyFont="1" applyFill="1" applyBorder="1">
      <alignment vertical="top"/>
    </xf>
    <xf numFmtId="0" fontId="0" fillId="2" borderId="0" xfId="0" applyFill="1">
      <alignment vertical="top"/>
    </xf>
    <xf numFmtId="41" fontId="4" fillId="0" borderId="4" xfId="3" applyFont="1" applyFill="1" applyBorder="1" applyAlignment="1">
      <alignment horizontal="right"/>
    </xf>
    <xf numFmtId="166" fontId="4" fillId="4" borderId="4" xfId="1" quotePrefix="1" applyNumberFormat="1" applyFont="1" applyFill="1" applyBorder="1" applyAlignment="1">
      <alignment horizontal="right"/>
    </xf>
    <xf numFmtId="166" fontId="4" fillId="4" borderId="13" xfId="1" quotePrefix="1" applyNumberFormat="1" applyFont="1" applyFill="1" applyBorder="1" applyAlignment="1">
      <alignment horizontal="center"/>
    </xf>
    <xf numFmtId="165" fontId="0" fillId="2" borderId="0" xfId="1" applyNumberFormat="1" applyFont="1" applyFill="1">
      <alignment vertical="top"/>
    </xf>
    <xf numFmtId="0" fontId="3" fillId="10" borderId="4" xfId="0" quotePrefix="1" applyFont="1" applyFill="1" applyBorder="1" applyAlignment="1">
      <alignment horizontal="left"/>
    </xf>
    <xf numFmtId="0" fontId="3" fillId="10" borderId="4" xfId="0" applyFont="1" applyFill="1" applyBorder="1" applyAlignment="1"/>
    <xf numFmtId="166" fontId="4" fillId="0" borderId="4" xfId="1" quotePrefix="1" applyNumberFormat="1" applyFont="1" applyFill="1" applyBorder="1" applyAlignment="1">
      <alignment horizontal="right"/>
    </xf>
    <xf numFmtId="0" fontId="3" fillId="10" borderId="13" xfId="0" quotePrefix="1" applyFont="1" applyFill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164" fontId="9" fillId="0" borderId="2" xfId="1" applyNumberFormat="1" applyFont="1" applyFill="1" applyBorder="1" applyAlignment="1">
      <alignment horizontal="center" vertical="center"/>
    </xf>
    <xf numFmtId="164" fontId="9" fillId="0" borderId="3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top"/>
    </xf>
    <xf numFmtId="165" fontId="10" fillId="0" borderId="1" xfId="1" applyNumberFormat="1" applyFont="1" applyBorder="1" applyAlignment="1">
      <alignment horizontal="center" vertical="top"/>
    </xf>
    <xf numFmtId="165" fontId="10" fillId="0" borderId="2" xfId="1" applyNumberFormat="1" applyFont="1" applyBorder="1" applyAlignment="1">
      <alignment horizontal="center" vertical="top"/>
    </xf>
    <xf numFmtId="165" fontId="10" fillId="0" borderId="3" xfId="1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 vertical="center"/>
    </xf>
    <xf numFmtId="164" fontId="9" fillId="0" borderId="0" xfId="2" applyNumberFormat="1" applyFont="1" applyBorder="1">
      <alignment vertical="top"/>
    </xf>
    <xf numFmtId="0" fontId="9" fillId="11" borderId="1" xfId="2" applyFont="1" applyFill="1" applyBorder="1">
      <alignment vertical="top"/>
    </xf>
    <xf numFmtId="164" fontId="9" fillId="11" borderId="1" xfId="2" applyNumberFormat="1" applyFont="1" applyFill="1" applyBorder="1">
      <alignment vertical="top"/>
    </xf>
    <xf numFmtId="164" fontId="9" fillId="11" borderId="1" xfId="1" applyNumberFormat="1" applyFont="1" applyFill="1" applyBorder="1" applyAlignment="1">
      <alignment vertical="top"/>
    </xf>
    <xf numFmtId="164" fontId="9" fillId="11" borderId="1" xfId="1" applyNumberFormat="1" applyFont="1" applyFill="1" applyBorder="1">
      <alignment vertical="top"/>
    </xf>
    <xf numFmtId="165" fontId="10" fillId="11" borderId="1" xfId="1" applyNumberFormat="1" applyFont="1" applyFill="1" applyBorder="1">
      <alignment vertical="top"/>
    </xf>
    <xf numFmtId="0" fontId="9" fillId="12" borderId="1" xfId="2" applyFont="1" applyFill="1" applyBorder="1">
      <alignment vertical="top"/>
    </xf>
    <xf numFmtId="164" fontId="9" fillId="12" borderId="1" xfId="2" applyNumberFormat="1" applyFont="1" applyFill="1" applyBorder="1">
      <alignment vertical="top"/>
    </xf>
    <xf numFmtId="164" fontId="9" fillId="12" borderId="1" xfId="1" applyNumberFormat="1" applyFont="1" applyFill="1" applyBorder="1" applyAlignment="1">
      <alignment vertical="top"/>
    </xf>
    <xf numFmtId="164" fontId="9" fillId="12" borderId="1" xfId="1" applyNumberFormat="1" applyFont="1" applyFill="1" applyBorder="1">
      <alignment vertical="top"/>
    </xf>
    <xf numFmtId="165" fontId="10" fillId="12" borderId="1" xfId="1" applyNumberFormat="1" applyFont="1" applyFill="1" applyBorder="1">
      <alignment vertical="top"/>
    </xf>
    <xf numFmtId="0" fontId="9" fillId="0" borderId="1" xfId="2" applyFont="1" applyFill="1" applyBorder="1">
      <alignment vertical="top"/>
    </xf>
    <xf numFmtId="164" fontId="9" fillId="0" borderId="1" xfId="2" applyNumberFormat="1" applyFont="1" applyFill="1" applyBorder="1">
      <alignment vertical="top"/>
    </xf>
  </cellXfs>
  <cellStyles count="4">
    <cellStyle name="Comma" xfId="1" builtinId="3"/>
    <cellStyle name="Comma [0]" xfId="3" builtinId="6"/>
    <cellStyle name="Normal" xfId="0" builtinId="0"/>
    <cellStyle name="Normal 2" xfId="2" xr:uid="{F29BE388-AC40-4FD7-BC74-1D6F46C54468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IDARH\AppData\Local\Packages\5319275A.WhatsAppDesktop_cv1g1gvanyjgm\LocalState\sessions\DE12B9B1515C47D8DF5695A5C3DA66781DEAD14A\transfers\2026-04\REVISI%2012.%20DESEMBER%202025%20-%20KANTOR%20PUSAT.xlsx" TargetMode="External"/><Relationship Id="rId1" Type="http://schemas.openxmlformats.org/officeDocument/2006/relationships/externalLinkPath" Target="/Users/SHAIDARH/AppData/Local/Packages/5319275A.WhatsAppDesktop_cv1g1gvanyjgm/LocalState/sessions/DE12B9B1515C47D8DF5695A5C3DA66781DEAD14A/transfers/2026-04/REVISI%2012.%20DESEMBER%202025%20-%20KANTOR%20PUS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DA TERIMA"/>
      <sheetName val="LUNAS"/>
      <sheetName val="DAFTAR (2)"/>
      <sheetName val="REKAP"/>
      <sheetName val="DAFTAR ALL"/>
      <sheetName val="BREAKDOWN DAFTAR"/>
      <sheetName val="Reguler &amp; Khusus"/>
      <sheetName val="DKI 2011"/>
      <sheetName val="DKI 2012"/>
      <sheetName val="BRIS I"/>
      <sheetName val="BRIS II-V"/>
      <sheetName val="BRIS VI-VII"/>
      <sheetName val="BRIS I 2015"/>
      <sheetName val="BRIS II 2015"/>
      <sheetName val="BRIS III 2015"/>
      <sheetName val="BRIS IV 2015"/>
      <sheetName val="BRIS V 2015 "/>
      <sheetName val="BRIS VI 2015"/>
      <sheetName val="BRIS II 2016 "/>
      <sheetName val="BRIS III 2016"/>
      <sheetName val="BRIS I 2016"/>
      <sheetName val="BJB"/>
      <sheetName val="BJB FASILITAS 2"/>
      <sheetName val="DKI 2008"/>
      <sheetName val="BJB FASILITAS 3"/>
      <sheetName val="PINJAMAN PT SYS"/>
      <sheetName val="BANK MANDIRI"/>
      <sheetName val="BANK SYARIAH INDONESIA"/>
      <sheetName val="TAB.QUR"/>
      <sheetName val="Sheet1"/>
      <sheetName val="SIMPANAN SUKARELA"/>
      <sheetName val="KENDARAAN"/>
      <sheetName val="PINJ STNK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B8" t="str">
            <v>AHMAD YUNUS</v>
          </cell>
          <cell r="D8">
            <v>833333</v>
          </cell>
        </row>
        <row r="9">
          <cell r="B9" t="str">
            <v>ANITA MAGDALENA</v>
          </cell>
          <cell r="C9" t="str">
            <v>IDS</v>
          </cell>
          <cell r="D9">
            <v>4100238</v>
          </cell>
        </row>
        <row r="10">
          <cell r="B10" t="str">
            <v>BAYU MAHARDIKA WICAKSONO</v>
          </cell>
          <cell r="D10">
            <v>1666667</v>
          </cell>
        </row>
        <row r="11">
          <cell r="B11" t="str">
            <v>DEDE MA'MUN SUMANTRI</v>
          </cell>
          <cell r="D11">
            <v>5833333</v>
          </cell>
        </row>
        <row r="12">
          <cell r="B12" t="str">
            <v>DIDIET EDITHIA FIRMAN</v>
          </cell>
          <cell r="D12">
            <v>1527778</v>
          </cell>
        </row>
        <row r="13">
          <cell r="B13" t="str">
            <v>ENDAH MUSTIKA NINGTIAS</v>
          </cell>
          <cell r="D13">
            <v>1666667</v>
          </cell>
        </row>
        <row r="14">
          <cell r="B14" t="str">
            <v>ERRY SANJAYA DJAYUS</v>
          </cell>
          <cell r="D14">
            <v>6944444</v>
          </cell>
        </row>
        <row r="15">
          <cell r="B15" t="str">
            <v>EVA SINTAULI SARAGIH</v>
          </cell>
          <cell r="D15">
            <v>2500000</v>
          </cell>
        </row>
        <row r="16">
          <cell r="B16" t="str">
            <v>GDE SANDHYANA PRADHITA</v>
          </cell>
          <cell r="C16" t="str">
            <v>IDS</v>
          </cell>
          <cell r="D16">
            <v>1200000</v>
          </cell>
        </row>
        <row r="17">
          <cell r="B17" t="str">
            <v>HAERUDIN</v>
          </cell>
          <cell r="D17">
            <v>0</v>
          </cell>
        </row>
        <row r="18">
          <cell r="B18" t="str">
            <v>HARDIAN</v>
          </cell>
          <cell r="C18" t="str">
            <v>IDS</v>
          </cell>
          <cell r="D18">
            <v>0</v>
          </cell>
        </row>
        <row r="19">
          <cell r="B19" t="str">
            <v>HIMAWAN</v>
          </cell>
          <cell r="D19">
            <v>694444</v>
          </cell>
        </row>
        <row r="20">
          <cell r="B20" t="str">
            <v>IRWANTO</v>
          </cell>
          <cell r="D20">
            <v>2083333</v>
          </cell>
        </row>
        <row r="21">
          <cell r="B21" t="str">
            <v>KOSIM BIN MARI</v>
          </cell>
          <cell r="D21">
            <v>1041667</v>
          </cell>
        </row>
        <row r="22">
          <cell r="B22" t="str">
            <v>LINDA KURNIATY</v>
          </cell>
          <cell r="D22">
            <v>2083333</v>
          </cell>
        </row>
        <row r="23">
          <cell r="B23" t="str">
            <v>MARINA ARIFIANTI</v>
          </cell>
          <cell r="D23">
            <v>2500000</v>
          </cell>
        </row>
        <row r="24">
          <cell r="B24" t="str">
            <v>MARISA THERESIA SIHOMBING</v>
          </cell>
          <cell r="D24">
            <v>1666667</v>
          </cell>
        </row>
        <row r="25">
          <cell r="B25" t="str">
            <v>MEGAWATI ROSALIO PUTRI</v>
          </cell>
          <cell r="C25" t="str">
            <v>IDS</v>
          </cell>
          <cell r="D25">
            <v>1041667</v>
          </cell>
        </row>
        <row r="26">
          <cell r="B26" t="str">
            <v>NASARUDDIN</v>
          </cell>
          <cell r="D26">
            <v>2777778</v>
          </cell>
        </row>
        <row r="27">
          <cell r="B27" t="str">
            <v>NENNY YUNIARTI</v>
          </cell>
          <cell r="D27">
            <v>2083333</v>
          </cell>
        </row>
        <row r="28">
          <cell r="B28" t="str">
            <v>PRASETYO</v>
          </cell>
          <cell r="C28" t="str">
            <v>IDS</v>
          </cell>
          <cell r="D28">
            <v>1296296</v>
          </cell>
        </row>
        <row r="29">
          <cell r="B29" t="str">
            <v>PUJATMANTO BASTRIADI</v>
          </cell>
          <cell r="D29">
            <v>0</v>
          </cell>
        </row>
        <row r="30">
          <cell r="B30" t="str">
            <v>RACHMAD KURNIAWAN</v>
          </cell>
          <cell r="D30">
            <v>1000000</v>
          </cell>
        </row>
        <row r="31">
          <cell r="B31" t="str">
            <v>RATNA DEWI</v>
          </cell>
          <cell r="D31">
            <v>0</v>
          </cell>
        </row>
        <row r="32">
          <cell r="B32" t="str">
            <v>RISKA TRI HANDINI</v>
          </cell>
          <cell r="D32">
            <v>0</v>
          </cell>
        </row>
        <row r="33">
          <cell r="B33" t="str">
            <v>SAMSUL MUSLIM</v>
          </cell>
          <cell r="D33">
            <v>2083333</v>
          </cell>
        </row>
        <row r="34">
          <cell r="B34" t="str">
            <v>SARI GITA TANTINIS</v>
          </cell>
          <cell r="D34">
            <v>2083333</v>
          </cell>
        </row>
        <row r="35">
          <cell r="B35" t="str">
            <v>SARIDI</v>
          </cell>
          <cell r="D35">
            <v>1388889</v>
          </cell>
        </row>
        <row r="36">
          <cell r="B36" t="str">
            <v>SUKADI REDJI</v>
          </cell>
          <cell r="D36">
            <v>6250000</v>
          </cell>
        </row>
        <row r="37">
          <cell r="B37" t="str">
            <v>SUMARTINI</v>
          </cell>
          <cell r="D37">
            <v>1666667</v>
          </cell>
        </row>
        <row r="38">
          <cell r="B38" t="str">
            <v>SYAHLIR</v>
          </cell>
          <cell r="C38" t="str">
            <v>IDS</v>
          </cell>
          <cell r="D38">
            <v>1150174</v>
          </cell>
        </row>
        <row r="39">
          <cell r="B39" t="str">
            <v>TEGUH ANDANI</v>
          </cell>
          <cell r="C39" t="str">
            <v>IDS</v>
          </cell>
          <cell r="D39">
            <v>833333</v>
          </cell>
        </row>
        <row r="40">
          <cell r="B40" t="str">
            <v>UNTUNG PRASETYO</v>
          </cell>
          <cell r="D40">
            <v>972222</v>
          </cell>
        </row>
        <row r="41">
          <cell r="B41" t="str">
            <v>WAHIDIN</v>
          </cell>
          <cell r="D41">
            <v>2083333</v>
          </cell>
        </row>
        <row r="42">
          <cell r="B42" t="str">
            <v>WILLY ADI NUGROHO</v>
          </cell>
          <cell r="D42">
            <v>1666667</v>
          </cell>
        </row>
        <row r="43">
          <cell r="B43" t="str">
            <v>YULIA FAJRI KINANTI</v>
          </cell>
          <cell r="D43">
            <v>0</v>
          </cell>
        </row>
        <row r="44">
          <cell r="B44" t="str">
            <v>ABDUR RAHMAN</v>
          </cell>
          <cell r="D44">
            <v>0</v>
          </cell>
        </row>
        <row r="45">
          <cell r="B45" t="str">
            <v>ANDRI SURYAWAN</v>
          </cell>
          <cell r="C45" t="str">
            <v>IDS</v>
          </cell>
          <cell r="D45">
            <v>0</v>
          </cell>
        </row>
        <row r="46">
          <cell r="B46" t="str">
            <v>IRAWATI</v>
          </cell>
          <cell r="C46" t="str">
            <v>IDS</v>
          </cell>
          <cell r="D46">
            <v>2083333</v>
          </cell>
        </row>
        <row r="47">
          <cell r="B47" t="str">
            <v>PUTRI NUR LAKSMI</v>
          </cell>
          <cell r="D47">
            <v>0</v>
          </cell>
        </row>
        <row r="48">
          <cell r="B48" t="str">
            <v>WAWAN PRIYA WIDYANTA</v>
          </cell>
          <cell r="D48">
            <v>0</v>
          </cell>
        </row>
        <row r="49">
          <cell r="B49" t="str">
            <v>MIA MARTINA INDAH</v>
          </cell>
        </row>
        <row r="50">
          <cell r="B50" t="str">
            <v>MUHAMMAD IRVAN WIDYA</v>
          </cell>
          <cell r="C50" t="str">
            <v>IDS</v>
          </cell>
        </row>
        <row r="51">
          <cell r="B51" t="str">
            <v>ALDICIO WILLIAM SCHUURMAN</v>
          </cell>
          <cell r="C51" t="str">
            <v>IDS</v>
          </cell>
          <cell r="D51">
            <v>1250000</v>
          </cell>
        </row>
        <row r="52">
          <cell r="B52" t="str">
            <v>BUSROL KARIM</v>
          </cell>
        </row>
        <row r="53">
          <cell r="B53" t="str">
            <v>MAT HASAN</v>
          </cell>
          <cell r="D53">
            <v>7761627</v>
          </cell>
        </row>
        <row r="54">
          <cell r="B54" t="str">
            <v>DWI CAHYA KURNIAWANI</v>
          </cell>
          <cell r="D54">
            <v>0</v>
          </cell>
        </row>
        <row r="55">
          <cell r="B55" t="str">
            <v>DHITYA PUTRA RAMADHAN</v>
          </cell>
          <cell r="C55" t="str">
            <v>IDS</v>
          </cell>
          <cell r="D55">
            <v>0</v>
          </cell>
        </row>
        <row r="56">
          <cell r="B56" t="str">
            <v>MOHAMMAD HASAN</v>
          </cell>
          <cell r="C56" t="str">
            <v>IDS</v>
          </cell>
          <cell r="D5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E3B1-1EDC-469A-8380-3C424ABC245E}">
  <dimension ref="A1:BE182"/>
  <sheetViews>
    <sheetView tabSelected="1" view="pageBreakPreview" zoomScale="70" zoomScaleNormal="80" zoomScaleSheetLayoutView="70" workbookViewId="0">
      <selection activeCell="BD5" sqref="BD5"/>
    </sheetView>
  </sheetViews>
  <sheetFormatPr defaultRowHeight="12.5" x14ac:dyDescent="0.25"/>
  <cols>
    <col min="1" max="1" width="8.81640625" bestFit="1" customWidth="1"/>
    <col min="2" max="2" width="27.90625" customWidth="1"/>
    <col min="3" max="3" width="17.7265625" style="13" hidden="1" customWidth="1"/>
    <col min="4" max="29" width="15.6328125" style="60" hidden="1" customWidth="1"/>
    <col min="30" max="30" width="17.1796875" style="60" customWidth="1"/>
    <col min="31" max="40" width="23.81640625" style="75" hidden="1" customWidth="1"/>
    <col min="41" max="41" width="23.54296875" style="14" hidden="1" customWidth="1"/>
    <col min="42" max="42" width="22.1796875" style="14" hidden="1" customWidth="1"/>
    <col min="43" max="43" width="19.36328125" style="14" hidden="1" customWidth="1"/>
    <col min="44" max="44" width="21.6328125" style="14" hidden="1" customWidth="1"/>
    <col min="45" max="45" width="19.7265625" style="14" hidden="1" customWidth="1"/>
    <col min="46" max="52" width="22.1796875" style="14" hidden="1" customWidth="1"/>
    <col min="53" max="54" width="22.1796875" style="14" customWidth="1"/>
    <col min="55" max="55" width="15.7265625" customWidth="1"/>
    <col min="56" max="56" width="17" customWidth="1"/>
    <col min="57" max="57" width="19.453125" customWidth="1"/>
    <col min="267" max="267" width="31.26953125" customWidth="1"/>
    <col min="268" max="268" width="17.7265625" customWidth="1"/>
    <col min="269" max="294" width="15.6328125" customWidth="1"/>
    <col min="295" max="295" width="24.7265625" customWidth="1"/>
    <col min="523" max="523" width="31.26953125" customWidth="1"/>
    <col min="524" max="524" width="17.7265625" customWidth="1"/>
    <col min="525" max="550" width="15.6328125" customWidth="1"/>
    <col min="551" max="551" width="24.7265625" customWidth="1"/>
    <col min="779" max="779" width="31.26953125" customWidth="1"/>
    <col min="780" max="780" width="17.7265625" customWidth="1"/>
    <col min="781" max="806" width="15.6328125" customWidth="1"/>
    <col min="807" max="807" width="24.7265625" customWidth="1"/>
    <col min="1035" max="1035" width="31.26953125" customWidth="1"/>
    <col min="1036" max="1036" width="17.7265625" customWidth="1"/>
    <col min="1037" max="1062" width="15.6328125" customWidth="1"/>
    <col min="1063" max="1063" width="24.7265625" customWidth="1"/>
    <col min="1291" max="1291" width="31.26953125" customWidth="1"/>
    <col min="1292" max="1292" width="17.7265625" customWidth="1"/>
    <col min="1293" max="1318" width="15.6328125" customWidth="1"/>
    <col min="1319" max="1319" width="24.7265625" customWidth="1"/>
    <col min="1547" max="1547" width="31.26953125" customWidth="1"/>
    <col min="1548" max="1548" width="17.7265625" customWidth="1"/>
    <col min="1549" max="1574" width="15.6328125" customWidth="1"/>
    <col min="1575" max="1575" width="24.7265625" customWidth="1"/>
    <col min="1803" max="1803" width="31.26953125" customWidth="1"/>
    <col min="1804" max="1804" width="17.7265625" customWidth="1"/>
    <col min="1805" max="1830" width="15.6328125" customWidth="1"/>
    <col min="1831" max="1831" width="24.7265625" customWidth="1"/>
    <col min="2059" max="2059" width="31.26953125" customWidth="1"/>
    <col min="2060" max="2060" width="17.7265625" customWidth="1"/>
    <col min="2061" max="2086" width="15.6328125" customWidth="1"/>
    <col min="2087" max="2087" width="24.7265625" customWidth="1"/>
    <col min="2315" max="2315" width="31.26953125" customWidth="1"/>
    <col min="2316" max="2316" width="17.7265625" customWidth="1"/>
    <col min="2317" max="2342" width="15.6328125" customWidth="1"/>
    <col min="2343" max="2343" width="24.7265625" customWidth="1"/>
    <col min="2571" max="2571" width="31.26953125" customWidth="1"/>
    <col min="2572" max="2572" width="17.7265625" customWidth="1"/>
    <col min="2573" max="2598" width="15.6328125" customWidth="1"/>
    <col min="2599" max="2599" width="24.7265625" customWidth="1"/>
    <col min="2827" max="2827" width="31.26953125" customWidth="1"/>
    <col min="2828" max="2828" width="17.7265625" customWidth="1"/>
    <col min="2829" max="2854" width="15.6328125" customWidth="1"/>
    <col min="2855" max="2855" width="24.7265625" customWidth="1"/>
    <col min="3083" max="3083" width="31.26953125" customWidth="1"/>
    <col min="3084" max="3084" width="17.7265625" customWidth="1"/>
    <col min="3085" max="3110" width="15.6328125" customWidth="1"/>
    <col min="3111" max="3111" width="24.7265625" customWidth="1"/>
    <col min="3339" max="3339" width="31.26953125" customWidth="1"/>
    <col min="3340" max="3340" width="17.7265625" customWidth="1"/>
    <col min="3341" max="3366" width="15.6328125" customWidth="1"/>
    <col min="3367" max="3367" width="24.7265625" customWidth="1"/>
    <col min="3595" max="3595" width="31.26953125" customWidth="1"/>
    <col min="3596" max="3596" width="17.7265625" customWidth="1"/>
    <col min="3597" max="3622" width="15.6328125" customWidth="1"/>
    <col min="3623" max="3623" width="24.7265625" customWidth="1"/>
    <col min="3851" max="3851" width="31.26953125" customWidth="1"/>
    <col min="3852" max="3852" width="17.7265625" customWidth="1"/>
    <col min="3853" max="3878" width="15.6328125" customWidth="1"/>
    <col min="3879" max="3879" width="24.7265625" customWidth="1"/>
    <col min="4107" max="4107" width="31.26953125" customWidth="1"/>
    <col min="4108" max="4108" width="17.7265625" customWidth="1"/>
    <col min="4109" max="4134" width="15.6328125" customWidth="1"/>
    <col min="4135" max="4135" width="24.7265625" customWidth="1"/>
    <col min="4363" max="4363" width="31.26953125" customWidth="1"/>
    <col min="4364" max="4364" width="17.7265625" customWidth="1"/>
    <col min="4365" max="4390" width="15.6328125" customWidth="1"/>
    <col min="4391" max="4391" width="24.7265625" customWidth="1"/>
    <col min="4619" max="4619" width="31.26953125" customWidth="1"/>
    <col min="4620" max="4620" width="17.7265625" customWidth="1"/>
    <col min="4621" max="4646" width="15.6328125" customWidth="1"/>
    <col min="4647" max="4647" width="24.7265625" customWidth="1"/>
    <col min="4875" max="4875" width="31.26953125" customWidth="1"/>
    <col min="4876" max="4876" width="17.7265625" customWidth="1"/>
    <col min="4877" max="4902" width="15.6328125" customWidth="1"/>
    <col min="4903" max="4903" width="24.7265625" customWidth="1"/>
    <col min="5131" max="5131" width="31.26953125" customWidth="1"/>
    <col min="5132" max="5132" width="17.7265625" customWidth="1"/>
    <col min="5133" max="5158" width="15.6328125" customWidth="1"/>
    <col min="5159" max="5159" width="24.7265625" customWidth="1"/>
    <col min="5387" max="5387" width="31.26953125" customWidth="1"/>
    <col min="5388" max="5388" width="17.7265625" customWidth="1"/>
    <col min="5389" max="5414" width="15.6328125" customWidth="1"/>
    <col min="5415" max="5415" width="24.7265625" customWidth="1"/>
    <col min="5643" max="5643" width="31.26953125" customWidth="1"/>
    <col min="5644" max="5644" width="17.7265625" customWidth="1"/>
    <col min="5645" max="5670" width="15.6328125" customWidth="1"/>
    <col min="5671" max="5671" width="24.7265625" customWidth="1"/>
    <col min="5899" max="5899" width="31.26953125" customWidth="1"/>
    <col min="5900" max="5900" width="17.7265625" customWidth="1"/>
    <col min="5901" max="5926" width="15.6328125" customWidth="1"/>
    <col min="5927" max="5927" width="24.7265625" customWidth="1"/>
    <col min="6155" max="6155" width="31.26953125" customWidth="1"/>
    <col min="6156" max="6156" width="17.7265625" customWidth="1"/>
    <col min="6157" max="6182" width="15.6328125" customWidth="1"/>
    <col min="6183" max="6183" width="24.7265625" customWidth="1"/>
    <col min="6411" max="6411" width="31.26953125" customWidth="1"/>
    <col min="6412" max="6412" width="17.7265625" customWidth="1"/>
    <col min="6413" max="6438" width="15.6328125" customWidth="1"/>
    <col min="6439" max="6439" width="24.7265625" customWidth="1"/>
    <col min="6667" max="6667" width="31.26953125" customWidth="1"/>
    <col min="6668" max="6668" width="17.7265625" customWidth="1"/>
    <col min="6669" max="6694" width="15.6328125" customWidth="1"/>
    <col min="6695" max="6695" width="24.7265625" customWidth="1"/>
    <col min="6923" max="6923" width="31.26953125" customWidth="1"/>
    <col min="6924" max="6924" width="17.7265625" customWidth="1"/>
    <col min="6925" max="6950" width="15.6328125" customWidth="1"/>
    <col min="6951" max="6951" width="24.7265625" customWidth="1"/>
    <col min="7179" max="7179" width="31.26953125" customWidth="1"/>
    <col min="7180" max="7180" width="17.7265625" customWidth="1"/>
    <col min="7181" max="7206" width="15.6328125" customWidth="1"/>
    <col min="7207" max="7207" width="24.7265625" customWidth="1"/>
    <col min="7435" max="7435" width="31.26953125" customWidth="1"/>
    <col min="7436" max="7436" width="17.7265625" customWidth="1"/>
    <col min="7437" max="7462" width="15.6328125" customWidth="1"/>
    <col min="7463" max="7463" width="24.7265625" customWidth="1"/>
    <col min="7691" max="7691" width="31.26953125" customWidth="1"/>
    <col min="7692" max="7692" width="17.7265625" customWidth="1"/>
    <col min="7693" max="7718" width="15.6328125" customWidth="1"/>
    <col min="7719" max="7719" width="24.7265625" customWidth="1"/>
    <col min="7947" max="7947" width="31.26953125" customWidth="1"/>
    <col min="7948" max="7948" width="17.7265625" customWidth="1"/>
    <col min="7949" max="7974" width="15.6328125" customWidth="1"/>
    <col min="7975" max="7975" width="24.7265625" customWidth="1"/>
    <col min="8203" max="8203" width="31.26953125" customWidth="1"/>
    <col min="8204" max="8204" width="17.7265625" customWidth="1"/>
    <col min="8205" max="8230" width="15.6328125" customWidth="1"/>
    <col min="8231" max="8231" width="24.7265625" customWidth="1"/>
    <col min="8459" max="8459" width="31.26953125" customWidth="1"/>
    <col min="8460" max="8460" width="17.7265625" customWidth="1"/>
    <col min="8461" max="8486" width="15.6328125" customWidth="1"/>
    <col min="8487" max="8487" width="24.7265625" customWidth="1"/>
    <col min="8715" max="8715" width="31.26953125" customWidth="1"/>
    <col min="8716" max="8716" width="17.7265625" customWidth="1"/>
    <col min="8717" max="8742" width="15.6328125" customWidth="1"/>
    <col min="8743" max="8743" width="24.7265625" customWidth="1"/>
    <col min="8971" max="8971" width="31.26953125" customWidth="1"/>
    <col min="8972" max="8972" width="17.7265625" customWidth="1"/>
    <col min="8973" max="8998" width="15.6328125" customWidth="1"/>
    <col min="8999" max="8999" width="24.7265625" customWidth="1"/>
    <col min="9227" max="9227" width="31.26953125" customWidth="1"/>
    <col min="9228" max="9228" width="17.7265625" customWidth="1"/>
    <col min="9229" max="9254" width="15.6328125" customWidth="1"/>
    <col min="9255" max="9255" width="24.7265625" customWidth="1"/>
    <col min="9483" max="9483" width="31.26953125" customWidth="1"/>
    <col min="9484" max="9484" width="17.7265625" customWidth="1"/>
    <col min="9485" max="9510" width="15.6328125" customWidth="1"/>
    <col min="9511" max="9511" width="24.7265625" customWidth="1"/>
    <col min="9739" max="9739" width="31.26953125" customWidth="1"/>
    <col min="9740" max="9740" width="17.7265625" customWidth="1"/>
    <col min="9741" max="9766" width="15.6328125" customWidth="1"/>
    <col min="9767" max="9767" width="24.7265625" customWidth="1"/>
    <col min="9995" max="9995" width="31.26953125" customWidth="1"/>
    <col min="9996" max="9996" width="17.7265625" customWidth="1"/>
    <col min="9997" max="10022" width="15.6328125" customWidth="1"/>
    <col min="10023" max="10023" width="24.7265625" customWidth="1"/>
    <col min="10251" max="10251" width="31.26953125" customWidth="1"/>
    <col min="10252" max="10252" width="17.7265625" customWidth="1"/>
    <col min="10253" max="10278" width="15.6328125" customWidth="1"/>
    <col min="10279" max="10279" width="24.7265625" customWidth="1"/>
    <col min="10507" max="10507" width="31.26953125" customWidth="1"/>
    <col min="10508" max="10508" width="17.7265625" customWidth="1"/>
    <col min="10509" max="10534" width="15.6328125" customWidth="1"/>
    <col min="10535" max="10535" width="24.7265625" customWidth="1"/>
    <col min="10763" max="10763" width="31.26953125" customWidth="1"/>
    <col min="10764" max="10764" width="17.7265625" customWidth="1"/>
    <col min="10765" max="10790" width="15.6328125" customWidth="1"/>
    <col min="10791" max="10791" width="24.7265625" customWidth="1"/>
    <col min="11019" max="11019" width="31.26953125" customWidth="1"/>
    <col min="11020" max="11020" width="17.7265625" customWidth="1"/>
    <col min="11021" max="11046" width="15.6328125" customWidth="1"/>
    <col min="11047" max="11047" width="24.7265625" customWidth="1"/>
    <col min="11275" max="11275" width="31.26953125" customWidth="1"/>
    <col min="11276" max="11276" width="17.7265625" customWidth="1"/>
    <col min="11277" max="11302" width="15.6328125" customWidth="1"/>
    <col min="11303" max="11303" width="24.7265625" customWidth="1"/>
    <col min="11531" max="11531" width="31.26953125" customWidth="1"/>
    <col min="11532" max="11532" width="17.7265625" customWidth="1"/>
    <col min="11533" max="11558" width="15.6328125" customWidth="1"/>
    <col min="11559" max="11559" width="24.7265625" customWidth="1"/>
    <col min="11787" max="11787" width="31.26953125" customWidth="1"/>
    <col min="11788" max="11788" width="17.7265625" customWidth="1"/>
    <col min="11789" max="11814" width="15.6328125" customWidth="1"/>
    <col min="11815" max="11815" width="24.7265625" customWidth="1"/>
    <col min="12043" max="12043" width="31.26953125" customWidth="1"/>
    <col min="12044" max="12044" width="17.7265625" customWidth="1"/>
    <col min="12045" max="12070" width="15.6328125" customWidth="1"/>
    <col min="12071" max="12071" width="24.7265625" customWidth="1"/>
    <col min="12299" max="12299" width="31.26953125" customWidth="1"/>
    <col min="12300" max="12300" width="17.7265625" customWidth="1"/>
    <col min="12301" max="12326" width="15.6328125" customWidth="1"/>
    <col min="12327" max="12327" width="24.7265625" customWidth="1"/>
    <col min="12555" max="12555" width="31.26953125" customWidth="1"/>
    <col min="12556" max="12556" width="17.7265625" customWidth="1"/>
    <col min="12557" max="12582" width="15.6328125" customWidth="1"/>
    <col min="12583" max="12583" width="24.7265625" customWidth="1"/>
    <col min="12811" max="12811" width="31.26953125" customWidth="1"/>
    <col min="12812" max="12812" width="17.7265625" customWidth="1"/>
    <col min="12813" max="12838" width="15.6328125" customWidth="1"/>
    <col min="12839" max="12839" width="24.7265625" customWidth="1"/>
    <col min="13067" max="13067" width="31.26953125" customWidth="1"/>
    <col min="13068" max="13068" width="17.7265625" customWidth="1"/>
    <col min="13069" max="13094" width="15.6328125" customWidth="1"/>
    <col min="13095" max="13095" width="24.7265625" customWidth="1"/>
    <col min="13323" max="13323" width="31.26953125" customWidth="1"/>
    <col min="13324" max="13324" width="17.7265625" customWidth="1"/>
    <col min="13325" max="13350" width="15.6328125" customWidth="1"/>
    <col min="13351" max="13351" width="24.7265625" customWidth="1"/>
    <col min="13579" max="13579" width="31.26953125" customWidth="1"/>
    <col min="13580" max="13580" width="17.7265625" customWidth="1"/>
    <col min="13581" max="13606" width="15.6328125" customWidth="1"/>
    <col min="13607" max="13607" width="24.7265625" customWidth="1"/>
    <col min="13835" max="13835" width="31.26953125" customWidth="1"/>
    <col min="13836" max="13836" width="17.7265625" customWidth="1"/>
    <col min="13837" max="13862" width="15.6328125" customWidth="1"/>
    <col min="13863" max="13863" width="24.7265625" customWidth="1"/>
    <col min="14091" max="14091" width="31.26953125" customWidth="1"/>
    <col min="14092" max="14092" width="17.7265625" customWidth="1"/>
    <col min="14093" max="14118" width="15.6328125" customWidth="1"/>
    <col min="14119" max="14119" width="24.7265625" customWidth="1"/>
    <col min="14347" max="14347" width="31.26953125" customWidth="1"/>
    <col min="14348" max="14348" width="17.7265625" customWidth="1"/>
    <col min="14349" max="14374" width="15.6328125" customWidth="1"/>
    <col min="14375" max="14375" width="24.7265625" customWidth="1"/>
    <col min="14603" max="14603" width="31.26953125" customWidth="1"/>
    <col min="14604" max="14604" width="17.7265625" customWidth="1"/>
    <col min="14605" max="14630" width="15.6328125" customWidth="1"/>
    <col min="14631" max="14631" width="24.7265625" customWidth="1"/>
    <col min="14859" max="14859" width="31.26953125" customWidth="1"/>
    <col min="14860" max="14860" width="17.7265625" customWidth="1"/>
    <col min="14861" max="14886" width="15.6328125" customWidth="1"/>
    <col min="14887" max="14887" width="24.7265625" customWidth="1"/>
    <col min="15115" max="15115" width="31.26953125" customWidth="1"/>
    <col min="15116" max="15116" width="17.7265625" customWidth="1"/>
    <col min="15117" max="15142" width="15.6328125" customWidth="1"/>
    <col min="15143" max="15143" width="24.7265625" customWidth="1"/>
    <col min="15371" max="15371" width="31.26953125" customWidth="1"/>
    <col min="15372" max="15372" width="17.7265625" customWidth="1"/>
    <col min="15373" max="15398" width="15.6328125" customWidth="1"/>
    <col min="15399" max="15399" width="24.7265625" customWidth="1"/>
    <col min="15627" max="15627" width="31.26953125" customWidth="1"/>
    <col min="15628" max="15628" width="17.7265625" customWidth="1"/>
    <col min="15629" max="15654" width="15.6328125" customWidth="1"/>
    <col min="15655" max="15655" width="24.7265625" customWidth="1"/>
    <col min="15883" max="15883" width="31.26953125" customWidth="1"/>
    <col min="15884" max="15884" width="17.7265625" customWidth="1"/>
    <col min="15885" max="15910" width="15.6328125" customWidth="1"/>
    <col min="15911" max="15911" width="24.7265625" customWidth="1"/>
    <col min="16139" max="16139" width="31.26953125" customWidth="1"/>
    <col min="16140" max="16140" width="17.7265625" customWidth="1"/>
    <col min="16141" max="16166" width="15.6328125" customWidth="1"/>
    <col min="16167" max="16167" width="24.7265625" customWidth="1"/>
  </cols>
  <sheetData>
    <row r="1" spans="1:57" ht="14" x14ac:dyDescent="0.25">
      <c r="A1" s="61"/>
      <c r="B1" s="61" t="s">
        <v>234</v>
      </c>
      <c r="C1" s="67"/>
      <c r="D1" s="65"/>
      <c r="E1" s="65"/>
      <c r="F1" s="65"/>
      <c r="G1" s="65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5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</row>
    <row r="2" spans="1:57" ht="20.5" customHeight="1" x14ac:dyDescent="0.25">
      <c r="A2" s="115" t="s">
        <v>0</v>
      </c>
      <c r="B2" s="115" t="s">
        <v>1</v>
      </c>
      <c r="C2" s="116" t="s">
        <v>2</v>
      </c>
      <c r="D2" s="117" t="s">
        <v>3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68"/>
      <c r="AB2" s="68"/>
      <c r="AC2" s="68"/>
      <c r="AD2" s="116" t="s">
        <v>4</v>
      </c>
      <c r="AE2" s="111" t="s">
        <v>235</v>
      </c>
      <c r="AF2" s="111"/>
      <c r="AG2" s="111" t="s">
        <v>236</v>
      </c>
      <c r="AH2" s="111"/>
      <c r="AI2" s="111" t="s">
        <v>237</v>
      </c>
      <c r="AJ2" s="111"/>
      <c r="AK2" s="111" t="s">
        <v>238</v>
      </c>
      <c r="AL2" s="111"/>
      <c r="AM2" s="111" t="s">
        <v>239</v>
      </c>
      <c r="AN2" s="111"/>
      <c r="AO2" s="112" t="s">
        <v>240</v>
      </c>
      <c r="AP2" s="112"/>
      <c r="AQ2" s="113" t="s">
        <v>271</v>
      </c>
      <c r="AR2" s="114"/>
      <c r="AS2" s="113" t="s">
        <v>12</v>
      </c>
      <c r="AT2" s="114"/>
      <c r="AU2" s="113" t="s">
        <v>13</v>
      </c>
      <c r="AV2" s="114"/>
      <c r="AW2" s="113" t="s">
        <v>14</v>
      </c>
      <c r="AX2" s="114"/>
      <c r="AY2" s="113" t="s">
        <v>15</v>
      </c>
      <c r="AZ2" s="114"/>
      <c r="BA2" s="113" t="s">
        <v>275</v>
      </c>
      <c r="BB2" s="114"/>
      <c r="BC2" s="108" t="s">
        <v>241</v>
      </c>
      <c r="BD2" s="108" t="s">
        <v>242</v>
      </c>
      <c r="BE2" s="108" t="s">
        <v>243</v>
      </c>
    </row>
    <row r="3" spans="1:57" s="70" customFormat="1" ht="29" customHeight="1" x14ac:dyDescent="0.25">
      <c r="A3" s="115"/>
      <c r="B3" s="115"/>
      <c r="C3" s="116"/>
      <c r="D3" s="109" t="s">
        <v>5</v>
      </c>
      <c r="E3" s="110"/>
      <c r="F3" s="109" t="s">
        <v>6</v>
      </c>
      <c r="G3" s="110"/>
      <c r="H3" s="109" t="s">
        <v>7</v>
      </c>
      <c r="I3" s="110"/>
      <c r="J3" s="109" t="s">
        <v>8</v>
      </c>
      <c r="K3" s="110"/>
      <c r="L3" s="109" t="s">
        <v>9</v>
      </c>
      <c r="M3" s="110"/>
      <c r="N3" s="109" t="s">
        <v>10</v>
      </c>
      <c r="O3" s="110"/>
      <c r="P3" s="109" t="s">
        <v>11</v>
      </c>
      <c r="Q3" s="110"/>
      <c r="R3" s="109" t="s">
        <v>12</v>
      </c>
      <c r="S3" s="110"/>
      <c r="T3" s="109" t="s">
        <v>13</v>
      </c>
      <c r="U3" s="110"/>
      <c r="V3" s="109" t="s">
        <v>14</v>
      </c>
      <c r="W3" s="110"/>
      <c r="X3" s="109" t="s">
        <v>15</v>
      </c>
      <c r="Y3" s="110"/>
      <c r="Z3" s="109" t="s">
        <v>16</v>
      </c>
      <c r="AA3" s="110"/>
      <c r="AB3" s="69" t="s">
        <v>17</v>
      </c>
      <c r="AC3" s="69" t="s">
        <v>18</v>
      </c>
      <c r="AD3" s="116"/>
      <c r="AE3" s="73" t="s">
        <v>17</v>
      </c>
      <c r="AF3" s="73" t="s">
        <v>18</v>
      </c>
      <c r="AG3" s="73" t="s">
        <v>17</v>
      </c>
      <c r="AH3" s="73" t="s">
        <v>18</v>
      </c>
      <c r="AI3" s="73" t="s">
        <v>17</v>
      </c>
      <c r="AJ3" s="73" t="s">
        <v>18</v>
      </c>
      <c r="AK3" s="73" t="s">
        <v>17</v>
      </c>
      <c r="AL3" s="73" t="s">
        <v>18</v>
      </c>
      <c r="AM3" s="73" t="s">
        <v>17</v>
      </c>
      <c r="AN3" s="73" t="s">
        <v>18</v>
      </c>
      <c r="AO3" s="90" t="s">
        <v>17</v>
      </c>
      <c r="AP3" s="90" t="s">
        <v>18</v>
      </c>
      <c r="AQ3" s="90" t="s">
        <v>17</v>
      </c>
      <c r="AR3" s="90" t="s">
        <v>18</v>
      </c>
      <c r="AS3" s="90" t="s">
        <v>17</v>
      </c>
      <c r="AT3" s="90" t="s">
        <v>18</v>
      </c>
      <c r="AU3" s="90" t="s">
        <v>17</v>
      </c>
      <c r="AV3" s="90" t="s">
        <v>18</v>
      </c>
      <c r="AW3" s="90" t="s">
        <v>17</v>
      </c>
      <c r="AX3" s="90" t="s">
        <v>18</v>
      </c>
      <c r="AY3" s="90" t="s">
        <v>17</v>
      </c>
      <c r="AZ3" s="90" t="s">
        <v>18</v>
      </c>
      <c r="BA3" s="90" t="s">
        <v>17</v>
      </c>
      <c r="BB3" s="90" t="s">
        <v>18</v>
      </c>
      <c r="BC3" s="108"/>
      <c r="BD3" s="108"/>
      <c r="BE3" s="108"/>
    </row>
    <row r="4" spans="1:57" ht="18" customHeight="1" x14ac:dyDescent="0.25">
      <c r="A4" s="62"/>
      <c r="B4" s="62"/>
      <c r="C4" s="58"/>
      <c r="D4" s="56" t="s">
        <v>17</v>
      </c>
      <c r="E4" s="56" t="s">
        <v>19</v>
      </c>
      <c r="F4" s="56" t="s">
        <v>17</v>
      </c>
      <c r="G4" s="56" t="s">
        <v>19</v>
      </c>
      <c r="H4" s="56" t="s">
        <v>17</v>
      </c>
      <c r="I4" s="56" t="s">
        <v>19</v>
      </c>
      <c r="J4" s="56" t="s">
        <v>17</v>
      </c>
      <c r="K4" s="56" t="s">
        <v>19</v>
      </c>
      <c r="L4" s="56" t="s">
        <v>17</v>
      </c>
      <c r="M4" s="56" t="s">
        <v>19</v>
      </c>
      <c r="N4" s="56" t="s">
        <v>17</v>
      </c>
      <c r="O4" s="56" t="s">
        <v>19</v>
      </c>
      <c r="P4" s="56" t="s">
        <v>17</v>
      </c>
      <c r="Q4" s="56" t="s">
        <v>19</v>
      </c>
      <c r="R4" s="56" t="s">
        <v>17</v>
      </c>
      <c r="S4" s="56" t="s">
        <v>19</v>
      </c>
      <c r="T4" s="56" t="s">
        <v>17</v>
      </c>
      <c r="U4" s="56" t="s">
        <v>19</v>
      </c>
      <c r="V4" s="56" t="s">
        <v>17</v>
      </c>
      <c r="W4" s="56" t="s">
        <v>19</v>
      </c>
      <c r="X4" s="56" t="s">
        <v>17</v>
      </c>
      <c r="Y4" s="56" t="s">
        <v>19</v>
      </c>
      <c r="Z4" s="56" t="s">
        <v>17</v>
      </c>
      <c r="AA4" s="56" t="s">
        <v>19</v>
      </c>
      <c r="AB4" s="56"/>
      <c r="AC4" s="56"/>
      <c r="AD4" s="58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2"/>
      <c r="BD4" s="2"/>
      <c r="BE4" s="2"/>
    </row>
    <row r="5" spans="1:57" ht="14" x14ac:dyDescent="0.25">
      <c r="A5" s="64">
        <v>1</v>
      </c>
      <c r="B5" s="63" t="s">
        <v>20</v>
      </c>
      <c r="C5" s="59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56">
        <f t="shared" ref="AB5:AB14" si="0">D5+F5+H5+J5+L5+N5+P5+R5+T5+V5+X5+Z5</f>
        <v>0</v>
      </c>
      <c r="AC5" s="56">
        <f t="shared" ref="AC5:AC14" si="1">E5+G5+I5+K5+M5+O5+Q5+S5+U5+W5+Y5+AA5</f>
        <v>0</v>
      </c>
      <c r="AD5" s="66">
        <f t="shared" ref="AD5:AD14" si="2">C5+AB5-AC5</f>
        <v>0</v>
      </c>
      <c r="AE5" s="74"/>
      <c r="AF5" s="74">
        <v>0</v>
      </c>
      <c r="AG5" s="74"/>
      <c r="AH5" s="74">
        <v>0</v>
      </c>
      <c r="AI5" s="74"/>
      <c r="AJ5" s="74">
        <v>0</v>
      </c>
      <c r="AK5" s="74"/>
      <c r="AL5" s="74">
        <v>0</v>
      </c>
      <c r="AM5" s="74"/>
      <c r="AN5" s="74">
        <v>0</v>
      </c>
      <c r="AO5" s="91"/>
      <c r="AP5" s="91">
        <v>0</v>
      </c>
      <c r="AQ5" s="91"/>
      <c r="AR5" s="91">
        <v>0</v>
      </c>
      <c r="AS5" s="91"/>
      <c r="AT5" s="91">
        <v>0</v>
      </c>
      <c r="AU5" s="91"/>
      <c r="AV5" s="91">
        <v>0</v>
      </c>
      <c r="AW5" s="91"/>
      <c r="AX5" s="91"/>
      <c r="AY5" s="91"/>
      <c r="AZ5" s="91"/>
      <c r="BA5" s="91"/>
      <c r="BB5" s="91"/>
      <c r="BC5" s="76">
        <f t="shared" ref="BC5:BC14" si="3">AE5+AG5+AI5+AK5+AM5+AO5+AQ5+AS5+AU5</f>
        <v>0</v>
      </c>
      <c r="BD5" s="76">
        <f>AF5+AH5+AJ5+AL5+AN5+AP5+AR5+AT5+AV5</f>
        <v>0</v>
      </c>
      <c r="BE5" s="76">
        <f>AD5+BC5-BD5</f>
        <v>0</v>
      </c>
    </row>
    <row r="6" spans="1:57" ht="14" x14ac:dyDescent="0.25">
      <c r="A6" s="64">
        <f>A5+1</f>
        <v>2</v>
      </c>
      <c r="B6" s="63" t="s">
        <v>21</v>
      </c>
      <c r="C6" s="59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56">
        <f t="shared" si="0"/>
        <v>0</v>
      </c>
      <c r="AC6" s="56">
        <f t="shared" si="1"/>
        <v>0</v>
      </c>
      <c r="AD6" s="66">
        <f t="shared" si="2"/>
        <v>0</v>
      </c>
      <c r="AE6" s="74"/>
      <c r="AF6" s="74">
        <v>0</v>
      </c>
      <c r="AG6" s="74"/>
      <c r="AH6" s="74">
        <v>0</v>
      </c>
      <c r="AI6" s="74"/>
      <c r="AJ6" s="74">
        <v>0</v>
      </c>
      <c r="AK6" s="74"/>
      <c r="AL6" s="74">
        <v>0</v>
      </c>
      <c r="AM6" s="74"/>
      <c r="AN6" s="74">
        <v>0</v>
      </c>
      <c r="AO6" s="91"/>
      <c r="AP6" s="91">
        <v>0</v>
      </c>
      <c r="AQ6" s="91"/>
      <c r="AR6" s="91">
        <v>0</v>
      </c>
      <c r="AS6" s="91"/>
      <c r="AT6" s="91">
        <v>0</v>
      </c>
      <c r="AU6" s="91"/>
      <c r="AV6" s="91">
        <v>0</v>
      </c>
      <c r="AW6" s="91"/>
      <c r="AX6" s="91"/>
      <c r="AY6" s="91"/>
      <c r="AZ6" s="91"/>
      <c r="BA6" s="91"/>
      <c r="BB6" s="91"/>
      <c r="BC6" s="76">
        <f t="shared" si="3"/>
        <v>0</v>
      </c>
      <c r="BD6" s="76">
        <f t="shared" ref="BD6:BD14" si="4">AF6+AH6+AJ6+AL6+AN6+AP6+AR6+AT6+AV6</f>
        <v>0</v>
      </c>
      <c r="BE6" s="76">
        <f t="shared" ref="BE6:BE13" si="5">AD6+BC6-BD6</f>
        <v>0</v>
      </c>
    </row>
    <row r="7" spans="1:57" ht="14" x14ac:dyDescent="0.25">
      <c r="A7" s="64">
        <f t="shared" ref="A7:A70" si="6">A6+1</f>
        <v>3</v>
      </c>
      <c r="B7" s="63" t="s">
        <v>22</v>
      </c>
      <c r="C7" s="59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56">
        <f t="shared" si="0"/>
        <v>0</v>
      </c>
      <c r="AC7" s="56">
        <f t="shared" si="1"/>
        <v>0</v>
      </c>
      <c r="AD7" s="66">
        <f t="shared" si="2"/>
        <v>0</v>
      </c>
      <c r="AE7" s="74"/>
      <c r="AF7" s="74">
        <v>0</v>
      </c>
      <c r="AG7" s="74"/>
      <c r="AH7" s="74">
        <v>0</v>
      </c>
      <c r="AI7" s="74"/>
      <c r="AJ7" s="74">
        <v>0</v>
      </c>
      <c r="AK7" s="74"/>
      <c r="AL7" s="74">
        <v>0</v>
      </c>
      <c r="AM7" s="74"/>
      <c r="AN7" s="74">
        <v>0</v>
      </c>
      <c r="AO7" s="91"/>
      <c r="AP7" s="91">
        <v>0</v>
      </c>
      <c r="AQ7" s="91"/>
      <c r="AR7" s="91">
        <v>0</v>
      </c>
      <c r="AS7" s="91"/>
      <c r="AT7" s="91">
        <v>0</v>
      </c>
      <c r="AU7" s="91"/>
      <c r="AV7" s="91">
        <v>0</v>
      </c>
      <c r="AW7" s="91"/>
      <c r="AX7" s="91"/>
      <c r="AY7" s="91"/>
      <c r="AZ7" s="91"/>
      <c r="BA7" s="91"/>
      <c r="BB7" s="91"/>
      <c r="BC7" s="76">
        <f t="shared" si="3"/>
        <v>0</v>
      </c>
      <c r="BD7" s="76">
        <f t="shared" si="4"/>
        <v>0</v>
      </c>
      <c r="BE7" s="76">
        <f t="shared" si="5"/>
        <v>0</v>
      </c>
    </row>
    <row r="8" spans="1:57" ht="14" x14ac:dyDescent="0.25">
      <c r="A8" s="64">
        <f t="shared" si="6"/>
        <v>4</v>
      </c>
      <c r="B8" s="63" t="s">
        <v>23</v>
      </c>
      <c r="C8" s="59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56">
        <f t="shared" si="0"/>
        <v>0</v>
      </c>
      <c r="AC8" s="56">
        <f t="shared" si="1"/>
        <v>0</v>
      </c>
      <c r="AD8" s="66">
        <f t="shared" si="2"/>
        <v>0</v>
      </c>
      <c r="AE8" s="74"/>
      <c r="AF8" s="74">
        <v>0</v>
      </c>
      <c r="AG8" s="74"/>
      <c r="AH8" s="74">
        <v>0</v>
      </c>
      <c r="AI8" s="74"/>
      <c r="AJ8" s="74">
        <v>0</v>
      </c>
      <c r="AK8" s="74"/>
      <c r="AL8" s="74">
        <v>0</v>
      </c>
      <c r="AM8" s="74"/>
      <c r="AN8" s="74">
        <v>0</v>
      </c>
      <c r="AO8" s="91"/>
      <c r="AP8" s="91">
        <v>0</v>
      </c>
      <c r="AQ8" s="91"/>
      <c r="AR8" s="91">
        <v>0</v>
      </c>
      <c r="AS8" s="91"/>
      <c r="AT8" s="91">
        <v>0</v>
      </c>
      <c r="AU8" s="91"/>
      <c r="AV8" s="91">
        <v>0</v>
      </c>
      <c r="AW8" s="91"/>
      <c r="AX8" s="91"/>
      <c r="AY8" s="91"/>
      <c r="AZ8" s="91"/>
      <c r="BA8" s="91"/>
      <c r="BB8" s="91"/>
      <c r="BC8" s="76">
        <f>AE8+AG8+AI8+AK8+AM8+AO8+AQ8+AS8+AU8</f>
        <v>0</v>
      </c>
      <c r="BD8" s="76">
        <f t="shared" si="4"/>
        <v>0</v>
      </c>
      <c r="BE8" s="76">
        <f t="shared" si="5"/>
        <v>0</v>
      </c>
    </row>
    <row r="9" spans="1:57" ht="14" x14ac:dyDescent="0.25">
      <c r="A9" s="64">
        <f t="shared" si="6"/>
        <v>5</v>
      </c>
      <c r="B9" s="63" t="s">
        <v>24</v>
      </c>
      <c r="C9" s="59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56">
        <f t="shared" si="0"/>
        <v>0</v>
      </c>
      <c r="AC9" s="56">
        <f t="shared" si="1"/>
        <v>0</v>
      </c>
      <c r="AD9" s="66">
        <f t="shared" si="2"/>
        <v>0</v>
      </c>
      <c r="AE9" s="74"/>
      <c r="AF9" s="74">
        <v>0</v>
      </c>
      <c r="AG9" s="74"/>
      <c r="AH9" s="74">
        <v>0</v>
      </c>
      <c r="AI9" s="74"/>
      <c r="AJ9" s="74">
        <v>0</v>
      </c>
      <c r="AK9" s="74"/>
      <c r="AL9" s="74">
        <v>0</v>
      </c>
      <c r="AM9" s="74"/>
      <c r="AN9" s="74">
        <v>0</v>
      </c>
      <c r="AO9" s="91"/>
      <c r="AP9" s="91">
        <v>0</v>
      </c>
      <c r="AQ9" s="91"/>
      <c r="AR9" s="91">
        <v>0</v>
      </c>
      <c r="AS9" s="91"/>
      <c r="AT9" s="91">
        <v>0</v>
      </c>
      <c r="AU9" s="91"/>
      <c r="AV9" s="91">
        <v>0</v>
      </c>
      <c r="AW9" s="91"/>
      <c r="AX9" s="91"/>
      <c r="AY9" s="91"/>
      <c r="AZ9" s="91"/>
      <c r="BA9" s="91"/>
      <c r="BB9" s="91"/>
      <c r="BC9" s="76">
        <f t="shared" si="3"/>
        <v>0</v>
      </c>
      <c r="BD9" s="76">
        <f t="shared" si="4"/>
        <v>0</v>
      </c>
      <c r="BE9" s="76">
        <f t="shared" si="5"/>
        <v>0</v>
      </c>
    </row>
    <row r="10" spans="1:57" ht="14" x14ac:dyDescent="0.25">
      <c r="A10" s="64">
        <f t="shared" si="6"/>
        <v>6</v>
      </c>
      <c r="B10" s="63" t="s">
        <v>25</v>
      </c>
      <c r="C10" s="59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56">
        <f t="shared" si="0"/>
        <v>0</v>
      </c>
      <c r="AC10" s="56">
        <f t="shared" si="1"/>
        <v>0</v>
      </c>
      <c r="AD10" s="66">
        <f t="shared" si="2"/>
        <v>0</v>
      </c>
      <c r="AE10" s="74"/>
      <c r="AF10" s="74">
        <v>0</v>
      </c>
      <c r="AG10" s="74"/>
      <c r="AH10" s="74">
        <v>0</v>
      </c>
      <c r="AI10" s="74"/>
      <c r="AJ10" s="74">
        <v>0</v>
      </c>
      <c r="AK10" s="74"/>
      <c r="AL10" s="74">
        <v>0</v>
      </c>
      <c r="AM10" s="74"/>
      <c r="AN10" s="74">
        <v>0</v>
      </c>
      <c r="AO10" s="91"/>
      <c r="AP10" s="91">
        <v>0</v>
      </c>
      <c r="AQ10" s="91"/>
      <c r="AR10" s="91">
        <v>0</v>
      </c>
      <c r="AS10" s="91"/>
      <c r="AT10" s="91">
        <v>0</v>
      </c>
      <c r="AU10" s="91"/>
      <c r="AV10" s="91">
        <v>0</v>
      </c>
      <c r="AW10" s="91"/>
      <c r="AX10" s="91"/>
      <c r="AY10" s="91"/>
      <c r="AZ10" s="91"/>
      <c r="BA10" s="91"/>
      <c r="BB10" s="91"/>
      <c r="BC10" s="76">
        <f t="shared" si="3"/>
        <v>0</v>
      </c>
      <c r="BD10" s="76">
        <f t="shared" si="4"/>
        <v>0</v>
      </c>
      <c r="BE10" s="76">
        <f t="shared" si="5"/>
        <v>0</v>
      </c>
    </row>
    <row r="11" spans="1:57" ht="14" x14ac:dyDescent="0.25">
      <c r="A11" s="64">
        <f t="shared" si="6"/>
        <v>7</v>
      </c>
      <c r="B11" s="63" t="s">
        <v>26</v>
      </c>
      <c r="C11" s="59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56">
        <f t="shared" si="0"/>
        <v>0</v>
      </c>
      <c r="AC11" s="56">
        <f t="shared" si="1"/>
        <v>0</v>
      </c>
      <c r="AD11" s="66">
        <f t="shared" si="2"/>
        <v>0</v>
      </c>
      <c r="AE11" s="74"/>
      <c r="AF11" s="74">
        <v>0</v>
      </c>
      <c r="AG11" s="74"/>
      <c r="AH11" s="74">
        <v>0</v>
      </c>
      <c r="AI11" s="74"/>
      <c r="AJ11" s="74">
        <v>0</v>
      </c>
      <c r="AK11" s="74"/>
      <c r="AL11" s="74">
        <v>0</v>
      </c>
      <c r="AM11" s="74"/>
      <c r="AN11" s="74">
        <v>0</v>
      </c>
      <c r="AO11" s="91"/>
      <c r="AP11" s="91">
        <v>0</v>
      </c>
      <c r="AQ11" s="91"/>
      <c r="AR11" s="91">
        <v>0</v>
      </c>
      <c r="AS11" s="91"/>
      <c r="AT11" s="91">
        <v>0</v>
      </c>
      <c r="AU11" s="91"/>
      <c r="AV11" s="91">
        <v>0</v>
      </c>
      <c r="AW11" s="91"/>
      <c r="AX11" s="91"/>
      <c r="AY11" s="91"/>
      <c r="AZ11" s="91"/>
      <c r="BA11" s="91"/>
      <c r="BB11" s="91"/>
      <c r="BC11" s="76">
        <f t="shared" si="3"/>
        <v>0</v>
      </c>
      <c r="BD11" s="76">
        <f t="shared" si="4"/>
        <v>0</v>
      </c>
      <c r="BE11" s="76">
        <f t="shared" si="5"/>
        <v>0</v>
      </c>
    </row>
    <row r="12" spans="1:57" ht="14" x14ac:dyDescent="0.25">
      <c r="A12" s="64">
        <f t="shared" si="6"/>
        <v>8</v>
      </c>
      <c r="B12" s="63" t="s">
        <v>27</v>
      </c>
      <c r="C12" s="59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56">
        <f t="shared" si="0"/>
        <v>0</v>
      </c>
      <c r="AC12" s="56">
        <f t="shared" si="1"/>
        <v>0</v>
      </c>
      <c r="AD12" s="66">
        <f t="shared" si="2"/>
        <v>0</v>
      </c>
      <c r="AE12" s="74"/>
      <c r="AF12" s="74">
        <v>0</v>
      </c>
      <c r="AG12" s="74"/>
      <c r="AH12" s="74">
        <v>0</v>
      </c>
      <c r="AI12" s="74"/>
      <c r="AJ12" s="74">
        <v>0</v>
      </c>
      <c r="AK12" s="74"/>
      <c r="AL12" s="74">
        <v>0</v>
      </c>
      <c r="AM12" s="74"/>
      <c r="AN12" s="74">
        <v>0</v>
      </c>
      <c r="AO12" s="91"/>
      <c r="AP12" s="91">
        <v>0</v>
      </c>
      <c r="AQ12" s="91"/>
      <c r="AR12" s="91">
        <v>0</v>
      </c>
      <c r="AS12" s="91"/>
      <c r="AT12" s="91">
        <v>0</v>
      </c>
      <c r="AU12" s="91"/>
      <c r="AV12" s="91">
        <v>0</v>
      </c>
      <c r="AW12" s="91"/>
      <c r="AX12" s="91"/>
      <c r="AY12" s="91"/>
      <c r="AZ12" s="91"/>
      <c r="BA12" s="91"/>
      <c r="BB12" s="91"/>
      <c r="BC12" s="76">
        <f t="shared" si="3"/>
        <v>0</v>
      </c>
      <c r="BD12" s="76">
        <f t="shared" si="4"/>
        <v>0</v>
      </c>
      <c r="BE12" s="76">
        <f t="shared" si="5"/>
        <v>0</v>
      </c>
    </row>
    <row r="13" spans="1:57" ht="14" x14ac:dyDescent="0.25">
      <c r="A13" s="64">
        <f t="shared" si="6"/>
        <v>9</v>
      </c>
      <c r="B13" s="63" t="s">
        <v>28</v>
      </c>
      <c r="C13" s="59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56">
        <f t="shared" si="0"/>
        <v>0</v>
      </c>
      <c r="AC13" s="56">
        <f t="shared" si="1"/>
        <v>0</v>
      </c>
      <c r="AD13" s="66">
        <f t="shared" si="2"/>
        <v>0</v>
      </c>
      <c r="AE13" s="74"/>
      <c r="AF13" s="74">
        <v>0</v>
      </c>
      <c r="AG13" s="74"/>
      <c r="AH13" s="74">
        <v>0</v>
      </c>
      <c r="AI13" s="74"/>
      <c r="AJ13" s="74">
        <v>0</v>
      </c>
      <c r="AK13" s="74"/>
      <c r="AL13" s="74">
        <v>0</v>
      </c>
      <c r="AM13" s="74"/>
      <c r="AN13" s="74">
        <v>0</v>
      </c>
      <c r="AO13" s="91"/>
      <c r="AP13" s="91">
        <v>0</v>
      </c>
      <c r="AQ13" s="91"/>
      <c r="AR13" s="91">
        <v>0</v>
      </c>
      <c r="AS13" s="91"/>
      <c r="AT13" s="91">
        <v>0</v>
      </c>
      <c r="AU13" s="91"/>
      <c r="AV13" s="91">
        <v>0</v>
      </c>
      <c r="AW13" s="91"/>
      <c r="AX13" s="91"/>
      <c r="AY13" s="91"/>
      <c r="AZ13" s="91"/>
      <c r="BA13" s="91"/>
      <c r="BB13" s="91"/>
      <c r="BC13" s="76">
        <f t="shared" si="3"/>
        <v>0</v>
      </c>
      <c r="BD13" s="76">
        <f t="shared" si="4"/>
        <v>0</v>
      </c>
      <c r="BE13" s="76">
        <f t="shared" si="5"/>
        <v>0</v>
      </c>
    </row>
    <row r="14" spans="1:57" ht="14" x14ac:dyDescent="0.25">
      <c r="A14" s="64">
        <f t="shared" si="6"/>
        <v>10</v>
      </c>
      <c r="B14" s="63" t="s">
        <v>29</v>
      </c>
      <c r="C14" s="59">
        <v>585944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56">
        <f t="shared" si="0"/>
        <v>0</v>
      </c>
      <c r="AC14" s="56">
        <f t="shared" si="1"/>
        <v>0</v>
      </c>
      <c r="AD14" s="66">
        <f t="shared" si="2"/>
        <v>585944</v>
      </c>
      <c r="AE14" s="74"/>
      <c r="AF14" s="74">
        <v>0</v>
      </c>
      <c r="AG14" s="74"/>
      <c r="AH14" s="74">
        <v>0</v>
      </c>
      <c r="AI14" s="74"/>
      <c r="AJ14" s="74">
        <v>0</v>
      </c>
      <c r="AK14" s="74"/>
      <c r="AL14" s="74">
        <v>0</v>
      </c>
      <c r="AM14" s="74"/>
      <c r="AN14" s="74">
        <v>0</v>
      </c>
      <c r="AO14" s="91"/>
      <c r="AP14" s="91">
        <v>0</v>
      </c>
      <c r="AQ14" s="91"/>
      <c r="AR14" s="91">
        <v>0</v>
      </c>
      <c r="AS14" s="91"/>
      <c r="AT14" s="91">
        <v>0</v>
      </c>
      <c r="AU14" s="91"/>
      <c r="AV14" s="91">
        <v>0</v>
      </c>
      <c r="AW14" s="91"/>
      <c r="AX14" s="91"/>
      <c r="AY14" s="91"/>
      <c r="AZ14" s="91"/>
      <c r="BA14" s="91"/>
      <c r="BB14" s="91"/>
      <c r="BC14" s="76">
        <f t="shared" si="3"/>
        <v>0</v>
      </c>
      <c r="BD14" s="76">
        <f t="shared" si="4"/>
        <v>0</v>
      </c>
      <c r="BE14" s="76">
        <f>AD14+BC14-BD14</f>
        <v>585944</v>
      </c>
    </row>
    <row r="15" spans="1:57" ht="14" x14ac:dyDescent="0.25">
      <c r="A15" s="64">
        <f t="shared" si="6"/>
        <v>11</v>
      </c>
      <c r="B15" s="63" t="s">
        <v>30</v>
      </c>
      <c r="C15" s="59">
        <v>19999984</v>
      </c>
      <c r="D15" s="56"/>
      <c r="E15" s="56">
        <v>1666667</v>
      </c>
      <c r="F15" s="56"/>
      <c r="G15" s="56">
        <v>1666667</v>
      </c>
      <c r="H15" s="56"/>
      <c r="I15" s="56">
        <v>1666667</v>
      </c>
      <c r="J15" s="56"/>
      <c r="K15" s="56">
        <v>1666667</v>
      </c>
      <c r="L15" s="56"/>
      <c r="M15" s="56">
        <v>1666667</v>
      </c>
      <c r="N15" s="56"/>
      <c r="O15" s="56">
        <v>1666667</v>
      </c>
      <c r="P15" s="66"/>
      <c r="Q15" s="56">
        <v>1666667</v>
      </c>
      <c r="R15" s="66"/>
      <c r="S15" s="56">
        <v>1666667</v>
      </c>
      <c r="T15" s="66"/>
      <c r="U15" s="56">
        <v>1666667</v>
      </c>
      <c r="V15" s="66"/>
      <c r="W15" s="56">
        <v>1666667</v>
      </c>
      <c r="X15" s="66"/>
      <c r="Y15" s="56">
        <v>1666667</v>
      </c>
      <c r="Z15" s="66"/>
      <c r="AA15" s="56">
        <v>1666667</v>
      </c>
      <c r="AB15" s="56">
        <f>D15+F15+H15+J15+L15+N15+P15+R15+T15+V15+X15+Z15</f>
        <v>0</v>
      </c>
      <c r="AC15" s="56">
        <f>E15+G15+I15+K15+M15+O15+Q15+S15+U15+W15+Y15+AA15</f>
        <v>20000004</v>
      </c>
      <c r="AD15" s="66">
        <f>C15+AB15-AC15</f>
        <v>-20</v>
      </c>
      <c r="AE15" s="74"/>
      <c r="AF15" s="74">
        <v>0</v>
      </c>
      <c r="AG15" s="74"/>
      <c r="AH15" s="74">
        <v>0</v>
      </c>
      <c r="AI15" s="74"/>
      <c r="AJ15" s="74">
        <v>0</v>
      </c>
      <c r="AK15" s="74"/>
      <c r="AL15" s="74">
        <v>0</v>
      </c>
      <c r="AM15" s="74"/>
      <c r="AN15" s="74">
        <v>0</v>
      </c>
      <c r="AO15" s="91"/>
      <c r="AP15" s="91">
        <v>0</v>
      </c>
      <c r="AQ15" s="91"/>
      <c r="AR15" s="91">
        <v>0</v>
      </c>
      <c r="AS15" s="91">
        <v>30000000</v>
      </c>
      <c r="AT15" s="91">
        <v>0</v>
      </c>
      <c r="AU15" s="92"/>
      <c r="AV15" s="92">
        <v>833333</v>
      </c>
      <c r="AW15" s="92"/>
      <c r="AX15" s="92">
        <v>833333</v>
      </c>
      <c r="AY15" s="92"/>
      <c r="AZ15" s="92">
        <v>833333</v>
      </c>
      <c r="BA15" s="92"/>
      <c r="BB15" s="92">
        <f>VLOOKUP(B15,'[1]Reguler &amp; Khusus'!$B$8:$D$57,3,0)</f>
        <v>833333</v>
      </c>
      <c r="BC15" s="76">
        <f>AE15+AG15+AI15+AK15+AM15+AO15+AQ15+AS15+AU15+AW15+AY15+BA15</f>
        <v>30000000</v>
      </c>
      <c r="BD15" s="76">
        <f>AF15+AH15+AJ15+AL15+AN15+AP15+AR15+AT15+AV15+AX15+AZ15+BB15</f>
        <v>3333332</v>
      </c>
      <c r="BE15" s="76">
        <f t="shared" ref="BE15:BE78" si="7">AD15+BC15-BD15</f>
        <v>26666648</v>
      </c>
    </row>
    <row r="16" spans="1:57" ht="14" x14ac:dyDescent="0.25">
      <c r="A16" s="64">
        <f t="shared" si="6"/>
        <v>12</v>
      </c>
      <c r="B16" s="63" t="s">
        <v>31</v>
      </c>
      <c r="C16" s="59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56">
        <f t="shared" ref="AB16:AB79" si="8">D16+F16+H16+J16+L16+N16+P16+R16+T16+V16+X16+Z16</f>
        <v>0</v>
      </c>
      <c r="AC16" s="56">
        <f t="shared" ref="AC16:AC79" si="9">E16+G16+I16+K16+M16+O16+Q16+S16+U16+W16+Y16+AA16</f>
        <v>0</v>
      </c>
      <c r="AD16" s="66">
        <f t="shared" ref="AD16:AD79" si="10">C16+AB16-AC16</f>
        <v>0</v>
      </c>
      <c r="AE16" s="74"/>
      <c r="AF16" s="74">
        <v>0</v>
      </c>
      <c r="AG16" s="74"/>
      <c r="AH16" s="74">
        <v>0</v>
      </c>
      <c r="AI16" s="74"/>
      <c r="AJ16" s="74">
        <v>0</v>
      </c>
      <c r="AK16" s="74"/>
      <c r="AL16" s="74">
        <v>0</v>
      </c>
      <c r="AM16" s="74"/>
      <c r="AN16" s="74">
        <v>0</v>
      </c>
      <c r="AO16" s="91"/>
      <c r="AP16" s="91">
        <v>0</v>
      </c>
      <c r="AQ16" s="91"/>
      <c r="AR16" s="91">
        <v>0</v>
      </c>
      <c r="AS16" s="91"/>
      <c r="AT16" s="91">
        <v>0</v>
      </c>
      <c r="AU16" s="91"/>
      <c r="AV16" s="91">
        <v>0</v>
      </c>
      <c r="AW16" s="91"/>
      <c r="AX16" s="91"/>
      <c r="AY16" s="91"/>
      <c r="AZ16" s="91"/>
      <c r="BA16" s="91"/>
      <c r="BB16" s="91"/>
      <c r="BC16" s="76">
        <f t="shared" ref="BC16:BC79" si="11">AE16+AG16+AI16+AK16+AM16+AO16+AQ16+AS16+AU16+AW16+AY16+BA16</f>
        <v>0</v>
      </c>
      <c r="BD16" s="76">
        <f t="shared" ref="BD16:BD79" si="12">AF16+AH16+AJ16+AL16+AN16+AP16+AR16+AT16+AV16+AX16+AZ16+BB16</f>
        <v>0</v>
      </c>
      <c r="BE16" s="76">
        <f t="shared" si="7"/>
        <v>0</v>
      </c>
    </row>
    <row r="17" spans="1:57" ht="14" x14ac:dyDescent="0.25">
      <c r="A17" s="64">
        <f t="shared" si="6"/>
        <v>13</v>
      </c>
      <c r="B17" s="63" t="s">
        <v>32</v>
      </c>
      <c r="C17" s="59">
        <v>143508370</v>
      </c>
      <c r="D17" s="56"/>
      <c r="E17" s="56">
        <v>4100238</v>
      </c>
      <c r="F17" s="56"/>
      <c r="G17" s="56">
        <v>4100238</v>
      </c>
      <c r="H17" s="56"/>
      <c r="I17" s="56">
        <v>4100238</v>
      </c>
      <c r="J17" s="56"/>
      <c r="K17" s="56">
        <v>4100238</v>
      </c>
      <c r="L17" s="56"/>
      <c r="M17" s="56">
        <v>4100238</v>
      </c>
      <c r="N17" s="56"/>
      <c r="O17" s="56">
        <v>4100238</v>
      </c>
      <c r="P17" s="66"/>
      <c r="Q17" s="56">
        <v>4100238</v>
      </c>
      <c r="R17" s="66"/>
      <c r="S17" s="56">
        <v>4100238</v>
      </c>
      <c r="T17" s="66"/>
      <c r="U17" s="56">
        <v>4100238</v>
      </c>
      <c r="V17" s="66"/>
      <c r="W17" s="56">
        <v>4100238</v>
      </c>
      <c r="X17" s="66"/>
      <c r="Y17" s="56">
        <v>4100238</v>
      </c>
      <c r="Z17" s="66"/>
      <c r="AA17" s="56"/>
      <c r="AB17" s="56">
        <f t="shared" si="8"/>
        <v>0</v>
      </c>
      <c r="AC17" s="56">
        <f t="shared" si="9"/>
        <v>45102618</v>
      </c>
      <c r="AD17" s="66">
        <f t="shared" si="10"/>
        <v>98405752</v>
      </c>
      <c r="AE17" s="74"/>
      <c r="AF17" s="74">
        <v>4100238</v>
      </c>
      <c r="AG17" s="74"/>
      <c r="AH17" s="74">
        <v>4100238</v>
      </c>
      <c r="AI17" s="74"/>
      <c r="AJ17" s="92">
        <v>4100238</v>
      </c>
      <c r="AK17" s="74"/>
      <c r="AL17" s="74">
        <v>4100238</v>
      </c>
      <c r="AM17" s="74"/>
      <c r="AN17" s="74">
        <v>4100238</v>
      </c>
      <c r="AO17" s="91"/>
      <c r="AP17" s="91">
        <v>4100238</v>
      </c>
      <c r="AQ17" s="91"/>
      <c r="AR17" s="92">
        <v>4100238</v>
      </c>
      <c r="AS17" s="92"/>
      <c r="AT17" s="92">
        <v>4100238</v>
      </c>
      <c r="AU17" s="92"/>
      <c r="AV17" s="92">
        <v>4100238</v>
      </c>
      <c r="AW17" s="92"/>
      <c r="AX17" s="92">
        <v>4100238</v>
      </c>
      <c r="AY17" s="92"/>
      <c r="AZ17" s="92">
        <v>4100238</v>
      </c>
      <c r="BA17" s="92"/>
      <c r="BB17" s="92">
        <f>VLOOKUP(B17,'[1]Reguler &amp; Khusus'!$B$8:$D$57,3,0)</f>
        <v>4100238</v>
      </c>
      <c r="BC17" s="76">
        <f>AE17+AG17+AI17+AK17+AM17+AO17+AQ17+AS17+AU17+AW17+AY17+BA17</f>
        <v>0</v>
      </c>
      <c r="BD17" s="76">
        <f t="shared" si="12"/>
        <v>49202856</v>
      </c>
      <c r="BE17" s="76">
        <f t="shared" si="7"/>
        <v>49202896</v>
      </c>
    </row>
    <row r="18" spans="1:57" ht="14" x14ac:dyDescent="0.25">
      <c r="A18" s="64">
        <f t="shared" si="6"/>
        <v>14</v>
      </c>
      <c r="B18" s="63" t="s">
        <v>33</v>
      </c>
      <c r="C18" s="59">
        <v>39719291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56">
        <f t="shared" si="8"/>
        <v>0</v>
      </c>
      <c r="AC18" s="56">
        <f t="shared" si="9"/>
        <v>0</v>
      </c>
      <c r="AD18" s="66">
        <f t="shared" si="10"/>
        <v>39719291</v>
      </c>
      <c r="AE18" s="74"/>
      <c r="AF18" s="74">
        <v>0</v>
      </c>
      <c r="AG18" s="74"/>
      <c r="AH18" s="74">
        <v>0</v>
      </c>
      <c r="AI18" s="74"/>
      <c r="AJ18" s="74">
        <v>0</v>
      </c>
      <c r="AK18" s="74"/>
      <c r="AL18" s="74">
        <v>0</v>
      </c>
      <c r="AM18" s="74"/>
      <c r="AN18" s="74">
        <v>0</v>
      </c>
      <c r="AO18" s="91"/>
      <c r="AP18" s="91">
        <v>0</v>
      </c>
      <c r="AQ18" s="91"/>
      <c r="AR18" s="91">
        <v>0</v>
      </c>
      <c r="AS18" s="91"/>
      <c r="AT18" s="91">
        <v>0</v>
      </c>
      <c r="AU18" s="91"/>
      <c r="AV18" s="91"/>
      <c r="AW18" s="91"/>
      <c r="AX18" s="91"/>
      <c r="AY18" s="91"/>
      <c r="AZ18" s="91"/>
      <c r="BA18" s="91"/>
      <c r="BB18" s="91"/>
      <c r="BC18" s="76">
        <f t="shared" si="11"/>
        <v>0</v>
      </c>
      <c r="BD18" s="76">
        <f t="shared" si="12"/>
        <v>0</v>
      </c>
      <c r="BE18" s="76">
        <f t="shared" si="7"/>
        <v>39719291</v>
      </c>
    </row>
    <row r="19" spans="1:57" ht="14" x14ac:dyDescent="0.25">
      <c r="A19" s="64">
        <f t="shared" si="6"/>
        <v>15</v>
      </c>
      <c r="B19" s="63" t="s">
        <v>34</v>
      </c>
      <c r="C19" s="59">
        <v>3692000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56">
        <f t="shared" si="8"/>
        <v>0</v>
      </c>
      <c r="AC19" s="56">
        <f t="shared" si="9"/>
        <v>0</v>
      </c>
      <c r="AD19" s="66">
        <f t="shared" si="10"/>
        <v>3692000</v>
      </c>
      <c r="AE19" s="74"/>
      <c r="AF19" s="74">
        <v>0</v>
      </c>
      <c r="AG19" s="74"/>
      <c r="AH19" s="74">
        <v>0</v>
      </c>
      <c r="AI19" s="74"/>
      <c r="AJ19" s="74">
        <v>0</v>
      </c>
      <c r="AK19" s="74"/>
      <c r="AL19" s="74">
        <v>0</v>
      </c>
      <c r="AM19" s="74"/>
      <c r="AN19" s="74">
        <v>0</v>
      </c>
      <c r="AO19" s="91"/>
      <c r="AP19" s="91">
        <v>0</v>
      </c>
      <c r="AQ19" s="91"/>
      <c r="AR19" s="91">
        <v>0</v>
      </c>
      <c r="AS19" s="91"/>
      <c r="AT19" s="91">
        <v>0</v>
      </c>
      <c r="AU19" s="91"/>
      <c r="AV19" s="91"/>
      <c r="AW19" s="91"/>
      <c r="AX19" s="91"/>
      <c r="AY19" s="91"/>
      <c r="AZ19" s="91"/>
      <c r="BA19" s="91"/>
      <c r="BB19" s="91"/>
      <c r="BC19" s="76">
        <f t="shared" si="11"/>
        <v>0</v>
      </c>
      <c r="BD19" s="76">
        <f t="shared" si="12"/>
        <v>0</v>
      </c>
      <c r="BE19" s="76">
        <f t="shared" si="7"/>
        <v>3692000</v>
      </c>
    </row>
    <row r="20" spans="1:57" ht="14" x14ac:dyDescent="0.25">
      <c r="A20" s="64">
        <f t="shared" si="6"/>
        <v>16</v>
      </c>
      <c r="B20" s="63" t="s">
        <v>35</v>
      </c>
      <c r="C20" s="59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56">
        <f t="shared" si="8"/>
        <v>0</v>
      </c>
      <c r="AC20" s="56">
        <f t="shared" si="9"/>
        <v>0</v>
      </c>
      <c r="AD20" s="66">
        <f t="shared" si="10"/>
        <v>0</v>
      </c>
      <c r="AE20" s="74"/>
      <c r="AF20" s="74">
        <v>0</v>
      </c>
      <c r="AG20" s="74"/>
      <c r="AH20" s="74">
        <v>0</v>
      </c>
      <c r="AI20" s="74"/>
      <c r="AJ20" s="74">
        <v>0</v>
      </c>
      <c r="AK20" s="74"/>
      <c r="AL20" s="74">
        <v>0</v>
      </c>
      <c r="AM20" s="74"/>
      <c r="AN20" s="74">
        <v>0</v>
      </c>
      <c r="AO20" s="91"/>
      <c r="AP20" s="91">
        <v>0</v>
      </c>
      <c r="AQ20" s="91"/>
      <c r="AR20" s="91">
        <v>0</v>
      </c>
      <c r="AS20" s="91"/>
      <c r="AT20" s="91">
        <v>0</v>
      </c>
      <c r="AU20" s="91"/>
      <c r="AV20" s="91"/>
      <c r="AW20" s="91"/>
      <c r="AX20" s="91"/>
      <c r="AY20" s="91"/>
      <c r="AZ20" s="91"/>
      <c r="BA20" s="91"/>
      <c r="BB20" s="91"/>
      <c r="BC20" s="76">
        <f t="shared" si="11"/>
        <v>0</v>
      </c>
      <c r="BD20" s="76">
        <f t="shared" si="12"/>
        <v>0</v>
      </c>
      <c r="BE20" s="76">
        <f t="shared" si="7"/>
        <v>0</v>
      </c>
    </row>
    <row r="21" spans="1:57" ht="14" x14ac:dyDescent="0.25">
      <c r="A21" s="64">
        <f t="shared" si="6"/>
        <v>17</v>
      </c>
      <c r="B21" s="63" t="s">
        <v>36</v>
      </c>
      <c r="C21" s="59">
        <v>9690937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56">
        <f t="shared" si="8"/>
        <v>0</v>
      </c>
      <c r="AC21" s="56">
        <f t="shared" si="9"/>
        <v>0</v>
      </c>
      <c r="AD21" s="66">
        <f t="shared" si="10"/>
        <v>9690937</v>
      </c>
      <c r="AE21" s="74"/>
      <c r="AF21" s="74">
        <v>0</v>
      </c>
      <c r="AG21" s="74"/>
      <c r="AH21" s="74">
        <v>0</v>
      </c>
      <c r="AI21" s="74"/>
      <c r="AJ21" s="74">
        <v>0</v>
      </c>
      <c r="AK21" s="74"/>
      <c r="AL21" s="74">
        <v>0</v>
      </c>
      <c r="AM21" s="74"/>
      <c r="AN21" s="74">
        <v>0</v>
      </c>
      <c r="AO21" s="91"/>
      <c r="AP21" s="91">
        <v>0</v>
      </c>
      <c r="AQ21" s="91"/>
      <c r="AR21" s="91">
        <v>0</v>
      </c>
      <c r="AS21" s="91"/>
      <c r="AT21" s="91">
        <v>0</v>
      </c>
      <c r="AU21" s="91"/>
      <c r="AV21" s="91"/>
      <c r="AW21" s="91"/>
      <c r="AX21" s="91"/>
      <c r="AY21" s="91"/>
      <c r="AZ21" s="91"/>
      <c r="BA21" s="91"/>
      <c r="BB21" s="91"/>
      <c r="BC21" s="76">
        <f t="shared" si="11"/>
        <v>0</v>
      </c>
      <c r="BD21" s="76">
        <f t="shared" si="12"/>
        <v>0</v>
      </c>
      <c r="BE21" s="76">
        <f t="shared" si="7"/>
        <v>9690937</v>
      </c>
    </row>
    <row r="22" spans="1:57" ht="14" x14ac:dyDescent="0.25">
      <c r="A22" s="64">
        <f t="shared" si="6"/>
        <v>18</v>
      </c>
      <c r="B22" s="63" t="s">
        <v>37</v>
      </c>
      <c r="C22" s="59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56">
        <f t="shared" si="8"/>
        <v>0</v>
      </c>
      <c r="AC22" s="56">
        <f t="shared" si="9"/>
        <v>0</v>
      </c>
      <c r="AD22" s="66">
        <f t="shared" si="10"/>
        <v>0</v>
      </c>
      <c r="AE22" s="74"/>
      <c r="AF22" s="74">
        <v>0</v>
      </c>
      <c r="AG22" s="74"/>
      <c r="AH22" s="74">
        <v>0</v>
      </c>
      <c r="AI22" s="74"/>
      <c r="AJ22" s="74">
        <v>0</v>
      </c>
      <c r="AK22" s="74"/>
      <c r="AL22" s="74">
        <v>0</v>
      </c>
      <c r="AM22" s="74"/>
      <c r="AN22" s="74">
        <v>0</v>
      </c>
      <c r="AO22" s="91"/>
      <c r="AP22" s="91">
        <v>0</v>
      </c>
      <c r="AQ22" s="91"/>
      <c r="AR22" s="91">
        <v>0</v>
      </c>
      <c r="AS22" s="91"/>
      <c r="AT22" s="91">
        <v>0</v>
      </c>
      <c r="AU22" s="91"/>
      <c r="AV22" s="91"/>
      <c r="AW22" s="91"/>
      <c r="AX22" s="91"/>
      <c r="AY22" s="91"/>
      <c r="AZ22" s="91"/>
      <c r="BA22" s="91"/>
      <c r="BB22" s="91"/>
      <c r="BC22" s="76">
        <f t="shared" si="11"/>
        <v>0</v>
      </c>
      <c r="BD22" s="76">
        <f t="shared" si="12"/>
        <v>0</v>
      </c>
      <c r="BE22" s="76">
        <f t="shared" si="7"/>
        <v>0</v>
      </c>
    </row>
    <row r="23" spans="1:57" ht="14" x14ac:dyDescent="0.25">
      <c r="A23" s="64">
        <f t="shared" si="6"/>
        <v>19</v>
      </c>
      <c r="B23" s="63" t="s">
        <v>38</v>
      </c>
      <c r="C23" s="59">
        <v>108333337</v>
      </c>
      <c r="D23" s="56"/>
      <c r="E23" s="56">
        <v>2083333</v>
      </c>
      <c r="F23" s="56"/>
      <c r="G23" s="56">
        <v>2083333</v>
      </c>
      <c r="H23" s="56"/>
      <c r="I23" s="56">
        <v>2083333</v>
      </c>
      <c r="J23" s="56"/>
      <c r="K23" s="56">
        <v>2083333</v>
      </c>
      <c r="L23" s="56"/>
      <c r="M23" s="56">
        <v>2083333</v>
      </c>
      <c r="N23" s="56"/>
      <c r="O23" s="56">
        <v>2083333</v>
      </c>
      <c r="P23" s="66"/>
      <c r="Q23" s="56">
        <v>2083333</v>
      </c>
      <c r="R23" s="66">
        <v>150000000</v>
      </c>
      <c r="S23" s="56">
        <f>91666667+2083333</f>
        <v>93750000</v>
      </c>
      <c r="T23" s="66"/>
      <c r="U23" s="66">
        <v>2500000</v>
      </c>
      <c r="V23" s="66"/>
      <c r="W23" s="66">
        <v>2500000</v>
      </c>
      <c r="X23" s="66"/>
      <c r="Y23" s="66">
        <v>2500000</v>
      </c>
      <c r="Z23" s="66"/>
      <c r="AA23" s="66">
        <v>2500000</v>
      </c>
      <c r="AB23" s="56">
        <f t="shared" si="8"/>
        <v>150000000</v>
      </c>
      <c r="AC23" s="56">
        <f t="shared" si="9"/>
        <v>118333331</v>
      </c>
      <c r="AD23" s="66">
        <f t="shared" si="10"/>
        <v>140000006</v>
      </c>
      <c r="AE23" s="74"/>
      <c r="AF23" s="74">
        <v>2500000</v>
      </c>
      <c r="AG23" s="74"/>
      <c r="AH23" s="74">
        <v>2500000</v>
      </c>
      <c r="AI23" s="74"/>
      <c r="AJ23" s="74">
        <v>2500000</v>
      </c>
      <c r="AK23" s="74"/>
      <c r="AL23" s="74">
        <v>2500000</v>
      </c>
      <c r="AM23" s="74"/>
      <c r="AN23" s="74">
        <v>2500000</v>
      </c>
      <c r="AO23" s="91"/>
      <c r="AP23" s="91">
        <v>2500000</v>
      </c>
      <c r="AQ23" s="91"/>
      <c r="AR23" s="93">
        <v>2500000</v>
      </c>
      <c r="AS23" s="93"/>
      <c r="AT23" s="91">
        <f>46211589+73788411+2500000</f>
        <v>122500000</v>
      </c>
      <c r="AU23" s="91">
        <f>20750000+39250000</f>
        <v>60000000</v>
      </c>
      <c r="AV23" s="91"/>
      <c r="AW23" s="91"/>
      <c r="AX23" s="91">
        <v>1250000</v>
      </c>
      <c r="AY23" s="91"/>
      <c r="AZ23" s="91">
        <v>1250000</v>
      </c>
      <c r="BA23" s="91"/>
      <c r="BB23" s="91">
        <v>1250000</v>
      </c>
      <c r="BC23" s="76">
        <f t="shared" si="11"/>
        <v>60000000</v>
      </c>
      <c r="BD23" s="76">
        <f t="shared" si="12"/>
        <v>143750000</v>
      </c>
      <c r="BE23" s="76">
        <f t="shared" si="7"/>
        <v>56250006</v>
      </c>
    </row>
    <row r="24" spans="1:57" ht="14" x14ac:dyDescent="0.25">
      <c r="A24" s="64">
        <f t="shared" si="6"/>
        <v>20</v>
      </c>
      <c r="B24" s="63" t="s">
        <v>254</v>
      </c>
      <c r="C24" s="59">
        <v>92812500</v>
      </c>
      <c r="D24" s="56">
        <v>140000000</v>
      </c>
      <c r="E24" s="56">
        <f>90000000+2812500</f>
        <v>92812500</v>
      </c>
      <c r="F24" s="56"/>
      <c r="G24" s="56">
        <v>4666667</v>
      </c>
      <c r="H24" s="56"/>
      <c r="I24" s="56">
        <v>4666667</v>
      </c>
      <c r="J24" s="56"/>
      <c r="K24" s="56">
        <v>4666667</v>
      </c>
      <c r="L24" s="56"/>
      <c r="M24" s="56">
        <v>4666667</v>
      </c>
      <c r="N24" s="56"/>
      <c r="O24" s="56">
        <v>4666667</v>
      </c>
      <c r="P24" s="66"/>
      <c r="Q24" s="56">
        <v>4666667</v>
      </c>
      <c r="R24" s="66"/>
      <c r="S24" s="56">
        <v>4666667</v>
      </c>
      <c r="T24" s="66"/>
      <c r="U24" s="56">
        <v>4666667</v>
      </c>
      <c r="V24" s="66"/>
      <c r="W24" s="56">
        <v>4666667</v>
      </c>
      <c r="X24" s="66"/>
      <c r="Y24" s="56">
        <v>4666667</v>
      </c>
      <c r="Z24" s="66"/>
      <c r="AA24" s="56">
        <v>4666667</v>
      </c>
      <c r="AB24" s="56">
        <f t="shared" si="8"/>
        <v>140000000</v>
      </c>
      <c r="AC24" s="56">
        <f t="shared" si="9"/>
        <v>144145837</v>
      </c>
      <c r="AD24" s="66">
        <f t="shared" si="10"/>
        <v>88666663</v>
      </c>
      <c r="AE24" s="74">
        <v>140000000</v>
      </c>
      <c r="AF24" s="74">
        <v>94500000</v>
      </c>
      <c r="AG24" s="74"/>
      <c r="AH24" s="74">
        <v>5833333</v>
      </c>
      <c r="AI24" s="74"/>
      <c r="AJ24" s="92">
        <v>5833333</v>
      </c>
      <c r="AK24" s="74"/>
      <c r="AL24" s="74">
        <v>5833333</v>
      </c>
      <c r="AM24" s="74"/>
      <c r="AN24" s="74">
        <v>5833333</v>
      </c>
      <c r="AO24" s="91"/>
      <c r="AP24" s="91">
        <v>5833333</v>
      </c>
      <c r="AQ24" s="91"/>
      <c r="AR24" s="92">
        <v>5833333</v>
      </c>
      <c r="AS24" s="92"/>
      <c r="AT24" s="92">
        <v>5833333</v>
      </c>
      <c r="AU24" s="92"/>
      <c r="AV24" s="92">
        <v>5833333</v>
      </c>
      <c r="AW24" s="92"/>
      <c r="AX24" s="92">
        <v>5833333</v>
      </c>
      <c r="AY24" s="92"/>
      <c r="AZ24" s="92">
        <v>5833333</v>
      </c>
      <c r="BA24" s="92"/>
      <c r="BB24" s="92">
        <f>VLOOKUP(B24,'[1]Reguler &amp; Khusus'!$B$8:$D$57,3,0)</f>
        <v>5833333</v>
      </c>
      <c r="BC24" s="76">
        <f t="shared" si="11"/>
        <v>140000000</v>
      </c>
      <c r="BD24" s="76">
        <f t="shared" si="12"/>
        <v>158666663</v>
      </c>
      <c r="BE24" s="76">
        <f t="shared" si="7"/>
        <v>70000000</v>
      </c>
    </row>
    <row r="25" spans="1:57" ht="14" x14ac:dyDescent="0.25">
      <c r="A25" s="64">
        <f t="shared" si="6"/>
        <v>21</v>
      </c>
      <c r="B25" s="63" t="s">
        <v>40</v>
      </c>
      <c r="C25" s="59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56">
        <f t="shared" si="8"/>
        <v>0</v>
      </c>
      <c r="AC25" s="56">
        <f t="shared" si="9"/>
        <v>0</v>
      </c>
      <c r="AD25" s="66">
        <f t="shared" si="10"/>
        <v>0</v>
      </c>
      <c r="AE25" s="74"/>
      <c r="AF25" s="74">
        <v>0</v>
      </c>
      <c r="AG25" s="74"/>
      <c r="AH25" s="74">
        <v>0</v>
      </c>
      <c r="AI25" s="74"/>
      <c r="AJ25" s="74">
        <v>0</v>
      </c>
      <c r="AK25" s="74"/>
      <c r="AL25" s="74">
        <v>0</v>
      </c>
      <c r="AM25" s="74"/>
      <c r="AN25" s="74">
        <v>0</v>
      </c>
      <c r="AO25" s="91"/>
      <c r="AP25" s="91">
        <v>0</v>
      </c>
      <c r="AQ25" s="91"/>
      <c r="AR25" s="91">
        <v>0</v>
      </c>
      <c r="AS25" s="91"/>
      <c r="AT25" s="91">
        <v>0</v>
      </c>
      <c r="AU25" s="91"/>
      <c r="AV25" s="91"/>
      <c r="AW25" s="91"/>
      <c r="AX25" s="91"/>
      <c r="AY25" s="91"/>
      <c r="AZ25" s="91"/>
      <c r="BA25" s="91"/>
      <c r="BB25" s="91"/>
      <c r="BC25" s="76">
        <f t="shared" si="11"/>
        <v>0</v>
      </c>
      <c r="BD25" s="76">
        <f t="shared" si="12"/>
        <v>0</v>
      </c>
      <c r="BE25" s="76">
        <f t="shared" si="7"/>
        <v>0</v>
      </c>
    </row>
    <row r="26" spans="1:57" ht="14" x14ac:dyDescent="0.25">
      <c r="A26" s="64">
        <f t="shared" si="6"/>
        <v>22</v>
      </c>
      <c r="B26" s="63" t="s">
        <v>41</v>
      </c>
      <c r="C26" s="59">
        <v>6311046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56">
        <f t="shared" si="8"/>
        <v>0</v>
      </c>
      <c r="AC26" s="56">
        <f t="shared" si="9"/>
        <v>0</v>
      </c>
      <c r="AD26" s="66">
        <f t="shared" si="10"/>
        <v>6311046</v>
      </c>
      <c r="AE26" s="74"/>
      <c r="AF26" s="74">
        <v>0</v>
      </c>
      <c r="AG26" s="74"/>
      <c r="AH26" s="74">
        <v>0</v>
      </c>
      <c r="AI26" s="74"/>
      <c r="AJ26" s="74">
        <v>0</v>
      </c>
      <c r="AK26" s="74"/>
      <c r="AL26" s="74">
        <v>0</v>
      </c>
      <c r="AM26" s="74"/>
      <c r="AN26" s="74">
        <v>0</v>
      </c>
      <c r="AO26" s="91"/>
      <c r="AP26" s="91">
        <v>0</v>
      </c>
      <c r="AQ26" s="91"/>
      <c r="AR26" s="91">
        <v>0</v>
      </c>
      <c r="AS26" s="91"/>
      <c r="AT26" s="91">
        <v>0</v>
      </c>
      <c r="AU26" s="91"/>
      <c r="AV26" s="91"/>
      <c r="AW26" s="91"/>
      <c r="AX26" s="91"/>
      <c r="AY26" s="91"/>
      <c r="AZ26" s="91"/>
      <c r="BA26" s="91"/>
      <c r="BB26" s="91"/>
      <c r="BC26" s="76">
        <f t="shared" si="11"/>
        <v>0</v>
      </c>
      <c r="BD26" s="76">
        <f t="shared" si="12"/>
        <v>0</v>
      </c>
      <c r="BE26" s="76">
        <f t="shared" si="7"/>
        <v>6311046</v>
      </c>
    </row>
    <row r="27" spans="1:57" ht="14" x14ac:dyDescent="0.25">
      <c r="A27" s="64">
        <f t="shared" si="6"/>
        <v>23</v>
      </c>
      <c r="B27" s="63" t="s">
        <v>253</v>
      </c>
      <c r="C27" s="59">
        <v>40277779</v>
      </c>
      <c r="D27" s="56"/>
      <c r="E27" s="56">
        <v>1388889</v>
      </c>
      <c r="F27" s="56"/>
      <c r="G27" s="56">
        <v>1388889</v>
      </c>
      <c r="H27" s="56"/>
      <c r="I27" s="56">
        <v>1388889</v>
      </c>
      <c r="J27" s="56"/>
      <c r="K27" s="56">
        <v>1388889</v>
      </c>
      <c r="L27" s="56"/>
      <c r="M27" s="56">
        <v>1388889</v>
      </c>
      <c r="N27" s="56"/>
      <c r="O27" s="56">
        <v>1388889</v>
      </c>
      <c r="P27" s="66"/>
      <c r="Q27" s="56">
        <v>1388889</v>
      </c>
      <c r="R27" s="66"/>
      <c r="S27" s="56">
        <v>1388889</v>
      </c>
      <c r="T27" s="66"/>
      <c r="U27" s="56">
        <v>1388889</v>
      </c>
      <c r="V27" s="66"/>
      <c r="W27" s="56">
        <v>1388889</v>
      </c>
      <c r="X27" s="66"/>
      <c r="Y27" s="56">
        <v>1388889</v>
      </c>
      <c r="Z27" s="66"/>
      <c r="AA27" s="56">
        <v>1388889</v>
      </c>
      <c r="AB27" s="56">
        <f t="shared" si="8"/>
        <v>0</v>
      </c>
      <c r="AC27" s="56">
        <f t="shared" si="9"/>
        <v>16666668</v>
      </c>
      <c r="AD27" s="66">
        <f t="shared" si="10"/>
        <v>23611111</v>
      </c>
      <c r="AE27" s="74"/>
      <c r="AF27" s="74">
        <v>1388889</v>
      </c>
      <c r="AG27" s="74">
        <v>55000000</v>
      </c>
      <c r="AH27" s="74">
        <v>23611111</v>
      </c>
      <c r="AI27" s="74">
        <v>1188889</v>
      </c>
      <c r="AJ27" s="92">
        <v>1527778</v>
      </c>
      <c r="AK27" s="74"/>
      <c r="AL27" s="74">
        <v>1527778</v>
      </c>
      <c r="AM27" s="74"/>
      <c r="AN27" s="74">
        <v>1527778</v>
      </c>
      <c r="AO27" s="91"/>
      <c r="AP27" s="91">
        <v>1527778</v>
      </c>
      <c r="AQ27" s="91"/>
      <c r="AR27" s="92">
        <v>1527778</v>
      </c>
      <c r="AS27" s="92"/>
      <c r="AT27" s="92">
        <v>1527778</v>
      </c>
      <c r="AU27" s="92"/>
      <c r="AV27" s="92">
        <v>1527778</v>
      </c>
      <c r="AW27" s="92"/>
      <c r="AX27" s="92">
        <v>1527778</v>
      </c>
      <c r="AY27" s="92"/>
      <c r="AZ27" s="92">
        <v>1527778</v>
      </c>
      <c r="BA27" s="92"/>
      <c r="BB27" s="92">
        <f>VLOOKUP(B27,'[1]Reguler &amp; Khusus'!$B$8:$D$57,3,0)</f>
        <v>1527778</v>
      </c>
      <c r="BC27" s="76">
        <f t="shared" si="11"/>
        <v>56188889</v>
      </c>
      <c r="BD27" s="76">
        <f t="shared" si="12"/>
        <v>40277780</v>
      </c>
      <c r="BE27" s="76">
        <f t="shared" si="7"/>
        <v>39522220</v>
      </c>
    </row>
    <row r="28" spans="1:57" ht="14" x14ac:dyDescent="0.25">
      <c r="A28" s="64">
        <f t="shared" si="6"/>
        <v>24</v>
      </c>
      <c r="B28" s="63" t="s">
        <v>43</v>
      </c>
      <c r="C28" s="59">
        <v>56666666</v>
      </c>
      <c r="D28" s="56"/>
      <c r="E28" s="56">
        <v>1666667</v>
      </c>
      <c r="F28" s="56"/>
      <c r="G28" s="56">
        <v>1666667</v>
      </c>
      <c r="H28" s="56"/>
      <c r="I28" s="56">
        <v>1666667</v>
      </c>
      <c r="J28" s="56"/>
      <c r="K28" s="56">
        <v>1666667</v>
      </c>
      <c r="L28" s="56"/>
      <c r="M28" s="56">
        <v>1666667</v>
      </c>
      <c r="N28" s="56"/>
      <c r="O28" s="56">
        <v>1666667</v>
      </c>
      <c r="P28" s="66"/>
      <c r="Q28" s="56">
        <v>1666667</v>
      </c>
      <c r="R28" s="66"/>
      <c r="S28" s="56">
        <v>1666667</v>
      </c>
      <c r="T28" s="66"/>
      <c r="U28" s="56">
        <v>1666667</v>
      </c>
      <c r="V28" s="66"/>
      <c r="W28" s="56">
        <v>1666667</v>
      </c>
      <c r="X28" s="66"/>
      <c r="Y28" s="56">
        <v>1666667</v>
      </c>
      <c r="Z28" s="66"/>
      <c r="AA28" s="56">
        <v>1666667</v>
      </c>
      <c r="AB28" s="56">
        <f t="shared" si="8"/>
        <v>0</v>
      </c>
      <c r="AC28" s="56">
        <f t="shared" si="9"/>
        <v>20000004</v>
      </c>
      <c r="AD28" s="66">
        <f t="shared" si="10"/>
        <v>36666662</v>
      </c>
      <c r="AE28" s="74"/>
      <c r="AF28" s="74">
        <v>1666667</v>
      </c>
      <c r="AG28" s="74"/>
      <c r="AH28" s="74">
        <v>1666667</v>
      </c>
      <c r="AI28" s="74"/>
      <c r="AJ28" s="74">
        <v>1666667</v>
      </c>
      <c r="AK28" s="74"/>
      <c r="AL28" s="74">
        <v>1666667</v>
      </c>
      <c r="AM28" s="74"/>
      <c r="AN28" s="74">
        <v>1666667</v>
      </c>
      <c r="AO28" s="74"/>
      <c r="AP28" s="74">
        <v>1666667</v>
      </c>
      <c r="AQ28" s="74"/>
      <c r="AR28" s="74">
        <v>1666667</v>
      </c>
      <c r="AS28" s="74"/>
      <c r="AT28" s="74">
        <v>1666667</v>
      </c>
      <c r="AU28" s="74"/>
      <c r="AV28" s="74">
        <v>1666667</v>
      </c>
      <c r="AW28" s="74"/>
      <c r="AX28" s="74">
        <v>1666667</v>
      </c>
      <c r="AY28" s="74"/>
      <c r="AZ28" s="74">
        <v>1666667</v>
      </c>
      <c r="BA28" s="74"/>
      <c r="BB28" s="74">
        <v>1666667</v>
      </c>
      <c r="BC28" s="76">
        <f t="shared" si="11"/>
        <v>0</v>
      </c>
      <c r="BD28" s="76">
        <f t="shared" si="12"/>
        <v>20000004</v>
      </c>
      <c r="BE28" s="76">
        <f t="shared" si="7"/>
        <v>16666658</v>
      </c>
    </row>
    <row r="29" spans="1:57" ht="14" x14ac:dyDescent="0.25">
      <c r="A29" s="64">
        <f t="shared" si="6"/>
        <v>25</v>
      </c>
      <c r="B29" s="63" t="s">
        <v>44</v>
      </c>
      <c r="C29" s="59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56">
        <f t="shared" si="8"/>
        <v>0</v>
      </c>
      <c r="AC29" s="56">
        <f t="shared" si="9"/>
        <v>0</v>
      </c>
      <c r="AD29" s="66">
        <f t="shared" si="10"/>
        <v>0</v>
      </c>
      <c r="AE29" s="74"/>
      <c r="AF29" s="74">
        <v>0</v>
      </c>
      <c r="AG29" s="74"/>
      <c r="AH29" s="74">
        <v>0</v>
      </c>
      <c r="AI29" s="74"/>
      <c r="AJ29" s="74">
        <v>0</v>
      </c>
      <c r="AK29" s="74"/>
      <c r="AL29" s="74">
        <v>0</v>
      </c>
      <c r="AM29" s="74"/>
      <c r="AN29" s="74">
        <v>0</v>
      </c>
      <c r="AO29" s="91"/>
      <c r="AP29" s="91">
        <v>0</v>
      </c>
      <c r="AQ29" s="91"/>
      <c r="AR29" s="92">
        <v>0</v>
      </c>
      <c r="AS29" s="92"/>
      <c r="AT29" s="91">
        <v>0</v>
      </c>
      <c r="AU29" s="91"/>
      <c r="AV29" s="91"/>
      <c r="AW29" s="91"/>
      <c r="AX29" s="91"/>
      <c r="AY29" s="91"/>
      <c r="AZ29" s="91"/>
      <c r="BA29" s="91"/>
      <c r="BB29" s="91"/>
      <c r="BC29" s="76">
        <f t="shared" si="11"/>
        <v>0</v>
      </c>
      <c r="BD29" s="76">
        <f t="shared" si="12"/>
        <v>0</v>
      </c>
      <c r="BE29" s="76">
        <f t="shared" si="7"/>
        <v>0</v>
      </c>
    </row>
    <row r="30" spans="1:57" ht="14" x14ac:dyDescent="0.25">
      <c r="A30" s="64">
        <f t="shared" si="6"/>
        <v>26</v>
      </c>
      <c r="B30" s="63" t="s">
        <v>45</v>
      </c>
      <c r="C30" s="59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66"/>
      <c r="Q30" s="66"/>
      <c r="R30" s="66"/>
      <c r="S30" s="66"/>
      <c r="T30" s="66"/>
      <c r="U30" s="66"/>
      <c r="V30" s="66"/>
      <c r="W30" s="66"/>
      <c r="X30" s="66">
        <v>50000000</v>
      </c>
      <c r="Y30" s="66">
        <v>4166667</v>
      </c>
      <c r="Z30" s="66"/>
      <c r="AA30" s="66">
        <v>4166667</v>
      </c>
      <c r="AB30" s="56">
        <f t="shared" si="8"/>
        <v>50000000</v>
      </c>
      <c r="AC30" s="56">
        <f t="shared" si="9"/>
        <v>8333334</v>
      </c>
      <c r="AD30" s="66">
        <f t="shared" si="10"/>
        <v>41666666</v>
      </c>
      <c r="AE30" s="74">
        <v>30000000</v>
      </c>
      <c r="AF30" s="74">
        <v>4166667</v>
      </c>
      <c r="AG30" s="74"/>
      <c r="AH30" s="74">
        <v>4166667</v>
      </c>
      <c r="AI30" s="74">
        <v>20000000</v>
      </c>
      <c r="AJ30" s="74">
        <v>29166667</v>
      </c>
      <c r="AK30" s="74"/>
      <c r="AL30" s="74">
        <v>0</v>
      </c>
      <c r="AM30" s="74">
        <v>57375000</v>
      </c>
      <c r="AN30" s="74">
        <v>25000000</v>
      </c>
      <c r="AO30" s="74"/>
      <c r="AP30" s="74">
        <v>0</v>
      </c>
      <c r="AQ30" s="74"/>
      <c r="AR30" s="74">
        <v>0</v>
      </c>
      <c r="AS30" s="74"/>
      <c r="AT30" s="74">
        <v>0</v>
      </c>
      <c r="AU30" s="74"/>
      <c r="AV30" s="74"/>
      <c r="AW30" s="74"/>
      <c r="AX30" s="74"/>
      <c r="AY30" s="74"/>
      <c r="AZ30" s="74"/>
      <c r="BA30" s="74"/>
      <c r="BB30" s="74">
        <v>23696875</v>
      </c>
      <c r="BC30" s="76">
        <f t="shared" si="11"/>
        <v>107375000</v>
      </c>
      <c r="BD30" s="76">
        <f t="shared" si="12"/>
        <v>86196876</v>
      </c>
      <c r="BE30" s="76">
        <f t="shared" si="7"/>
        <v>62844790</v>
      </c>
    </row>
    <row r="31" spans="1:57" ht="14" x14ac:dyDescent="0.25">
      <c r="A31" s="64">
        <f t="shared" si="6"/>
        <v>27</v>
      </c>
      <c r="B31" s="63" t="s">
        <v>252</v>
      </c>
      <c r="C31" s="59">
        <v>59999992</v>
      </c>
      <c r="D31" s="56"/>
      <c r="E31" s="56">
        <v>1666667</v>
      </c>
      <c r="F31" s="56"/>
      <c r="G31" s="56">
        <v>1666667</v>
      </c>
      <c r="H31" s="56"/>
      <c r="I31" s="56">
        <v>1666667</v>
      </c>
      <c r="J31" s="56"/>
      <c r="K31" s="56">
        <v>1666667</v>
      </c>
      <c r="L31" s="56"/>
      <c r="M31" s="56">
        <v>1666667</v>
      </c>
      <c r="N31" s="56"/>
      <c r="O31" s="56">
        <v>1666667</v>
      </c>
      <c r="P31" s="66">
        <v>100000000</v>
      </c>
      <c r="Q31" s="56">
        <f>1666667+48333333</f>
        <v>50000000</v>
      </c>
      <c r="R31" s="66"/>
      <c r="S31" s="56">
        <v>1666667</v>
      </c>
      <c r="T31" s="66"/>
      <c r="U31" s="56">
        <v>1666667</v>
      </c>
      <c r="V31" s="66"/>
      <c r="W31" s="56">
        <v>1666667</v>
      </c>
      <c r="X31" s="66"/>
      <c r="Y31" s="56">
        <v>1666667</v>
      </c>
      <c r="Z31" s="66"/>
      <c r="AA31" s="56">
        <v>1666667</v>
      </c>
      <c r="AB31" s="56">
        <f t="shared" si="8"/>
        <v>100000000</v>
      </c>
      <c r="AC31" s="56">
        <f t="shared" si="9"/>
        <v>68333337</v>
      </c>
      <c r="AD31" s="66">
        <f t="shared" si="10"/>
        <v>91666655</v>
      </c>
      <c r="AE31" s="74"/>
      <c r="AF31" s="74">
        <v>1666667</v>
      </c>
      <c r="AG31" s="74"/>
      <c r="AH31" s="74">
        <v>1666667</v>
      </c>
      <c r="AI31" s="74"/>
      <c r="AJ31" s="92">
        <v>1666667</v>
      </c>
      <c r="AK31" s="74"/>
      <c r="AL31" s="74">
        <v>1666667</v>
      </c>
      <c r="AM31" s="74"/>
      <c r="AN31" s="74">
        <v>1666667</v>
      </c>
      <c r="AO31" s="91"/>
      <c r="AP31" s="91">
        <v>1666667</v>
      </c>
      <c r="AQ31" s="91"/>
      <c r="AR31" s="92">
        <v>1666667</v>
      </c>
      <c r="AS31" s="92"/>
      <c r="AT31" s="92">
        <v>1666667</v>
      </c>
      <c r="AU31" s="92"/>
      <c r="AV31" s="92">
        <v>1666667</v>
      </c>
      <c r="AW31" s="92"/>
      <c r="AX31" s="92">
        <v>1666667</v>
      </c>
      <c r="AY31" s="92"/>
      <c r="AZ31" s="92">
        <v>1666667</v>
      </c>
      <c r="BA31" s="92"/>
      <c r="BB31" s="92">
        <f>VLOOKUP(B31,'[1]Reguler &amp; Khusus'!$B$8:$D$57,3,0)</f>
        <v>1666667</v>
      </c>
      <c r="BC31" s="76">
        <f t="shared" si="11"/>
        <v>0</v>
      </c>
      <c r="BD31" s="76">
        <f t="shared" si="12"/>
        <v>20000004</v>
      </c>
      <c r="BE31" s="76">
        <f t="shared" si="7"/>
        <v>71666651</v>
      </c>
    </row>
    <row r="32" spans="1:57" ht="14" x14ac:dyDescent="0.25">
      <c r="A32" s="64">
        <f t="shared" si="6"/>
        <v>28</v>
      </c>
      <c r="B32" s="63" t="s">
        <v>46</v>
      </c>
      <c r="C32" s="59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56">
        <f t="shared" si="8"/>
        <v>0</v>
      </c>
      <c r="AC32" s="56">
        <f t="shared" si="9"/>
        <v>0</v>
      </c>
      <c r="AD32" s="66">
        <f t="shared" si="10"/>
        <v>0</v>
      </c>
      <c r="AE32" s="74"/>
      <c r="AF32" s="74">
        <v>0</v>
      </c>
      <c r="AG32" s="74"/>
      <c r="AH32" s="74">
        <v>0</v>
      </c>
      <c r="AI32" s="74"/>
      <c r="AJ32" s="74">
        <v>0</v>
      </c>
      <c r="AK32" s="74"/>
      <c r="AL32" s="74">
        <v>0</v>
      </c>
      <c r="AM32" s="74"/>
      <c r="AN32" s="74">
        <v>0</v>
      </c>
      <c r="AO32" s="91"/>
      <c r="AP32" s="91">
        <v>0</v>
      </c>
      <c r="AQ32" s="91"/>
      <c r="AR32" s="91">
        <v>0</v>
      </c>
      <c r="AS32" s="91"/>
      <c r="AT32" s="91">
        <v>0</v>
      </c>
      <c r="AU32" s="91"/>
      <c r="AV32" s="91"/>
      <c r="AW32" s="91"/>
      <c r="AX32" s="91"/>
      <c r="AY32" s="91"/>
      <c r="AZ32" s="91"/>
      <c r="BA32" s="91"/>
      <c r="BB32" s="91"/>
      <c r="BC32" s="76">
        <f t="shared" si="11"/>
        <v>0</v>
      </c>
      <c r="BD32" s="76">
        <f t="shared" si="12"/>
        <v>0</v>
      </c>
      <c r="BE32" s="76">
        <f t="shared" si="7"/>
        <v>0</v>
      </c>
    </row>
    <row r="33" spans="1:57" ht="14" x14ac:dyDescent="0.25">
      <c r="A33" s="64">
        <f t="shared" si="6"/>
        <v>29</v>
      </c>
      <c r="B33" s="63" t="s">
        <v>47</v>
      </c>
      <c r="C33" s="59">
        <v>2000000</v>
      </c>
      <c r="D33" s="56"/>
      <c r="E33" s="56"/>
      <c r="F33" s="56"/>
      <c r="G33" s="56"/>
      <c r="H33" s="56"/>
      <c r="I33" s="56"/>
      <c r="J33" s="56"/>
      <c r="K33" s="56"/>
      <c r="L33" s="56">
        <v>30000000</v>
      </c>
      <c r="M33" s="56"/>
      <c r="N33" s="56"/>
      <c r="O33" s="56">
        <v>2500000</v>
      </c>
      <c r="P33" s="66"/>
      <c r="Q33" s="56">
        <v>2500000</v>
      </c>
      <c r="R33" s="66"/>
      <c r="S33" s="56">
        <v>2500000</v>
      </c>
      <c r="T33" s="66"/>
      <c r="U33" s="56">
        <v>2500000</v>
      </c>
      <c r="V33" s="66"/>
      <c r="W33" s="56">
        <v>2500000</v>
      </c>
      <c r="X33" s="66">
        <v>30000000</v>
      </c>
      <c r="Y33" s="56">
        <f>15000000+2500000</f>
        <v>17500000</v>
      </c>
      <c r="Z33" s="66"/>
      <c r="AA33" s="56">
        <v>2500000</v>
      </c>
      <c r="AB33" s="56">
        <f t="shared" si="8"/>
        <v>60000000</v>
      </c>
      <c r="AC33" s="56">
        <f t="shared" si="9"/>
        <v>32500000</v>
      </c>
      <c r="AD33" s="66">
        <f t="shared" si="10"/>
        <v>29500000</v>
      </c>
      <c r="AE33" s="74"/>
      <c r="AF33" s="74">
        <v>2500000</v>
      </c>
      <c r="AG33" s="74">
        <v>50000000</v>
      </c>
      <c r="AH33" s="74">
        <v>27500000</v>
      </c>
      <c r="AI33" s="74">
        <v>100000000</v>
      </c>
      <c r="AJ33" s="74">
        <v>47500000</v>
      </c>
      <c r="AK33" s="74"/>
      <c r="AL33" s="74">
        <v>2777778</v>
      </c>
      <c r="AM33" s="74">
        <v>150000000</v>
      </c>
      <c r="AN33" s="74">
        <v>97222222</v>
      </c>
      <c r="AO33" s="91"/>
      <c r="AP33" s="91">
        <v>3125000</v>
      </c>
      <c r="AQ33" s="91"/>
      <c r="AR33" s="92">
        <v>3125000</v>
      </c>
      <c r="AS33" s="92"/>
      <c r="AT33" s="92">
        <v>3125000</v>
      </c>
      <c r="AU33" s="92">
        <v>189187500</v>
      </c>
      <c r="AV33" s="92">
        <f>137500000+3125000</f>
        <v>140625000</v>
      </c>
      <c r="AW33" s="92">
        <v>60812500</v>
      </c>
      <c r="AX33" s="92">
        <v>6944444</v>
      </c>
      <c r="AY33" s="92"/>
      <c r="AZ33" s="92">
        <v>6944444</v>
      </c>
      <c r="BA33" s="92"/>
      <c r="BB33" s="92">
        <f>VLOOKUP(B33,'[1]Reguler &amp; Khusus'!$B$8:$D$57,3,0)</f>
        <v>6944444</v>
      </c>
      <c r="BC33" s="76">
        <f t="shared" si="11"/>
        <v>550000000</v>
      </c>
      <c r="BD33" s="76">
        <f t="shared" si="12"/>
        <v>348333332</v>
      </c>
      <c r="BE33" s="76">
        <f t="shared" si="7"/>
        <v>231166668</v>
      </c>
    </row>
    <row r="34" spans="1:57" ht="14" x14ac:dyDescent="0.25">
      <c r="A34" s="64">
        <f t="shared" si="6"/>
        <v>30</v>
      </c>
      <c r="B34" s="63" t="s">
        <v>48</v>
      </c>
      <c r="C34" s="59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56">
        <f t="shared" si="8"/>
        <v>0</v>
      </c>
      <c r="AC34" s="56">
        <f t="shared" si="9"/>
        <v>0</v>
      </c>
      <c r="AD34" s="66">
        <f t="shared" si="10"/>
        <v>0</v>
      </c>
      <c r="AE34" s="74"/>
      <c r="AF34" s="74">
        <v>0</v>
      </c>
      <c r="AG34" s="74"/>
      <c r="AH34" s="74">
        <v>0</v>
      </c>
      <c r="AI34" s="74"/>
      <c r="AJ34" s="74">
        <v>0</v>
      </c>
      <c r="AK34" s="74"/>
      <c r="AL34" s="74">
        <v>0</v>
      </c>
      <c r="AM34" s="74"/>
      <c r="AN34" s="74">
        <v>0</v>
      </c>
      <c r="AO34" s="91"/>
      <c r="AP34" s="91">
        <v>0</v>
      </c>
      <c r="AQ34" s="91"/>
      <c r="AR34" s="91">
        <v>0</v>
      </c>
      <c r="AS34" s="91"/>
      <c r="AT34" s="91">
        <v>0</v>
      </c>
      <c r="AU34" s="91"/>
      <c r="AV34" s="91"/>
      <c r="AW34" s="91"/>
      <c r="AX34" s="91"/>
      <c r="AY34" s="91"/>
      <c r="AZ34" s="91"/>
      <c r="BA34" s="91"/>
      <c r="BB34" s="91"/>
      <c r="BC34" s="76">
        <f t="shared" si="11"/>
        <v>0</v>
      </c>
      <c r="BD34" s="76">
        <f t="shared" si="12"/>
        <v>0</v>
      </c>
      <c r="BE34" s="76">
        <f t="shared" si="7"/>
        <v>0</v>
      </c>
    </row>
    <row r="35" spans="1:57" s="99" customFormat="1" ht="14" x14ac:dyDescent="0.25">
      <c r="A35" s="94">
        <f t="shared" si="6"/>
        <v>31</v>
      </c>
      <c r="B35" s="95" t="s">
        <v>175</v>
      </c>
      <c r="C35" s="96">
        <v>93333333</v>
      </c>
      <c r="D35" s="97"/>
      <c r="E35" s="97">
        <v>1666667</v>
      </c>
      <c r="F35" s="97"/>
      <c r="G35" s="97">
        <v>1666667</v>
      </c>
      <c r="H35" s="97"/>
      <c r="I35" s="97">
        <v>1666667</v>
      </c>
      <c r="J35" s="97"/>
      <c r="K35" s="97">
        <v>1666667</v>
      </c>
      <c r="L35" s="97"/>
      <c r="M35" s="97">
        <v>1666667</v>
      </c>
      <c r="N35" s="97"/>
      <c r="O35" s="97">
        <v>1666667</v>
      </c>
      <c r="P35" s="98"/>
      <c r="Q35" s="97">
        <v>1666667</v>
      </c>
      <c r="R35" s="98"/>
      <c r="S35" s="97">
        <v>1666667</v>
      </c>
      <c r="T35" s="98"/>
      <c r="U35" s="97">
        <v>1666667</v>
      </c>
      <c r="V35" s="98"/>
      <c r="W35" s="97">
        <v>1666667</v>
      </c>
      <c r="X35" s="98"/>
      <c r="Y35" s="97">
        <v>1666667</v>
      </c>
      <c r="Z35" s="98">
        <v>110000000</v>
      </c>
      <c r="AA35" s="97">
        <f>75000000</f>
        <v>75000000</v>
      </c>
      <c r="AB35" s="97">
        <f t="shared" si="8"/>
        <v>110000000</v>
      </c>
      <c r="AC35" s="97">
        <f t="shared" si="9"/>
        <v>93333337</v>
      </c>
      <c r="AD35" s="98">
        <f t="shared" si="10"/>
        <v>109999996</v>
      </c>
      <c r="AE35" s="92"/>
      <c r="AF35" s="92">
        <v>1833333</v>
      </c>
      <c r="AG35" s="92"/>
      <c r="AH35" s="92">
        <v>1833333</v>
      </c>
      <c r="AI35" s="92"/>
      <c r="AJ35" s="92">
        <v>1833333</v>
      </c>
      <c r="AK35" s="92"/>
      <c r="AL35" s="92">
        <v>1833333</v>
      </c>
      <c r="AM35" s="92"/>
      <c r="AN35" s="92">
        <v>1833333</v>
      </c>
      <c r="AO35" s="92"/>
      <c r="AP35" s="92">
        <v>1833333</v>
      </c>
      <c r="AQ35" s="92"/>
      <c r="AR35" s="92">
        <v>1833333</v>
      </c>
      <c r="AS35" s="92">
        <v>122770833</v>
      </c>
      <c r="AT35" s="92">
        <f>95333333+1833333</f>
        <v>97166666</v>
      </c>
      <c r="AU35" s="92">
        <v>27229167</v>
      </c>
      <c r="AV35" s="92">
        <v>2500000</v>
      </c>
      <c r="AW35" s="92"/>
      <c r="AX35" s="92">
        <v>2500000</v>
      </c>
      <c r="AY35" s="92"/>
      <c r="AZ35" s="92">
        <v>2500000</v>
      </c>
      <c r="BA35" s="92"/>
      <c r="BB35" s="92">
        <f>VLOOKUP(B35,'[1]Reguler &amp; Khusus'!$B$8:$D$57,3,0)</f>
        <v>2500000</v>
      </c>
      <c r="BC35" s="76">
        <f t="shared" si="11"/>
        <v>150000000</v>
      </c>
      <c r="BD35" s="76">
        <f t="shared" si="12"/>
        <v>119999997</v>
      </c>
      <c r="BE35" s="76">
        <f t="shared" si="7"/>
        <v>139999999</v>
      </c>
    </row>
    <row r="36" spans="1:57" ht="14" x14ac:dyDescent="0.25">
      <c r="A36" s="64">
        <f t="shared" si="6"/>
        <v>32</v>
      </c>
      <c r="B36" s="63" t="s">
        <v>50</v>
      </c>
      <c r="C36" s="59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56">
        <f t="shared" si="8"/>
        <v>0</v>
      </c>
      <c r="AC36" s="56">
        <f t="shared" si="9"/>
        <v>0</v>
      </c>
      <c r="AD36" s="66">
        <f t="shared" si="10"/>
        <v>0</v>
      </c>
      <c r="AE36" s="74"/>
      <c r="AF36" s="74">
        <v>0</v>
      </c>
      <c r="AG36" s="74"/>
      <c r="AH36" s="74">
        <v>0</v>
      </c>
      <c r="AI36" s="74"/>
      <c r="AJ36" s="74">
        <v>0</v>
      </c>
      <c r="AK36" s="74"/>
      <c r="AL36" s="74">
        <v>0</v>
      </c>
      <c r="AM36" s="74"/>
      <c r="AN36" s="74">
        <v>0</v>
      </c>
      <c r="AO36" s="91"/>
      <c r="AP36" s="91">
        <v>0</v>
      </c>
      <c r="AQ36" s="91"/>
      <c r="AR36" s="74"/>
      <c r="AS36" s="91"/>
      <c r="AT36" s="91">
        <v>0</v>
      </c>
      <c r="AU36" s="91"/>
      <c r="AV36" s="91"/>
      <c r="AW36" s="91"/>
      <c r="AX36" s="91"/>
      <c r="AY36" s="91"/>
      <c r="AZ36" s="91"/>
      <c r="BA36" s="91"/>
      <c r="BB36" s="91"/>
      <c r="BC36" s="76">
        <f t="shared" si="11"/>
        <v>0</v>
      </c>
      <c r="BD36" s="76">
        <f t="shared" si="12"/>
        <v>0</v>
      </c>
      <c r="BE36" s="76">
        <f t="shared" si="7"/>
        <v>0</v>
      </c>
    </row>
    <row r="37" spans="1:57" ht="14" x14ac:dyDescent="0.25">
      <c r="A37" s="64">
        <f t="shared" si="6"/>
        <v>33</v>
      </c>
      <c r="B37" s="63" t="s">
        <v>51</v>
      </c>
      <c r="C37" s="59">
        <v>27777783</v>
      </c>
      <c r="D37" s="56"/>
      <c r="E37" s="56">
        <v>1388889</v>
      </c>
      <c r="F37" s="56"/>
      <c r="G37" s="56">
        <v>1388889</v>
      </c>
      <c r="H37" s="56"/>
      <c r="I37" s="56">
        <f>23611116+1388889</f>
        <v>25000005</v>
      </c>
      <c r="J37" s="56"/>
      <c r="K37" s="56"/>
      <c r="L37" s="56"/>
      <c r="M37" s="56"/>
      <c r="N37" s="56"/>
      <c r="O37" s="5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56">
        <f t="shared" si="8"/>
        <v>0</v>
      </c>
      <c r="AC37" s="56">
        <f t="shared" si="9"/>
        <v>27777783</v>
      </c>
      <c r="AD37" s="66">
        <f t="shared" si="10"/>
        <v>0</v>
      </c>
      <c r="AE37" s="74"/>
      <c r="AF37" s="74">
        <v>0</v>
      </c>
      <c r="AG37" s="74"/>
      <c r="AH37" s="74">
        <v>0</v>
      </c>
      <c r="AI37" s="74"/>
      <c r="AJ37" s="74">
        <v>0</v>
      </c>
      <c r="AK37" s="74"/>
      <c r="AL37" s="74">
        <v>0</v>
      </c>
      <c r="AM37" s="74"/>
      <c r="AN37" s="74">
        <v>0</v>
      </c>
      <c r="AO37" s="91"/>
      <c r="AP37" s="91">
        <v>0</v>
      </c>
      <c r="AQ37" s="91"/>
      <c r="AR37" s="91">
        <v>0</v>
      </c>
      <c r="AS37" s="91"/>
      <c r="AT37" s="91">
        <v>0</v>
      </c>
      <c r="AU37" s="91"/>
      <c r="AV37" s="91"/>
      <c r="AW37" s="91"/>
      <c r="AX37" s="91"/>
      <c r="AY37" s="91"/>
      <c r="AZ37" s="91"/>
      <c r="BA37" s="91"/>
      <c r="BB37" s="91"/>
      <c r="BC37" s="76">
        <f t="shared" si="11"/>
        <v>0</v>
      </c>
      <c r="BD37" s="76">
        <f t="shared" si="12"/>
        <v>0</v>
      </c>
      <c r="BE37" s="76">
        <f t="shared" si="7"/>
        <v>0</v>
      </c>
    </row>
    <row r="38" spans="1:57" ht="14" x14ac:dyDescent="0.25">
      <c r="A38" s="64">
        <f t="shared" si="6"/>
        <v>34</v>
      </c>
      <c r="B38" s="63" t="s">
        <v>52</v>
      </c>
      <c r="C38" s="59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56">
        <f t="shared" si="8"/>
        <v>0</v>
      </c>
      <c r="AC38" s="56">
        <f t="shared" si="9"/>
        <v>0</v>
      </c>
      <c r="AD38" s="66">
        <f t="shared" si="10"/>
        <v>0</v>
      </c>
      <c r="AE38" s="74"/>
      <c r="AF38" s="74">
        <v>0</v>
      </c>
      <c r="AG38" s="74"/>
      <c r="AH38" s="74">
        <v>0</v>
      </c>
      <c r="AI38" s="74"/>
      <c r="AJ38" s="74">
        <v>0</v>
      </c>
      <c r="AK38" s="74"/>
      <c r="AL38" s="74">
        <v>0</v>
      </c>
      <c r="AM38" s="74"/>
      <c r="AN38" s="74">
        <v>0</v>
      </c>
      <c r="AO38" s="91"/>
      <c r="AP38" s="91">
        <v>0</v>
      </c>
      <c r="AQ38" s="91"/>
      <c r="AR38" s="91">
        <v>0</v>
      </c>
      <c r="AS38" s="91"/>
      <c r="AT38" s="91">
        <v>0</v>
      </c>
      <c r="AU38" s="91"/>
      <c r="AV38" s="91"/>
      <c r="AW38" s="91"/>
      <c r="AX38" s="91"/>
      <c r="AY38" s="91"/>
      <c r="AZ38" s="91"/>
      <c r="BA38" s="91"/>
      <c r="BB38" s="91"/>
      <c r="BC38" s="76">
        <f t="shared" si="11"/>
        <v>0</v>
      </c>
      <c r="BD38" s="76">
        <f t="shared" si="12"/>
        <v>0</v>
      </c>
      <c r="BE38" s="76">
        <f t="shared" si="7"/>
        <v>0</v>
      </c>
    </row>
    <row r="39" spans="1:57" ht="14" x14ac:dyDescent="0.25">
      <c r="A39" s="64">
        <f t="shared" si="6"/>
        <v>35</v>
      </c>
      <c r="B39" s="63" t="s">
        <v>53</v>
      </c>
      <c r="C39" s="59">
        <v>49999996</v>
      </c>
      <c r="D39" s="56"/>
      <c r="E39" s="56">
        <v>1388889</v>
      </c>
      <c r="F39" s="56"/>
      <c r="G39" s="56">
        <v>1388889</v>
      </c>
      <c r="H39" s="56"/>
      <c r="I39" s="56">
        <v>1388889</v>
      </c>
      <c r="J39" s="56"/>
      <c r="K39" s="56">
        <v>1388889</v>
      </c>
      <c r="L39" s="56"/>
      <c r="M39" s="56">
        <v>1388889</v>
      </c>
      <c r="N39" s="56"/>
      <c r="O39" s="56">
        <v>1388889</v>
      </c>
      <c r="P39" s="66"/>
      <c r="Q39" s="56">
        <v>1388889</v>
      </c>
      <c r="R39" s="66"/>
      <c r="S39" s="56">
        <v>1388889</v>
      </c>
      <c r="T39" s="66"/>
      <c r="U39" s="56">
        <v>1388889</v>
      </c>
      <c r="V39" s="66"/>
      <c r="W39" s="56">
        <v>1388889</v>
      </c>
      <c r="X39" s="66"/>
      <c r="Y39" s="56">
        <v>1388889</v>
      </c>
      <c r="Z39" s="66"/>
      <c r="AA39" s="56">
        <v>1388889</v>
      </c>
      <c r="AB39" s="56">
        <f t="shared" si="8"/>
        <v>0</v>
      </c>
      <c r="AC39" s="56">
        <f t="shared" si="9"/>
        <v>16666668</v>
      </c>
      <c r="AD39" s="66">
        <f t="shared" si="10"/>
        <v>33333328</v>
      </c>
      <c r="AE39" s="74"/>
      <c r="AF39" s="74">
        <v>1388889</v>
      </c>
      <c r="AG39" s="74"/>
      <c r="AH39" s="74">
        <v>1388889</v>
      </c>
      <c r="AI39" s="74"/>
      <c r="AJ39" s="74">
        <v>1388889</v>
      </c>
      <c r="AK39" s="74"/>
      <c r="AL39" s="74">
        <v>1388889</v>
      </c>
      <c r="AM39" s="74"/>
      <c r="AN39" s="74">
        <v>1388889</v>
      </c>
      <c r="AO39" s="91"/>
      <c r="AP39" s="91">
        <v>1388889</v>
      </c>
      <c r="AQ39" s="91"/>
      <c r="AR39" s="91">
        <v>1388889</v>
      </c>
      <c r="AS39" s="91"/>
      <c r="AT39" s="91">
        <v>1388889</v>
      </c>
      <c r="AU39" s="91"/>
      <c r="AV39" s="91">
        <v>1388889</v>
      </c>
      <c r="AW39" s="91"/>
      <c r="AX39" s="91">
        <v>1388889</v>
      </c>
      <c r="AY39" s="91"/>
      <c r="AZ39" s="91">
        <v>1388889</v>
      </c>
      <c r="BA39" s="91"/>
      <c r="BB39" s="91">
        <v>1388889</v>
      </c>
      <c r="BC39" s="76">
        <f t="shared" si="11"/>
        <v>0</v>
      </c>
      <c r="BD39" s="76">
        <f t="shared" si="12"/>
        <v>16666668</v>
      </c>
      <c r="BE39" s="76">
        <f t="shared" si="7"/>
        <v>16666660</v>
      </c>
    </row>
    <row r="40" spans="1:57" ht="14" x14ac:dyDescent="0.25">
      <c r="A40" s="64">
        <f t="shared" si="6"/>
        <v>36</v>
      </c>
      <c r="B40" s="63" t="s">
        <v>54</v>
      </c>
      <c r="C40" s="59">
        <v>182300250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56">
        <f t="shared" si="8"/>
        <v>0</v>
      </c>
      <c r="AC40" s="56">
        <f t="shared" si="9"/>
        <v>0</v>
      </c>
      <c r="AD40" s="66">
        <f t="shared" si="10"/>
        <v>182300250</v>
      </c>
      <c r="AE40" s="74"/>
      <c r="AF40" s="74">
        <v>0</v>
      </c>
      <c r="AG40" s="74"/>
      <c r="AH40" s="74">
        <v>0</v>
      </c>
      <c r="AI40" s="74"/>
      <c r="AJ40" s="74">
        <v>0</v>
      </c>
      <c r="AK40" s="74"/>
      <c r="AL40" s="74">
        <v>0</v>
      </c>
      <c r="AM40" s="74"/>
      <c r="AN40" s="74">
        <v>0</v>
      </c>
      <c r="AO40" s="91"/>
      <c r="AP40" s="91">
        <v>0</v>
      </c>
      <c r="AQ40" s="91"/>
      <c r="AR40" s="91">
        <v>0</v>
      </c>
      <c r="AS40" s="91"/>
      <c r="AT40" s="91">
        <v>0</v>
      </c>
      <c r="AU40" s="91"/>
      <c r="AV40" s="91"/>
      <c r="AW40" s="91"/>
      <c r="AX40" s="91"/>
      <c r="AY40" s="91"/>
      <c r="AZ40" s="91"/>
      <c r="BA40" s="91"/>
      <c r="BB40" s="91"/>
      <c r="BC40" s="76">
        <f t="shared" si="11"/>
        <v>0</v>
      </c>
      <c r="BD40" s="76">
        <f t="shared" si="12"/>
        <v>0</v>
      </c>
      <c r="BE40" s="76">
        <f t="shared" si="7"/>
        <v>182300250</v>
      </c>
    </row>
    <row r="41" spans="1:57" ht="14" x14ac:dyDescent="0.25">
      <c r="A41" s="64">
        <f t="shared" si="6"/>
        <v>37</v>
      </c>
      <c r="B41" s="63" t="s">
        <v>55</v>
      </c>
      <c r="C41" s="59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56">
        <f t="shared" si="8"/>
        <v>0</v>
      </c>
      <c r="AC41" s="56">
        <f t="shared" si="9"/>
        <v>0</v>
      </c>
      <c r="AD41" s="66">
        <f t="shared" si="10"/>
        <v>0</v>
      </c>
      <c r="AE41" s="74"/>
      <c r="AF41" s="74">
        <v>0</v>
      </c>
      <c r="AG41" s="74"/>
      <c r="AH41" s="74">
        <v>0</v>
      </c>
      <c r="AI41" s="74"/>
      <c r="AJ41" s="74">
        <v>0</v>
      </c>
      <c r="AK41" s="74"/>
      <c r="AL41" s="74">
        <v>0</v>
      </c>
      <c r="AM41" s="74"/>
      <c r="AN41" s="74">
        <v>0</v>
      </c>
      <c r="AO41" s="91"/>
      <c r="AP41" s="91">
        <v>0</v>
      </c>
      <c r="AQ41" s="91"/>
      <c r="AR41" s="91">
        <v>0</v>
      </c>
      <c r="AS41" s="91"/>
      <c r="AT41" s="91">
        <v>0</v>
      </c>
      <c r="AU41" s="91"/>
      <c r="AV41" s="91"/>
      <c r="AW41" s="91"/>
      <c r="AX41" s="91"/>
      <c r="AY41" s="91"/>
      <c r="AZ41" s="91"/>
      <c r="BA41" s="91"/>
      <c r="BB41" s="91"/>
      <c r="BC41" s="76">
        <f t="shared" si="11"/>
        <v>0</v>
      </c>
      <c r="BD41" s="76">
        <f t="shared" si="12"/>
        <v>0</v>
      </c>
      <c r="BE41" s="76">
        <f t="shared" si="7"/>
        <v>0</v>
      </c>
    </row>
    <row r="42" spans="1:57" ht="14" x14ac:dyDescent="0.25">
      <c r="A42" s="64">
        <f t="shared" si="6"/>
        <v>38</v>
      </c>
      <c r="B42" s="63" t="s">
        <v>56</v>
      </c>
      <c r="C42" s="59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56">
        <f t="shared" si="8"/>
        <v>0</v>
      </c>
      <c r="AC42" s="56">
        <f t="shared" si="9"/>
        <v>0</v>
      </c>
      <c r="AD42" s="66">
        <f t="shared" si="10"/>
        <v>0</v>
      </c>
      <c r="AE42" s="74"/>
      <c r="AF42" s="74">
        <v>0</v>
      </c>
      <c r="AG42" s="74"/>
      <c r="AH42" s="74">
        <v>0</v>
      </c>
      <c r="AI42" s="74"/>
      <c r="AJ42" s="74">
        <v>0</v>
      </c>
      <c r="AK42" s="74"/>
      <c r="AL42" s="74">
        <v>0</v>
      </c>
      <c r="AM42" s="74"/>
      <c r="AN42" s="74">
        <v>0</v>
      </c>
      <c r="AO42" s="91"/>
      <c r="AP42" s="91">
        <v>0</v>
      </c>
      <c r="AQ42" s="91"/>
      <c r="AR42" s="91">
        <v>0</v>
      </c>
      <c r="AS42" s="91"/>
      <c r="AT42" s="91">
        <v>0</v>
      </c>
      <c r="AU42" s="91"/>
      <c r="AV42" s="91"/>
      <c r="AW42" s="91"/>
      <c r="AX42" s="91"/>
      <c r="AY42" s="91"/>
      <c r="AZ42" s="91"/>
      <c r="BA42" s="91"/>
      <c r="BB42" s="91"/>
      <c r="BC42" s="76">
        <f t="shared" si="11"/>
        <v>0</v>
      </c>
      <c r="BD42" s="76">
        <f t="shared" si="12"/>
        <v>0</v>
      </c>
      <c r="BE42" s="76">
        <f t="shared" si="7"/>
        <v>0</v>
      </c>
    </row>
    <row r="43" spans="1:57" ht="14" x14ac:dyDescent="0.25">
      <c r="A43" s="64">
        <f t="shared" si="6"/>
        <v>39</v>
      </c>
      <c r="B43" s="63" t="s">
        <v>57</v>
      </c>
      <c r="C43" s="59">
        <v>9166666</v>
      </c>
      <c r="D43" s="56"/>
      <c r="E43" s="56">
        <v>416667</v>
      </c>
      <c r="F43" s="56"/>
      <c r="G43" s="56">
        <v>416667</v>
      </c>
      <c r="H43" s="56"/>
      <c r="I43" s="56">
        <v>416667</v>
      </c>
      <c r="J43" s="56"/>
      <c r="K43" s="56">
        <v>416667</v>
      </c>
      <c r="L43" s="56"/>
      <c r="M43" s="56">
        <v>416667</v>
      </c>
      <c r="N43" s="56"/>
      <c r="O43" s="56">
        <v>416667</v>
      </c>
      <c r="P43" s="66">
        <f>25000000+3</f>
        <v>25000003</v>
      </c>
      <c r="Q43" s="56">
        <f>416667+6250000</f>
        <v>6666667</v>
      </c>
      <c r="R43" s="66"/>
      <c r="S43" s="66">
        <v>694444</v>
      </c>
      <c r="T43" s="66"/>
      <c r="U43" s="66">
        <v>694444</v>
      </c>
      <c r="V43" s="66"/>
      <c r="W43" s="66">
        <v>694444</v>
      </c>
      <c r="X43" s="66"/>
      <c r="Y43" s="66">
        <v>694444</v>
      </c>
      <c r="Z43" s="66"/>
      <c r="AA43" s="66">
        <v>694444</v>
      </c>
      <c r="AB43" s="56">
        <f t="shared" si="8"/>
        <v>25000003</v>
      </c>
      <c r="AC43" s="56">
        <f t="shared" si="9"/>
        <v>12638889</v>
      </c>
      <c r="AD43" s="66">
        <f t="shared" si="10"/>
        <v>21527780</v>
      </c>
      <c r="AE43" s="74"/>
      <c r="AF43" s="74">
        <v>694444</v>
      </c>
      <c r="AG43" s="74"/>
      <c r="AH43" s="74">
        <v>694444</v>
      </c>
      <c r="AI43" s="74"/>
      <c r="AJ43" s="92">
        <v>694444</v>
      </c>
      <c r="AK43" s="74"/>
      <c r="AL43" s="74">
        <v>694444</v>
      </c>
      <c r="AM43" s="74"/>
      <c r="AN43" s="74">
        <v>694444</v>
      </c>
      <c r="AO43" s="91"/>
      <c r="AP43" s="91">
        <v>694444</v>
      </c>
      <c r="AQ43" s="91"/>
      <c r="AR43" s="92">
        <v>694444</v>
      </c>
      <c r="AS43" s="92"/>
      <c r="AT43" s="92">
        <v>694444</v>
      </c>
      <c r="AU43" s="92"/>
      <c r="AV43" s="92">
        <v>694444</v>
      </c>
      <c r="AW43" s="92"/>
      <c r="AX43" s="92">
        <v>694444</v>
      </c>
      <c r="AY43" s="92"/>
      <c r="AZ43" s="92">
        <v>694444</v>
      </c>
      <c r="BA43" s="92"/>
      <c r="BB43" s="92">
        <f>VLOOKUP(B43,'[1]Reguler &amp; Khusus'!$B$8:$D$57,3,0)</f>
        <v>694444</v>
      </c>
      <c r="BC43" s="76">
        <f t="shared" si="11"/>
        <v>0</v>
      </c>
      <c r="BD43" s="76">
        <f t="shared" si="12"/>
        <v>8333328</v>
      </c>
      <c r="BE43" s="76">
        <f t="shared" si="7"/>
        <v>13194452</v>
      </c>
    </row>
    <row r="44" spans="1:57" ht="14" x14ac:dyDescent="0.25">
      <c r="A44" s="64">
        <f t="shared" si="6"/>
        <v>40</v>
      </c>
      <c r="B44" s="63" t="s">
        <v>58</v>
      </c>
      <c r="C44" s="59">
        <v>7777768</v>
      </c>
      <c r="D44" s="56"/>
      <c r="E44" s="56">
        <v>555556</v>
      </c>
      <c r="F44" s="56"/>
      <c r="G44" s="56">
        <v>555556</v>
      </c>
      <c r="H44" s="56"/>
      <c r="I44" s="56">
        <v>555556</v>
      </c>
      <c r="J44" s="56"/>
      <c r="K44" s="56">
        <v>555556</v>
      </c>
      <c r="L44" s="56"/>
      <c r="M44" s="56">
        <v>555556</v>
      </c>
      <c r="N44" s="56"/>
      <c r="O44" s="56">
        <v>555556</v>
      </c>
      <c r="P44" s="66"/>
      <c r="Q44" s="56">
        <v>555556</v>
      </c>
      <c r="R44" s="66"/>
      <c r="S44" s="56">
        <v>555556</v>
      </c>
      <c r="T44" s="66"/>
      <c r="U44" s="56">
        <v>555556</v>
      </c>
      <c r="V44" s="66"/>
      <c r="W44" s="56">
        <v>555556</v>
      </c>
      <c r="X44" s="66"/>
      <c r="Y44" s="56">
        <v>555556</v>
      </c>
      <c r="Z44" s="66"/>
      <c r="AA44" s="56">
        <v>555556</v>
      </c>
      <c r="AB44" s="56">
        <f t="shared" si="8"/>
        <v>0</v>
      </c>
      <c r="AC44" s="56">
        <f t="shared" si="9"/>
        <v>6666672</v>
      </c>
      <c r="AD44" s="66">
        <f t="shared" si="10"/>
        <v>1111096</v>
      </c>
      <c r="AE44" s="74"/>
      <c r="AF44" s="74">
        <v>555556</v>
      </c>
      <c r="AG44" s="74"/>
      <c r="AH44" s="74">
        <v>555556</v>
      </c>
      <c r="AI44" s="74"/>
      <c r="AJ44" s="74">
        <v>0</v>
      </c>
      <c r="AK44" s="74"/>
      <c r="AL44" s="74">
        <v>0</v>
      </c>
      <c r="AM44" s="74"/>
      <c r="AN44" s="74">
        <v>0</v>
      </c>
      <c r="AO44" s="91"/>
      <c r="AP44" s="91">
        <v>0</v>
      </c>
      <c r="AQ44" s="91"/>
      <c r="AR44" s="91">
        <v>0</v>
      </c>
      <c r="AS44" s="91"/>
      <c r="AT44" s="91">
        <v>0</v>
      </c>
      <c r="AU44" s="91"/>
      <c r="AV44" s="91"/>
      <c r="AW44" s="91"/>
      <c r="AX44" s="91"/>
      <c r="AY44" s="91"/>
      <c r="AZ44" s="91"/>
      <c r="BA44" s="91"/>
      <c r="BB44" s="91"/>
      <c r="BC44" s="76">
        <f t="shared" si="11"/>
        <v>0</v>
      </c>
      <c r="BD44" s="76">
        <f t="shared" si="12"/>
        <v>1111112</v>
      </c>
      <c r="BE44" s="76">
        <f t="shared" si="7"/>
        <v>-16</v>
      </c>
    </row>
    <row r="45" spans="1:57" ht="14" x14ac:dyDescent="0.25">
      <c r="A45" s="64">
        <f t="shared" si="6"/>
        <v>41</v>
      </c>
      <c r="B45" s="63" t="s">
        <v>59</v>
      </c>
      <c r="C45" s="59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56">
        <f t="shared" si="8"/>
        <v>0</v>
      </c>
      <c r="AC45" s="56">
        <f t="shared" si="9"/>
        <v>0</v>
      </c>
      <c r="AD45" s="66">
        <f t="shared" si="10"/>
        <v>0</v>
      </c>
      <c r="AE45" s="74"/>
      <c r="AF45" s="74">
        <v>0</v>
      </c>
      <c r="AG45" s="74"/>
      <c r="AH45" s="74">
        <v>0</v>
      </c>
      <c r="AI45" s="74"/>
      <c r="AJ45" s="74">
        <v>0</v>
      </c>
      <c r="AK45" s="74"/>
      <c r="AL45" s="74">
        <v>0</v>
      </c>
      <c r="AM45" s="74"/>
      <c r="AN45" s="74">
        <v>0</v>
      </c>
      <c r="AO45" s="91"/>
      <c r="AP45" s="91">
        <v>0</v>
      </c>
      <c r="AQ45" s="91"/>
      <c r="AR45" s="91">
        <v>0</v>
      </c>
      <c r="AS45" s="91"/>
      <c r="AT45" s="91">
        <v>0</v>
      </c>
      <c r="AU45" s="91"/>
      <c r="AV45" s="91"/>
      <c r="AW45" s="91"/>
      <c r="AX45" s="91"/>
      <c r="AY45" s="91"/>
      <c r="AZ45" s="91"/>
      <c r="BA45" s="91"/>
      <c r="BB45" s="91"/>
      <c r="BC45" s="76">
        <f t="shared" si="11"/>
        <v>0</v>
      </c>
      <c r="BD45" s="76">
        <f t="shared" si="12"/>
        <v>0</v>
      </c>
      <c r="BE45" s="76">
        <f t="shared" si="7"/>
        <v>0</v>
      </c>
    </row>
    <row r="46" spans="1:57" ht="14" x14ac:dyDescent="0.25">
      <c r="A46" s="64">
        <f t="shared" si="6"/>
        <v>42</v>
      </c>
      <c r="B46" s="63" t="s">
        <v>178</v>
      </c>
      <c r="C46" s="59">
        <v>41666668</v>
      </c>
      <c r="D46" s="56"/>
      <c r="E46" s="56">
        <v>2083333</v>
      </c>
      <c r="F46" s="56"/>
      <c r="G46" s="56">
        <v>2083333</v>
      </c>
      <c r="H46" s="56"/>
      <c r="I46" s="56">
        <v>2083333</v>
      </c>
      <c r="J46" s="56"/>
      <c r="K46" s="56">
        <v>2083333</v>
      </c>
      <c r="L46" s="56"/>
      <c r="M46" s="56">
        <v>2083333</v>
      </c>
      <c r="N46" s="56"/>
      <c r="O46" s="56">
        <v>2083333</v>
      </c>
      <c r="P46" s="66"/>
      <c r="Q46" s="56">
        <v>2083333</v>
      </c>
      <c r="R46" s="66"/>
      <c r="S46" s="56">
        <v>2083333</v>
      </c>
      <c r="T46" s="66"/>
      <c r="U46" s="56">
        <v>2083333</v>
      </c>
      <c r="V46" s="66"/>
      <c r="W46" s="56">
        <v>2083333</v>
      </c>
      <c r="X46" s="66"/>
      <c r="Y46" s="56">
        <v>2083333</v>
      </c>
      <c r="Z46" s="66"/>
      <c r="AA46" s="56">
        <v>2083333</v>
      </c>
      <c r="AB46" s="56">
        <f t="shared" si="8"/>
        <v>0</v>
      </c>
      <c r="AC46" s="56">
        <f t="shared" si="9"/>
        <v>24999996</v>
      </c>
      <c r="AD46" s="66">
        <f t="shared" si="10"/>
        <v>16666672</v>
      </c>
      <c r="AE46" s="74">
        <v>50000000</v>
      </c>
      <c r="AF46" s="74">
        <v>18750000</v>
      </c>
      <c r="AG46" s="74"/>
      <c r="AH46" s="74">
        <v>2083333</v>
      </c>
      <c r="AI46" s="74"/>
      <c r="AJ46" s="92">
        <v>2083333</v>
      </c>
      <c r="AK46" s="74"/>
      <c r="AL46" s="74">
        <v>2083333</v>
      </c>
      <c r="AM46" s="74"/>
      <c r="AN46" s="74">
        <v>2083333</v>
      </c>
      <c r="AO46" s="91"/>
      <c r="AP46" s="91">
        <v>2083333</v>
      </c>
      <c r="AQ46" s="91"/>
      <c r="AR46" s="92">
        <v>2083333</v>
      </c>
      <c r="AS46" s="92"/>
      <c r="AT46" s="92">
        <v>2083333</v>
      </c>
      <c r="AU46" s="92"/>
      <c r="AV46" s="92">
        <v>2083333</v>
      </c>
      <c r="AW46" s="92"/>
      <c r="AX46" s="92">
        <v>2083333</v>
      </c>
      <c r="AY46" s="92"/>
      <c r="AZ46" s="92">
        <v>2083333</v>
      </c>
      <c r="BA46" s="92"/>
      <c r="BB46" s="92">
        <f>VLOOKUP(B46,'[1]Reguler &amp; Khusus'!$B$8:$D$57,3,0)</f>
        <v>2083333</v>
      </c>
      <c r="BC46" s="76">
        <f t="shared" si="11"/>
        <v>50000000</v>
      </c>
      <c r="BD46" s="76">
        <f t="shared" si="12"/>
        <v>41666663</v>
      </c>
      <c r="BE46" s="76">
        <f t="shared" si="7"/>
        <v>25000009</v>
      </c>
    </row>
    <row r="47" spans="1:57" ht="14" x14ac:dyDescent="0.25">
      <c r="A47" s="64">
        <f t="shared" si="6"/>
        <v>43</v>
      </c>
      <c r="B47" s="63" t="s">
        <v>61</v>
      </c>
      <c r="C47" s="59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56">
        <f t="shared" si="8"/>
        <v>0</v>
      </c>
      <c r="AC47" s="56">
        <f t="shared" si="9"/>
        <v>0</v>
      </c>
      <c r="AD47" s="66">
        <f t="shared" si="10"/>
        <v>0</v>
      </c>
      <c r="AE47" s="74"/>
      <c r="AF47" s="74">
        <v>0</v>
      </c>
      <c r="AG47" s="74"/>
      <c r="AH47" s="74">
        <v>0</v>
      </c>
      <c r="AI47" s="74"/>
      <c r="AJ47" s="74">
        <v>0</v>
      </c>
      <c r="AK47" s="74"/>
      <c r="AL47" s="74">
        <v>0</v>
      </c>
      <c r="AM47" s="74"/>
      <c r="AN47" s="74">
        <v>0</v>
      </c>
      <c r="AO47" s="91"/>
      <c r="AP47" s="91">
        <v>0</v>
      </c>
      <c r="AQ47" s="91"/>
      <c r="AR47" s="91">
        <v>0</v>
      </c>
      <c r="AS47" s="91"/>
      <c r="AT47" s="91">
        <v>0</v>
      </c>
      <c r="AU47" s="91"/>
      <c r="AV47" s="91"/>
      <c r="AW47" s="91"/>
      <c r="AX47" s="91"/>
      <c r="AY47" s="91"/>
      <c r="AZ47" s="91"/>
      <c r="BA47" s="91"/>
      <c r="BB47" s="91"/>
      <c r="BC47" s="76">
        <f t="shared" si="11"/>
        <v>0</v>
      </c>
      <c r="BD47" s="76">
        <f t="shared" si="12"/>
        <v>0</v>
      </c>
      <c r="BE47" s="76">
        <f t="shared" si="7"/>
        <v>0</v>
      </c>
    </row>
    <row r="48" spans="1:57" ht="14" x14ac:dyDescent="0.25">
      <c r="A48" s="64">
        <f t="shared" si="6"/>
        <v>44</v>
      </c>
      <c r="B48" s="63" t="s">
        <v>62</v>
      </c>
      <c r="C48" s="59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56">
        <f t="shared" si="8"/>
        <v>0</v>
      </c>
      <c r="AC48" s="56">
        <f t="shared" si="9"/>
        <v>0</v>
      </c>
      <c r="AD48" s="66">
        <f t="shared" si="10"/>
        <v>0</v>
      </c>
      <c r="AE48" s="74"/>
      <c r="AF48" s="74">
        <v>0</v>
      </c>
      <c r="AG48" s="74"/>
      <c r="AH48" s="74">
        <v>0</v>
      </c>
      <c r="AI48" s="74"/>
      <c r="AJ48" s="74">
        <v>0</v>
      </c>
      <c r="AK48" s="74"/>
      <c r="AL48" s="74">
        <v>0</v>
      </c>
      <c r="AM48" s="74"/>
      <c r="AN48" s="74">
        <v>0</v>
      </c>
      <c r="AO48" s="91"/>
      <c r="AP48" s="91">
        <v>0</v>
      </c>
      <c r="AQ48" s="91"/>
      <c r="AR48" s="91">
        <v>0</v>
      </c>
      <c r="AS48" s="91"/>
      <c r="AT48" s="91">
        <v>0</v>
      </c>
      <c r="AU48" s="91"/>
      <c r="AV48" s="91"/>
      <c r="AW48" s="91"/>
      <c r="AX48" s="91"/>
      <c r="AY48" s="91"/>
      <c r="AZ48" s="91"/>
      <c r="BA48" s="91"/>
      <c r="BB48" s="91"/>
      <c r="BC48" s="76">
        <f t="shared" si="11"/>
        <v>0</v>
      </c>
      <c r="BD48" s="76">
        <f t="shared" si="12"/>
        <v>0</v>
      </c>
      <c r="BE48" s="76">
        <f t="shared" si="7"/>
        <v>0</v>
      </c>
    </row>
    <row r="49" spans="1:57" ht="14" x14ac:dyDescent="0.25">
      <c r="A49" s="64">
        <f t="shared" si="6"/>
        <v>45</v>
      </c>
      <c r="B49" s="63" t="s">
        <v>63</v>
      </c>
      <c r="C49" s="59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56">
        <f t="shared" si="8"/>
        <v>0</v>
      </c>
      <c r="AC49" s="56">
        <f t="shared" si="9"/>
        <v>0</v>
      </c>
      <c r="AD49" s="66">
        <f t="shared" si="10"/>
        <v>0</v>
      </c>
      <c r="AE49" s="74"/>
      <c r="AF49" s="74">
        <v>0</v>
      </c>
      <c r="AG49" s="74"/>
      <c r="AH49" s="74">
        <v>0</v>
      </c>
      <c r="AI49" s="74"/>
      <c r="AJ49" s="74">
        <v>0</v>
      </c>
      <c r="AK49" s="74"/>
      <c r="AL49" s="74">
        <v>0</v>
      </c>
      <c r="AM49" s="74"/>
      <c r="AN49" s="74">
        <v>0</v>
      </c>
      <c r="AO49" s="91"/>
      <c r="AP49" s="91">
        <v>0</v>
      </c>
      <c r="AQ49" s="91"/>
      <c r="AR49" s="91">
        <v>0</v>
      </c>
      <c r="AS49" s="91"/>
      <c r="AT49" s="91">
        <v>0</v>
      </c>
      <c r="AU49" s="91"/>
      <c r="AV49" s="91"/>
      <c r="AW49" s="91"/>
      <c r="AX49" s="91"/>
      <c r="AY49" s="91"/>
      <c r="AZ49" s="91"/>
      <c r="BA49" s="91"/>
      <c r="BB49" s="91"/>
      <c r="BC49" s="76">
        <f t="shared" si="11"/>
        <v>0</v>
      </c>
      <c r="BD49" s="76">
        <f t="shared" si="12"/>
        <v>0</v>
      </c>
      <c r="BE49" s="76">
        <f t="shared" si="7"/>
        <v>0</v>
      </c>
    </row>
    <row r="50" spans="1:57" ht="14" x14ac:dyDescent="0.25">
      <c r="A50" s="64">
        <f t="shared" si="6"/>
        <v>46</v>
      </c>
      <c r="B50" s="63" t="s">
        <v>64</v>
      </c>
      <c r="C50" s="59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56">
        <f t="shared" si="8"/>
        <v>0</v>
      </c>
      <c r="AC50" s="56">
        <f t="shared" si="9"/>
        <v>0</v>
      </c>
      <c r="AD50" s="66">
        <f t="shared" si="10"/>
        <v>0</v>
      </c>
      <c r="AE50" s="74"/>
      <c r="AF50" s="74">
        <v>0</v>
      </c>
      <c r="AG50" s="74"/>
      <c r="AH50" s="74">
        <v>0</v>
      </c>
      <c r="AI50" s="74"/>
      <c r="AJ50" s="74">
        <v>0</v>
      </c>
      <c r="AK50" s="74"/>
      <c r="AL50" s="74">
        <v>0</v>
      </c>
      <c r="AM50" s="74"/>
      <c r="AN50" s="74">
        <v>0</v>
      </c>
      <c r="AO50" s="91"/>
      <c r="AP50" s="91">
        <v>0</v>
      </c>
      <c r="AQ50" s="91"/>
      <c r="AR50" s="91">
        <v>0</v>
      </c>
      <c r="AS50" s="91"/>
      <c r="AT50" s="91">
        <v>0</v>
      </c>
      <c r="AU50" s="91"/>
      <c r="AV50" s="91"/>
      <c r="AW50" s="91"/>
      <c r="AX50" s="91"/>
      <c r="AY50" s="91"/>
      <c r="AZ50" s="91"/>
      <c r="BA50" s="91"/>
      <c r="BB50" s="91"/>
      <c r="BC50" s="76">
        <f t="shared" si="11"/>
        <v>0</v>
      </c>
      <c r="BD50" s="76">
        <f t="shared" si="12"/>
        <v>0</v>
      </c>
      <c r="BE50" s="76">
        <f t="shared" si="7"/>
        <v>0</v>
      </c>
    </row>
    <row r="51" spans="1:57" ht="14" x14ac:dyDescent="0.25">
      <c r="A51" s="64">
        <f t="shared" si="6"/>
        <v>47</v>
      </c>
      <c r="B51" s="63" t="s">
        <v>257</v>
      </c>
      <c r="C51" s="59">
        <v>18768750</v>
      </c>
      <c r="D51" s="56"/>
      <c r="E51" s="56">
        <v>1443750</v>
      </c>
      <c r="F51" s="56"/>
      <c r="G51" s="56">
        <v>1443750</v>
      </c>
      <c r="H51" s="56"/>
      <c r="I51" s="56">
        <v>1443750</v>
      </c>
      <c r="J51" s="56"/>
      <c r="K51" s="56">
        <v>1443750</v>
      </c>
      <c r="L51" s="56"/>
      <c r="M51" s="56">
        <v>1443750</v>
      </c>
      <c r="N51" s="56"/>
      <c r="O51" s="56">
        <v>1443750</v>
      </c>
      <c r="P51" s="66"/>
      <c r="Q51" s="56">
        <v>1443750</v>
      </c>
      <c r="R51" s="66"/>
      <c r="S51" s="56">
        <v>1443750</v>
      </c>
      <c r="T51" s="66"/>
      <c r="U51" s="56">
        <v>1443750</v>
      </c>
      <c r="V51" s="66"/>
      <c r="W51" s="56">
        <v>1443750</v>
      </c>
      <c r="X51" s="66"/>
      <c r="Y51" s="56">
        <v>1443750</v>
      </c>
      <c r="Z51" s="66"/>
      <c r="AA51" s="56">
        <v>1443750</v>
      </c>
      <c r="AB51" s="56">
        <f t="shared" si="8"/>
        <v>0</v>
      </c>
      <c r="AC51" s="56">
        <f t="shared" si="9"/>
        <v>17325000</v>
      </c>
      <c r="AD51" s="66">
        <f t="shared" si="10"/>
        <v>1443750</v>
      </c>
      <c r="AE51" s="74"/>
      <c r="AF51" s="74">
        <v>1443750</v>
      </c>
      <c r="AG51" s="74"/>
      <c r="AH51" s="74">
        <v>0</v>
      </c>
      <c r="AI51" s="74"/>
      <c r="AJ51" s="74">
        <v>0</v>
      </c>
      <c r="AK51" s="74">
        <v>25000000</v>
      </c>
      <c r="AL51" s="74">
        <v>1041667</v>
      </c>
      <c r="AM51" s="74"/>
      <c r="AN51" s="74">
        <v>1041667</v>
      </c>
      <c r="AO51" s="91"/>
      <c r="AP51" s="91">
        <v>1041667</v>
      </c>
      <c r="AQ51" s="91"/>
      <c r="AR51" s="92">
        <v>1041667</v>
      </c>
      <c r="AS51" s="92"/>
      <c r="AT51" s="92">
        <v>1041667</v>
      </c>
      <c r="AU51" s="92"/>
      <c r="AV51" s="92">
        <v>1041667</v>
      </c>
      <c r="AW51" s="92"/>
      <c r="AX51" s="92">
        <v>1041667</v>
      </c>
      <c r="AY51" s="92"/>
      <c r="AZ51" s="92">
        <v>1041667</v>
      </c>
      <c r="BA51" s="92"/>
      <c r="BB51" s="92">
        <f>VLOOKUP(B51,'[1]Reguler &amp; Khusus'!$B$8:$D$57,3,0)</f>
        <v>1041667</v>
      </c>
      <c r="BC51" s="76">
        <f t="shared" si="11"/>
        <v>25000000</v>
      </c>
      <c r="BD51" s="76">
        <f t="shared" si="12"/>
        <v>10818753</v>
      </c>
      <c r="BE51" s="76">
        <f t="shared" si="7"/>
        <v>15624997</v>
      </c>
    </row>
    <row r="52" spans="1:57" ht="14" x14ac:dyDescent="0.25">
      <c r="A52" s="64">
        <f t="shared" si="6"/>
        <v>48</v>
      </c>
      <c r="B52" s="63" t="s">
        <v>66</v>
      </c>
      <c r="C52" s="59">
        <v>41250000</v>
      </c>
      <c r="D52" s="56"/>
      <c r="E52" s="56">
        <v>1250000</v>
      </c>
      <c r="F52" s="56"/>
      <c r="G52" s="56">
        <v>1250000</v>
      </c>
      <c r="H52" s="56"/>
      <c r="I52" s="56">
        <v>1250000</v>
      </c>
      <c r="J52" s="56"/>
      <c r="K52" s="56">
        <v>1250000</v>
      </c>
      <c r="L52" s="56"/>
      <c r="M52" s="56">
        <v>1250000</v>
      </c>
      <c r="N52" s="56"/>
      <c r="O52" s="56">
        <v>1250000</v>
      </c>
      <c r="P52" s="66"/>
      <c r="Q52" s="56">
        <v>1250000</v>
      </c>
      <c r="R52" s="66"/>
      <c r="S52" s="56">
        <v>1250000</v>
      </c>
      <c r="T52" s="66"/>
      <c r="U52" s="56">
        <v>1250000</v>
      </c>
      <c r="V52" s="66"/>
      <c r="W52" s="56">
        <v>1250000</v>
      </c>
      <c r="X52" s="66"/>
      <c r="Y52" s="56">
        <v>1250000</v>
      </c>
      <c r="Z52" s="66"/>
      <c r="AA52" s="56">
        <v>1250000</v>
      </c>
      <c r="AB52" s="56">
        <f t="shared" si="8"/>
        <v>0</v>
      </c>
      <c r="AC52" s="56">
        <f t="shared" si="9"/>
        <v>15000000</v>
      </c>
      <c r="AD52" s="66">
        <f t="shared" si="10"/>
        <v>26250000</v>
      </c>
      <c r="AE52" s="74"/>
      <c r="AF52" s="74">
        <v>1250000</v>
      </c>
      <c r="AG52" s="74"/>
      <c r="AH52" s="74">
        <v>1250000</v>
      </c>
      <c r="AI52" s="74"/>
      <c r="AJ52" s="92">
        <v>1250000</v>
      </c>
      <c r="AK52" s="74"/>
      <c r="AL52" s="74">
        <v>1250000</v>
      </c>
      <c r="AM52" s="74"/>
      <c r="AN52" s="74">
        <v>1250000</v>
      </c>
      <c r="AO52" s="91"/>
      <c r="AP52" s="91">
        <v>1250000</v>
      </c>
      <c r="AQ52" s="91"/>
      <c r="AR52" s="92">
        <v>1250000</v>
      </c>
      <c r="AS52" s="92"/>
      <c r="AT52" s="92">
        <v>1250000</v>
      </c>
      <c r="AU52" s="92"/>
      <c r="AV52" s="92">
        <v>16250000</v>
      </c>
      <c r="AW52" s="92"/>
      <c r="AX52" s="92">
        <v>0</v>
      </c>
      <c r="AY52" s="92"/>
      <c r="AZ52" s="92">
        <v>0</v>
      </c>
      <c r="BA52" s="92"/>
      <c r="BB52" s="92">
        <v>0</v>
      </c>
      <c r="BC52" s="76">
        <f t="shared" si="11"/>
        <v>0</v>
      </c>
      <c r="BD52" s="76">
        <f t="shared" si="12"/>
        <v>26250000</v>
      </c>
      <c r="BE52" s="76">
        <f t="shared" si="7"/>
        <v>0</v>
      </c>
    </row>
    <row r="53" spans="1:57" ht="14" x14ac:dyDescent="0.25">
      <c r="A53" s="64">
        <f t="shared" si="6"/>
        <v>49</v>
      </c>
      <c r="B53" s="63" t="s">
        <v>67</v>
      </c>
      <c r="C53" s="59">
        <v>8000008</v>
      </c>
      <c r="D53" s="56"/>
      <c r="E53" s="56">
        <v>1333333</v>
      </c>
      <c r="F53" s="56"/>
      <c r="G53" s="56">
        <v>1333333</v>
      </c>
      <c r="H53" s="56"/>
      <c r="I53" s="56">
        <v>1333333</v>
      </c>
      <c r="J53" s="56"/>
      <c r="K53" s="56">
        <v>1333333</v>
      </c>
      <c r="L53" s="56"/>
      <c r="M53" s="56">
        <v>1333333</v>
      </c>
      <c r="N53" s="56">
        <v>50000000</v>
      </c>
      <c r="O53" s="56">
        <v>1333333</v>
      </c>
      <c r="P53" s="66"/>
      <c r="Q53" s="66">
        <v>2083333</v>
      </c>
      <c r="R53" s="66"/>
      <c r="S53" s="66">
        <v>2083333</v>
      </c>
      <c r="T53" s="66"/>
      <c r="U53" s="66">
        <v>2083333</v>
      </c>
      <c r="V53" s="66"/>
      <c r="W53" s="66">
        <v>2083333</v>
      </c>
      <c r="X53" s="66"/>
      <c r="Y53" s="66">
        <v>2083333</v>
      </c>
      <c r="Z53" s="66"/>
      <c r="AA53" s="66">
        <v>2083333</v>
      </c>
      <c r="AB53" s="56">
        <f t="shared" si="8"/>
        <v>50000000</v>
      </c>
      <c r="AC53" s="56">
        <f t="shared" si="9"/>
        <v>20499996</v>
      </c>
      <c r="AD53" s="66">
        <f t="shared" si="10"/>
        <v>37500012</v>
      </c>
      <c r="AE53" s="74"/>
      <c r="AF53" s="74">
        <v>2083333</v>
      </c>
      <c r="AG53" s="74"/>
      <c r="AH53" s="74">
        <v>2083333</v>
      </c>
      <c r="AI53" s="74"/>
      <c r="AJ53" s="92">
        <v>2083333</v>
      </c>
      <c r="AK53" s="74"/>
      <c r="AL53" s="74">
        <v>2083333</v>
      </c>
      <c r="AM53" s="74"/>
      <c r="AN53" s="74">
        <v>2083333</v>
      </c>
      <c r="AO53" s="91"/>
      <c r="AP53" s="91">
        <v>2083333</v>
      </c>
      <c r="AQ53" s="91"/>
      <c r="AR53" s="92">
        <v>2083333</v>
      </c>
      <c r="AS53" s="92"/>
      <c r="AT53" s="92">
        <v>2083333</v>
      </c>
      <c r="AU53" s="92"/>
      <c r="AV53" s="92">
        <v>2083333</v>
      </c>
      <c r="AW53" s="92"/>
      <c r="AX53" s="92">
        <v>2083333</v>
      </c>
      <c r="AY53" s="92"/>
      <c r="AZ53" s="92">
        <v>2083333</v>
      </c>
      <c r="BA53" s="92"/>
      <c r="BB53" s="92">
        <f>VLOOKUP(B53,'[1]Reguler &amp; Khusus'!$B$8:$D$57,3,0)</f>
        <v>2083333</v>
      </c>
      <c r="BC53" s="76">
        <f t="shared" si="11"/>
        <v>0</v>
      </c>
      <c r="BD53" s="76">
        <f t="shared" si="12"/>
        <v>24999996</v>
      </c>
      <c r="BE53" s="76">
        <f t="shared" si="7"/>
        <v>12500016</v>
      </c>
    </row>
    <row r="54" spans="1:57" ht="14" x14ac:dyDescent="0.25">
      <c r="A54" s="64">
        <f t="shared" si="6"/>
        <v>50</v>
      </c>
      <c r="B54" s="63" t="s">
        <v>68</v>
      </c>
      <c r="C54" s="59">
        <v>24000019</v>
      </c>
      <c r="D54" s="56"/>
      <c r="E54" s="56">
        <v>6000000</v>
      </c>
      <c r="F54" s="56"/>
      <c r="G54" s="56">
        <v>6000000</v>
      </c>
      <c r="H54" s="56"/>
      <c r="I54" s="56">
        <v>6000000</v>
      </c>
      <c r="J54" s="56"/>
      <c r="K54" s="56">
        <v>6000000</v>
      </c>
      <c r="L54" s="56"/>
      <c r="M54" s="56">
        <v>19</v>
      </c>
      <c r="N54" s="56"/>
      <c r="O54" s="5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56">
        <f t="shared" si="8"/>
        <v>0</v>
      </c>
      <c r="AC54" s="56">
        <f t="shared" si="9"/>
        <v>24000019</v>
      </c>
      <c r="AD54" s="66">
        <f t="shared" si="10"/>
        <v>0</v>
      </c>
      <c r="AE54" s="74"/>
      <c r="AF54" s="74">
        <v>0</v>
      </c>
      <c r="AG54" s="74"/>
      <c r="AH54" s="74">
        <v>0</v>
      </c>
      <c r="AI54" s="74"/>
      <c r="AJ54" s="74">
        <v>0</v>
      </c>
      <c r="AK54" s="74"/>
      <c r="AL54" s="74">
        <v>0</v>
      </c>
      <c r="AM54" s="74"/>
      <c r="AN54" s="74">
        <v>0</v>
      </c>
      <c r="AO54" s="91"/>
      <c r="AP54" s="91">
        <v>0</v>
      </c>
      <c r="AQ54" s="91"/>
      <c r="AR54" s="91">
        <v>0</v>
      </c>
      <c r="AS54" s="91"/>
      <c r="AT54" s="91">
        <v>0</v>
      </c>
      <c r="AU54" s="91"/>
      <c r="AV54" s="91"/>
      <c r="AW54" s="91"/>
      <c r="AX54" s="91"/>
      <c r="AY54" s="91"/>
      <c r="AZ54" s="91"/>
      <c r="BA54" s="91"/>
      <c r="BB54" s="91"/>
      <c r="BC54" s="76">
        <f t="shared" si="11"/>
        <v>0</v>
      </c>
      <c r="BD54" s="76">
        <f t="shared" si="12"/>
        <v>0</v>
      </c>
      <c r="BE54" s="76">
        <f t="shared" si="7"/>
        <v>0</v>
      </c>
    </row>
    <row r="55" spans="1:57" ht="14" x14ac:dyDescent="0.25">
      <c r="A55" s="64">
        <f t="shared" si="6"/>
        <v>51</v>
      </c>
      <c r="B55" s="63" t="s">
        <v>69</v>
      </c>
      <c r="C55" s="59">
        <v>61388892</v>
      </c>
      <c r="D55" s="56"/>
      <c r="E55" s="56">
        <v>3611111</v>
      </c>
      <c r="F55" s="56"/>
      <c r="G55" s="56">
        <v>3611111</v>
      </c>
      <c r="H55" s="56"/>
      <c r="I55" s="56">
        <v>3611111</v>
      </c>
      <c r="J55" s="56"/>
      <c r="K55" s="56">
        <f>24500000+3611111+22444448</f>
        <v>50555559</v>
      </c>
      <c r="L55" s="56"/>
      <c r="M55" s="56"/>
      <c r="N55" s="56"/>
      <c r="O55" s="5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56">
        <f t="shared" si="8"/>
        <v>0</v>
      </c>
      <c r="AC55" s="56">
        <f>E55+G55+I55+K55+M55+O55+Q55+S55+U55+W55+Y55+AA55</f>
        <v>61388892</v>
      </c>
      <c r="AD55" s="66">
        <f t="shared" si="10"/>
        <v>0</v>
      </c>
      <c r="AE55" s="74"/>
      <c r="AF55" s="74">
        <v>0</v>
      </c>
      <c r="AG55" s="74"/>
      <c r="AH55" s="74">
        <v>0</v>
      </c>
      <c r="AI55" s="74"/>
      <c r="AJ55" s="74">
        <v>0</v>
      </c>
      <c r="AK55" s="74"/>
      <c r="AL55" s="74">
        <v>0</v>
      </c>
      <c r="AM55" s="74"/>
      <c r="AN55" s="74">
        <v>0</v>
      </c>
      <c r="AO55" s="91"/>
      <c r="AP55" s="91">
        <v>0</v>
      </c>
      <c r="AQ55" s="91"/>
      <c r="AR55" s="91">
        <v>0</v>
      </c>
      <c r="AS55" s="91"/>
      <c r="AT55" s="91">
        <v>0</v>
      </c>
      <c r="AU55" s="91"/>
      <c r="AV55" s="91"/>
      <c r="AW55" s="91"/>
      <c r="AX55" s="91"/>
      <c r="AY55" s="91"/>
      <c r="AZ55" s="91"/>
      <c r="BA55" s="91"/>
      <c r="BB55" s="91"/>
      <c r="BC55" s="76">
        <f t="shared" si="11"/>
        <v>0</v>
      </c>
      <c r="BD55" s="76">
        <f t="shared" si="12"/>
        <v>0</v>
      </c>
      <c r="BE55" s="76">
        <f t="shared" si="7"/>
        <v>0</v>
      </c>
    </row>
    <row r="56" spans="1:57" ht="14" x14ac:dyDescent="0.25">
      <c r="A56" s="64">
        <f t="shared" si="6"/>
        <v>52</v>
      </c>
      <c r="B56" s="63" t="s">
        <v>70</v>
      </c>
      <c r="C56" s="59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56">
        <f t="shared" si="8"/>
        <v>0</v>
      </c>
      <c r="AC56" s="56">
        <f t="shared" si="9"/>
        <v>0</v>
      </c>
      <c r="AD56" s="66">
        <f t="shared" si="10"/>
        <v>0</v>
      </c>
      <c r="AE56" s="74"/>
      <c r="AF56" s="74">
        <v>0</v>
      </c>
      <c r="AG56" s="74"/>
      <c r="AH56" s="74">
        <v>0</v>
      </c>
      <c r="AI56" s="74"/>
      <c r="AJ56" s="74">
        <v>0</v>
      </c>
      <c r="AK56" s="74"/>
      <c r="AL56" s="74">
        <v>0</v>
      </c>
      <c r="AM56" s="74"/>
      <c r="AN56" s="74">
        <v>0</v>
      </c>
      <c r="AO56" s="91"/>
      <c r="AP56" s="91">
        <v>0</v>
      </c>
      <c r="AQ56" s="91"/>
      <c r="AR56" s="91">
        <v>0</v>
      </c>
      <c r="AS56" s="91"/>
      <c r="AT56" s="91">
        <v>0</v>
      </c>
      <c r="AU56" s="91"/>
      <c r="AV56" s="91"/>
      <c r="AW56" s="91"/>
      <c r="AX56" s="91"/>
      <c r="AY56" s="91"/>
      <c r="AZ56" s="91"/>
      <c r="BA56" s="91"/>
      <c r="BB56" s="91"/>
      <c r="BC56" s="76">
        <f t="shared" si="11"/>
        <v>0</v>
      </c>
      <c r="BD56" s="76">
        <f t="shared" si="12"/>
        <v>0</v>
      </c>
      <c r="BE56" s="76">
        <f t="shared" si="7"/>
        <v>0</v>
      </c>
    </row>
    <row r="57" spans="1:57" ht="14" x14ac:dyDescent="0.25">
      <c r="A57" s="64">
        <f t="shared" si="6"/>
        <v>53</v>
      </c>
      <c r="B57" s="63" t="s">
        <v>71</v>
      </c>
      <c r="C57" s="59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56">
        <f t="shared" si="8"/>
        <v>0</v>
      </c>
      <c r="AC57" s="56">
        <f t="shared" si="9"/>
        <v>0</v>
      </c>
      <c r="AD57" s="66">
        <f t="shared" si="10"/>
        <v>0</v>
      </c>
      <c r="AE57" s="74"/>
      <c r="AF57" s="74">
        <v>0</v>
      </c>
      <c r="AG57" s="74"/>
      <c r="AH57" s="74">
        <v>0</v>
      </c>
      <c r="AI57" s="74"/>
      <c r="AJ57" s="74">
        <v>0</v>
      </c>
      <c r="AK57" s="74"/>
      <c r="AL57" s="74">
        <v>0</v>
      </c>
      <c r="AM57" s="74"/>
      <c r="AN57" s="74">
        <v>0</v>
      </c>
      <c r="AO57" s="91"/>
      <c r="AP57" s="91">
        <v>0</v>
      </c>
      <c r="AQ57" s="91"/>
      <c r="AR57" s="91">
        <v>0</v>
      </c>
      <c r="AS57" s="91"/>
      <c r="AT57" s="91">
        <v>0</v>
      </c>
      <c r="AU57" s="91"/>
      <c r="AV57" s="91"/>
      <c r="AW57" s="91"/>
      <c r="AX57" s="91"/>
      <c r="AY57" s="91"/>
      <c r="AZ57" s="91"/>
      <c r="BA57" s="91"/>
      <c r="BB57" s="91"/>
      <c r="BC57" s="76">
        <f t="shared" si="11"/>
        <v>0</v>
      </c>
      <c r="BD57" s="76">
        <f t="shared" si="12"/>
        <v>0</v>
      </c>
      <c r="BE57" s="76">
        <f t="shared" si="7"/>
        <v>0</v>
      </c>
    </row>
    <row r="58" spans="1:57" ht="14" x14ac:dyDescent="0.25">
      <c r="A58" s="64">
        <f t="shared" si="6"/>
        <v>54</v>
      </c>
      <c r="B58" s="63" t="s">
        <v>72</v>
      </c>
      <c r="C58" s="59">
        <v>5882356</v>
      </c>
      <c r="D58" s="56"/>
      <c r="E58" s="56">
        <v>1470588</v>
      </c>
      <c r="F58" s="56"/>
      <c r="G58" s="56">
        <v>1470588</v>
      </c>
      <c r="H58" s="56"/>
      <c r="I58" s="56">
        <v>1470588</v>
      </c>
      <c r="J58" s="56"/>
      <c r="K58" s="56">
        <v>1470588</v>
      </c>
      <c r="L58" s="56"/>
      <c r="M58" s="56"/>
      <c r="N58" s="56"/>
      <c r="O58" s="56"/>
      <c r="P58" s="66"/>
      <c r="Q58" s="66">
        <v>4</v>
      </c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56">
        <f t="shared" si="8"/>
        <v>0</v>
      </c>
      <c r="AC58" s="56">
        <f t="shared" si="9"/>
        <v>5882356</v>
      </c>
      <c r="AD58" s="66">
        <f t="shared" si="10"/>
        <v>0</v>
      </c>
      <c r="AE58" s="74"/>
      <c r="AF58" s="74">
        <v>0</v>
      </c>
      <c r="AG58" s="74"/>
      <c r="AH58" s="74">
        <v>0</v>
      </c>
      <c r="AI58" s="74"/>
      <c r="AJ58" s="74">
        <v>0</v>
      </c>
      <c r="AK58" s="74"/>
      <c r="AL58" s="74">
        <v>0</v>
      </c>
      <c r="AM58" s="74"/>
      <c r="AN58" s="74">
        <v>0</v>
      </c>
      <c r="AO58" s="91"/>
      <c r="AP58" s="91">
        <v>0</v>
      </c>
      <c r="AQ58" s="91"/>
      <c r="AR58" s="91">
        <v>0</v>
      </c>
      <c r="AS58" s="91"/>
      <c r="AT58" s="91">
        <v>0</v>
      </c>
      <c r="AU58" s="91"/>
      <c r="AV58" s="91"/>
      <c r="AW58" s="91"/>
      <c r="AX58" s="91"/>
      <c r="AY58" s="91"/>
      <c r="AZ58" s="91"/>
      <c r="BA58" s="91"/>
      <c r="BB58" s="91"/>
      <c r="BC58" s="76">
        <f t="shared" si="11"/>
        <v>0</v>
      </c>
      <c r="BD58" s="76">
        <f t="shared" si="12"/>
        <v>0</v>
      </c>
      <c r="BE58" s="76">
        <f t="shared" si="7"/>
        <v>0</v>
      </c>
    </row>
    <row r="59" spans="1:57" ht="14" x14ac:dyDescent="0.25">
      <c r="A59" s="64">
        <f t="shared" si="6"/>
        <v>55</v>
      </c>
      <c r="B59" s="63" t="s">
        <v>181</v>
      </c>
      <c r="C59" s="59">
        <v>115000000</v>
      </c>
      <c r="D59" s="56"/>
      <c r="E59" s="56">
        <v>2500000</v>
      </c>
      <c r="F59" s="56"/>
      <c r="G59" s="56">
        <v>2500000</v>
      </c>
      <c r="H59" s="56"/>
      <c r="I59" s="56">
        <v>2500000</v>
      </c>
      <c r="J59" s="56"/>
      <c r="K59" s="56">
        <v>2500000</v>
      </c>
      <c r="L59" s="56"/>
      <c r="M59" s="56">
        <v>2500000</v>
      </c>
      <c r="N59" s="56"/>
      <c r="O59" s="56">
        <v>2500000</v>
      </c>
      <c r="P59" s="66"/>
      <c r="Q59" s="56">
        <v>2500000</v>
      </c>
      <c r="R59" s="66"/>
      <c r="S59" s="56">
        <v>2500000</v>
      </c>
      <c r="T59" s="66"/>
      <c r="U59" s="56">
        <v>2500000</v>
      </c>
      <c r="V59" s="66"/>
      <c r="W59" s="56">
        <v>2500000</v>
      </c>
      <c r="X59" s="66"/>
      <c r="Y59" s="56">
        <v>2500000</v>
      </c>
      <c r="Z59" s="66"/>
      <c r="AA59" s="56">
        <v>2500000</v>
      </c>
      <c r="AB59" s="56">
        <f t="shared" si="8"/>
        <v>0</v>
      </c>
      <c r="AC59" s="56">
        <f t="shared" si="9"/>
        <v>30000000</v>
      </c>
      <c r="AD59" s="66">
        <f t="shared" si="10"/>
        <v>85000000</v>
      </c>
      <c r="AE59" s="74"/>
      <c r="AF59" s="74">
        <v>2500000</v>
      </c>
      <c r="AG59" s="74"/>
      <c r="AH59" s="74">
        <v>2500000</v>
      </c>
      <c r="AI59" s="74"/>
      <c r="AJ59" s="92">
        <v>2500000</v>
      </c>
      <c r="AK59" s="74"/>
      <c r="AL59" s="74">
        <v>2500000</v>
      </c>
      <c r="AM59" s="74"/>
      <c r="AN59" s="74">
        <v>2500000</v>
      </c>
      <c r="AO59" s="91"/>
      <c r="AP59" s="91">
        <v>2500000</v>
      </c>
      <c r="AQ59" s="91"/>
      <c r="AR59" s="92">
        <v>2500000</v>
      </c>
      <c r="AS59" s="92"/>
      <c r="AT59" s="92">
        <v>2500000</v>
      </c>
      <c r="AU59" s="92"/>
      <c r="AV59" s="92">
        <v>2500000</v>
      </c>
      <c r="AW59" s="92"/>
      <c r="AX59" s="92">
        <v>2500000</v>
      </c>
      <c r="AY59" s="92"/>
      <c r="AZ59" s="92">
        <v>2500000</v>
      </c>
      <c r="BA59" s="92"/>
      <c r="BB59" s="92">
        <f>VLOOKUP(B59,'[1]Reguler &amp; Khusus'!$B$8:$D$57,3,0)</f>
        <v>2500000</v>
      </c>
      <c r="BC59" s="76">
        <f t="shared" si="11"/>
        <v>0</v>
      </c>
      <c r="BD59" s="76">
        <f t="shared" si="12"/>
        <v>30000000</v>
      </c>
      <c r="BE59" s="76">
        <f t="shared" si="7"/>
        <v>55000000</v>
      </c>
    </row>
    <row r="60" spans="1:57" s="87" customFormat="1" ht="14" x14ac:dyDescent="0.25">
      <c r="A60" s="81">
        <f t="shared" si="6"/>
        <v>56</v>
      </c>
      <c r="B60" s="82" t="s">
        <v>74</v>
      </c>
      <c r="C60" s="83">
        <v>384613218</v>
      </c>
      <c r="D60" s="84"/>
      <c r="E60" s="84">
        <v>5958465</v>
      </c>
      <c r="F60" s="84"/>
      <c r="G60" s="84">
        <v>6030502</v>
      </c>
      <c r="H60" s="84"/>
      <c r="I60" s="84">
        <v>6103409</v>
      </c>
      <c r="J60" s="84"/>
      <c r="K60" s="84">
        <v>6177197</v>
      </c>
      <c r="L60" s="84"/>
      <c r="M60" s="84"/>
      <c r="N60" s="84"/>
      <c r="O60" s="84">
        <v>6251878</v>
      </c>
      <c r="P60" s="84"/>
      <c r="Q60" s="84">
        <v>6327461</v>
      </c>
      <c r="R60" s="85"/>
      <c r="S60" s="85">
        <v>6403958</v>
      </c>
      <c r="T60" s="85"/>
      <c r="U60" s="85">
        <v>6481281</v>
      </c>
      <c r="V60" s="85"/>
      <c r="W60" s="85">
        <v>6559739</v>
      </c>
      <c r="X60" s="85"/>
      <c r="Y60" s="85">
        <v>6639044</v>
      </c>
      <c r="Z60" s="85"/>
      <c r="AA60" s="85">
        <v>6719308</v>
      </c>
      <c r="AB60" s="84">
        <f t="shared" si="8"/>
        <v>0</v>
      </c>
      <c r="AC60" s="84">
        <f t="shared" si="9"/>
        <v>69652242</v>
      </c>
      <c r="AD60" s="85">
        <f t="shared" si="10"/>
        <v>314960976</v>
      </c>
      <c r="AE60" s="86"/>
      <c r="AF60" s="86">
        <v>6800543</v>
      </c>
      <c r="AG60" s="86"/>
      <c r="AH60" s="74">
        <v>6882760</v>
      </c>
      <c r="AI60" s="86"/>
      <c r="AJ60" s="92">
        <v>6965970</v>
      </c>
      <c r="AK60" s="86"/>
      <c r="AL60" s="74">
        <v>7050187</v>
      </c>
      <c r="AM60" s="86"/>
      <c r="AN60" s="74">
        <v>7135422</v>
      </c>
      <c r="AO60" s="86"/>
      <c r="AP60" s="91">
        <v>7221687</v>
      </c>
      <c r="AQ60" s="91"/>
      <c r="AR60" s="92">
        <v>7308995</v>
      </c>
      <c r="AS60" s="92"/>
      <c r="AT60" s="92">
        <v>7397359</v>
      </c>
      <c r="AU60" s="92"/>
      <c r="AV60" s="92">
        <v>7486791</v>
      </c>
      <c r="AW60" s="92"/>
      <c r="AX60" s="92">
        <v>7577304</v>
      </c>
      <c r="AY60" s="92"/>
      <c r="AZ60" s="92">
        <v>7668912</v>
      </c>
      <c r="BA60" s="92"/>
      <c r="BB60" s="92">
        <f>VLOOKUP(B60,'[1]Reguler &amp; Khusus'!$B$8:$D$57,3,0)</f>
        <v>7761627</v>
      </c>
      <c r="BC60" s="76">
        <f t="shared" si="11"/>
        <v>0</v>
      </c>
      <c r="BD60" s="76">
        <f t="shared" si="12"/>
        <v>87257557</v>
      </c>
      <c r="BE60" s="76">
        <f t="shared" si="7"/>
        <v>227703419</v>
      </c>
    </row>
    <row r="61" spans="1:57" ht="14" x14ac:dyDescent="0.25">
      <c r="A61" s="64">
        <f t="shared" si="6"/>
        <v>57</v>
      </c>
      <c r="B61" s="63" t="s">
        <v>75</v>
      </c>
      <c r="C61" s="59">
        <v>29501005.420000002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56">
        <f t="shared" si="8"/>
        <v>0</v>
      </c>
      <c r="AC61" s="56">
        <f t="shared" si="9"/>
        <v>0</v>
      </c>
      <c r="AD61" s="66">
        <f t="shared" si="10"/>
        <v>29501005.420000002</v>
      </c>
      <c r="AE61" s="74"/>
      <c r="AF61" s="74">
        <v>0</v>
      </c>
      <c r="AG61" s="74"/>
      <c r="AH61" s="74">
        <v>0</v>
      </c>
      <c r="AI61" s="74"/>
      <c r="AJ61" s="74">
        <v>0</v>
      </c>
      <c r="AK61" s="74"/>
      <c r="AL61" s="74">
        <v>0</v>
      </c>
      <c r="AM61" s="74"/>
      <c r="AN61" s="74">
        <v>0</v>
      </c>
      <c r="AO61" s="91"/>
      <c r="AP61" s="91">
        <v>0</v>
      </c>
      <c r="AQ61" s="91"/>
      <c r="AR61" s="91">
        <v>0</v>
      </c>
      <c r="AS61" s="91"/>
      <c r="AT61" s="91">
        <v>0</v>
      </c>
      <c r="AU61" s="91"/>
      <c r="AV61" s="91"/>
      <c r="AW61" s="91"/>
      <c r="AX61" s="91"/>
      <c r="AY61" s="91"/>
      <c r="AZ61" s="91"/>
      <c r="BA61" s="91"/>
      <c r="BB61" s="91"/>
      <c r="BC61" s="76">
        <f t="shared" si="11"/>
        <v>0</v>
      </c>
      <c r="BD61" s="76">
        <f t="shared" si="12"/>
        <v>0</v>
      </c>
      <c r="BE61" s="76">
        <f t="shared" si="7"/>
        <v>29501005.420000002</v>
      </c>
    </row>
    <row r="62" spans="1:57" ht="14" x14ac:dyDescent="0.25">
      <c r="A62" s="64">
        <f t="shared" si="6"/>
        <v>58</v>
      </c>
      <c r="B62" s="63" t="s">
        <v>76</v>
      </c>
      <c r="C62" s="59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56">
        <f t="shared" si="8"/>
        <v>0</v>
      </c>
      <c r="AC62" s="56">
        <f t="shared" si="9"/>
        <v>0</v>
      </c>
      <c r="AD62" s="66">
        <f t="shared" si="10"/>
        <v>0</v>
      </c>
      <c r="AE62" s="74"/>
      <c r="AF62" s="74">
        <v>0</v>
      </c>
      <c r="AG62" s="74"/>
      <c r="AH62" s="74">
        <v>0</v>
      </c>
      <c r="AI62" s="74"/>
      <c r="AJ62" s="74">
        <v>0</v>
      </c>
      <c r="AK62" s="74"/>
      <c r="AL62" s="74">
        <v>0</v>
      </c>
      <c r="AM62" s="74"/>
      <c r="AN62" s="74">
        <v>0</v>
      </c>
      <c r="AO62" s="91"/>
      <c r="AP62" s="91">
        <v>0</v>
      </c>
      <c r="AQ62" s="91"/>
      <c r="AR62" s="91">
        <v>0</v>
      </c>
      <c r="AS62" s="91"/>
      <c r="AT62" s="91">
        <v>0</v>
      </c>
      <c r="AU62" s="91"/>
      <c r="AV62" s="91"/>
      <c r="AW62" s="91"/>
      <c r="AX62" s="91"/>
      <c r="AY62" s="91"/>
      <c r="AZ62" s="91"/>
      <c r="BA62" s="91"/>
      <c r="BB62" s="91"/>
      <c r="BC62" s="76">
        <f t="shared" si="11"/>
        <v>0</v>
      </c>
      <c r="BD62" s="76">
        <f t="shared" si="12"/>
        <v>0</v>
      </c>
      <c r="BE62" s="76">
        <f t="shared" si="7"/>
        <v>0</v>
      </c>
    </row>
    <row r="63" spans="1:57" ht="14" x14ac:dyDescent="0.25">
      <c r="A63" s="64">
        <f t="shared" si="6"/>
        <v>59</v>
      </c>
      <c r="B63" s="63" t="s">
        <v>77</v>
      </c>
      <c r="C63" s="59">
        <v>-8000000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56">
        <f t="shared" si="8"/>
        <v>0</v>
      </c>
      <c r="AC63" s="56">
        <f t="shared" si="9"/>
        <v>0</v>
      </c>
      <c r="AD63" s="66">
        <f t="shared" si="10"/>
        <v>-8000000</v>
      </c>
      <c r="AE63" s="74"/>
      <c r="AF63" s="74">
        <v>0</v>
      </c>
      <c r="AG63" s="74"/>
      <c r="AH63" s="74">
        <v>0</v>
      </c>
      <c r="AI63" s="74"/>
      <c r="AJ63" s="74">
        <v>0</v>
      </c>
      <c r="AK63" s="74"/>
      <c r="AL63" s="74">
        <v>0</v>
      </c>
      <c r="AM63" s="74"/>
      <c r="AN63" s="74">
        <v>0</v>
      </c>
      <c r="AO63" s="91"/>
      <c r="AP63" s="91">
        <v>0</v>
      </c>
      <c r="AQ63" s="91"/>
      <c r="AR63" s="91">
        <v>0</v>
      </c>
      <c r="AS63" s="91"/>
      <c r="AT63" s="91">
        <v>0</v>
      </c>
      <c r="AU63" s="91"/>
      <c r="AV63" s="91"/>
      <c r="AW63" s="91"/>
      <c r="AX63" s="91"/>
      <c r="AY63" s="91"/>
      <c r="AZ63" s="91"/>
      <c r="BA63" s="91"/>
      <c r="BB63" s="91"/>
      <c r="BC63" s="76">
        <f t="shared" si="11"/>
        <v>0</v>
      </c>
      <c r="BD63" s="76">
        <f t="shared" si="12"/>
        <v>0</v>
      </c>
      <c r="BE63" s="76">
        <f t="shared" si="7"/>
        <v>-8000000</v>
      </c>
    </row>
    <row r="64" spans="1:57" ht="14" x14ac:dyDescent="0.25">
      <c r="A64" s="64">
        <f t="shared" si="6"/>
        <v>60</v>
      </c>
      <c r="B64" s="63" t="s">
        <v>78</v>
      </c>
      <c r="C64" s="59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56">
        <f t="shared" si="8"/>
        <v>0</v>
      </c>
      <c r="AC64" s="56">
        <f t="shared" si="9"/>
        <v>0</v>
      </c>
      <c r="AD64" s="66">
        <f t="shared" si="10"/>
        <v>0</v>
      </c>
      <c r="AE64" s="74"/>
      <c r="AF64" s="74">
        <v>0</v>
      </c>
      <c r="AG64" s="74"/>
      <c r="AH64" s="74">
        <v>0</v>
      </c>
      <c r="AI64" s="74"/>
      <c r="AJ64" s="74">
        <v>0</v>
      </c>
      <c r="AK64" s="74"/>
      <c r="AL64" s="74">
        <v>0</v>
      </c>
      <c r="AM64" s="74"/>
      <c r="AN64" s="74">
        <v>0</v>
      </c>
      <c r="AO64" s="91"/>
      <c r="AP64" s="91">
        <v>0</v>
      </c>
      <c r="AQ64" s="91"/>
      <c r="AR64" s="91">
        <v>0</v>
      </c>
      <c r="AS64" s="91"/>
      <c r="AT64" s="91">
        <v>0</v>
      </c>
      <c r="AU64" s="91"/>
      <c r="AV64" s="91"/>
      <c r="AW64" s="91"/>
      <c r="AX64" s="91"/>
      <c r="AY64" s="91"/>
      <c r="AZ64" s="91"/>
      <c r="BA64" s="91"/>
      <c r="BB64" s="91"/>
      <c r="BC64" s="76">
        <f t="shared" si="11"/>
        <v>0</v>
      </c>
      <c r="BD64" s="76">
        <f t="shared" si="12"/>
        <v>0</v>
      </c>
      <c r="BE64" s="76">
        <f t="shared" si="7"/>
        <v>0</v>
      </c>
    </row>
    <row r="65" spans="1:57" ht="14" x14ac:dyDescent="0.25">
      <c r="A65" s="64">
        <f t="shared" si="6"/>
        <v>61</v>
      </c>
      <c r="B65" s="63" t="s">
        <v>79</v>
      </c>
      <c r="C65" s="59">
        <v>4013251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56">
        <f t="shared" si="8"/>
        <v>0</v>
      </c>
      <c r="AC65" s="56">
        <f t="shared" si="9"/>
        <v>0</v>
      </c>
      <c r="AD65" s="66">
        <f t="shared" si="10"/>
        <v>4013251</v>
      </c>
      <c r="AE65" s="74"/>
      <c r="AF65" s="74">
        <v>0</v>
      </c>
      <c r="AG65" s="74"/>
      <c r="AH65" s="74">
        <v>0</v>
      </c>
      <c r="AI65" s="74"/>
      <c r="AJ65" s="74">
        <v>0</v>
      </c>
      <c r="AK65" s="74"/>
      <c r="AL65" s="74">
        <v>0</v>
      </c>
      <c r="AM65" s="74"/>
      <c r="AN65" s="74">
        <v>0</v>
      </c>
      <c r="AO65" s="91"/>
      <c r="AP65" s="91">
        <v>0</v>
      </c>
      <c r="AQ65" s="91"/>
      <c r="AR65" s="91">
        <v>0</v>
      </c>
      <c r="AS65" s="91"/>
      <c r="AT65" s="91">
        <v>0</v>
      </c>
      <c r="AU65" s="91"/>
      <c r="AV65" s="91"/>
      <c r="AW65" s="91"/>
      <c r="AX65" s="91"/>
      <c r="AY65" s="91"/>
      <c r="AZ65" s="91"/>
      <c r="BA65" s="91"/>
      <c r="BB65" s="91"/>
      <c r="BC65" s="76">
        <f t="shared" si="11"/>
        <v>0</v>
      </c>
      <c r="BD65" s="76">
        <f t="shared" si="12"/>
        <v>0</v>
      </c>
      <c r="BE65" s="76">
        <f t="shared" si="7"/>
        <v>4013251</v>
      </c>
    </row>
    <row r="66" spans="1:57" ht="14" x14ac:dyDescent="0.25">
      <c r="A66" s="64">
        <f t="shared" si="6"/>
        <v>62</v>
      </c>
      <c r="B66" s="63" t="s">
        <v>80</v>
      </c>
      <c r="C66" s="59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56">
        <f t="shared" si="8"/>
        <v>0</v>
      </c>
      <c r="AC66" s="56">
        <f t="shared" si="9"/>
        <v>0</v>
      </c>
      <c r="AD66" s="66">
        <f t="shared" si="10"/>
        <v>0</v>
      </c>
      <c r="AE66" s="74"/>
      <c r="AF66" s="74">
        <v>0</v>
      </c>
      <c r="AG66" s="74"/>
      <c r="AH66" s="74">
        <v>0</v>
      </c>
      <c r="AI66" s="74"/>
      <c r="AJ66" s="74">
        <v>0</v>
      </c>
      <c r="AK66" s="74"/>
      <c r="AL66" s="74">
        <v>0</v>
      </c>
      <c r="AM66" s="74"/>
      <c r="AN66" s="74">
        <v>0</v>
      </c>
      <c r="AO66" s="91"/>
      <c r="AP66" s="91">
        <v>0</v>
      </c>
      <c r="AQ66" s="91"/>
      <c r="AR66" s="91">
        <v>0</v>
      </c>
      <c r="AS66" s="91"/>
      <c r="AT66" s="91">
        <v>0</v>
      </c>
      <c r="AU66" s="91"/>
      <c r="AV66" s="91"/>
      <c r="AW66" s="91"/>
      <c r="AX66" s="91"/>
      <c r="AY66" s="91"/>
      <c r="AZ66" s="91"/>
      <c r="BA66" s="91"/>
      <c r="BB66" s="91"/>
      <c r="BC66" s="76">
        <f t="shared" si="11"/>
        <v>0</v>
      </c>
      <c r="BD66" s="76">
        <f t="shared" si="12"/>
        <v>0</v>
      </c>
      <c r="BE66" s="76">
        <f t="shared" si="7"/>
        <v>0</v>
      </c>
    </row>
    <row r="67" spans="1:57" ht="14" x14ac:dyDescent="0.25">
      <c r="A67" s="64">
        <f t="shared" si="6"/>
        <v>63</v>
      </c>
      <c r="B67" s="63" t="s">
        <v>185</v>
      </c>
      <c r="C67" s="59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66"/>
      <c r="Q67" s="66"/>
      <c r="R67" s="66"/>
      <c r="S67" s="66"/>
      <c r="T67" s="66"/>
      <c r="U67" s="66"/>
      <c r="V67" s="66">
        <v>100000000</v>
      </c>
      <c r="W67" s="66"/>
      <c r="X67" s="66"/>
      <c r="Y67" s="66">
        <v>2777778</v>
      </c>
      <c r="Z67" s="66"/>
      <c r="AA67" s="66">
        <v>2777778</v>
      </c>
      <c r="AB67" s="56">
        <f t="shared" si="8"/>
        <v>100000000</v>
      </c>
      <c r="AC67" s="56">
        <f t="shared" si="9"/>
        <v>5555556</v>
      </c>
      <c r="AD67" s="66">
        <f>C67+AB67-AC67</f>
        <v>94444444</v>
      </c>
      <c r="AE67" s="74"/>
      <c r="AF67" s="74">
        <v>2777778</v>
      </c>
      <c r="AG67" s="74"/>
      <c r="AH67" s="74">
        <v>2777778</v>
      </c>
      <c r="AI67" s="74"/>
      <c r="AJ67" s="92">
        <v>2777778</v>
      </c>
      <c r="AK67" s="74"/>
      <c r="AL67" s="74">
        <v>2777778</v>
      </c>
      <c r="AM67" s="74"/>
      <c r="AN67" s="74">
        <v>2777778</v>
      </c>
      <c r="AO67" s="91"/>
      <c r="AP67" s="91">
        <v>2777778</v>
      </c>
      <c r="AQ67" s="91"/>
      <c r="AR67" s="92">
        <v>2777778</v>
      </c>
      <c r="AS67" s="92"/>
      <c r="AT67" s="92">
        <v>2777778</v>
      </c>
      <c r="AU67" s="92"/>
      <c r="AV67" s="92">
        <v>2777778</v>
      </c>
      <c r="AW67" s="92"/>
      <c r="AX67" s="92">
        <v>2777778</v>
      </c>
      <c r="AY67" s="92"/>
      <c r="AZ67" s="92">
        <v>2777778</v>
      </c>
      <c r="BA67" s="92"/>
      <c r="BB67" s="92">
        <f>VLOOKUP(B67,'[1]Reguler &amp; Khusus'!$B$8:$D$57,3,0)</f>
        <v>2777778</v>
      </c>
      <c r="BC67" s="76">
        <f t="shared" si="11"/>
        <v>0</v>
      </c>
      <c r="BD67" s="76">
        <f t="shared" si="12"/>
        <v>33333336</v>
      </c>
      <c r="BE67" s="76">
        <f>AD67+BC67-BD67</f>
        <v>61111108</v>
      </c>
    </row>
    <row r="68" spans="1:57" ht="14" x14ac:dyDescent="0.25">
      <c r="A68" s="64">
        <f t="shared" si="6"/>
        <v>64</v>
      </c>
      <c r="B68" s="63" t="s">
        <v>220</v>
      </c>
      <c r="C68" s="59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>
        <v>35000000</v>
      </c>
      <c r="AA68" s="66">
        <v>3181818</v>
      </c>
      <c r="AB68" s="56">
        <f t="shared" si="8"/>
        <v>35000000</v>
      </c>
      <c r="AC68" s="56">
        <f t="shared" si="9"/>
        <v>3181818</v>
      </c>
      <c r="AD68" s="66">
        <f t="shared" si="10"/>
        <v>31818182</v>
      </c>
      <c r="AE68" s="74"/>
      <c r="AF68" s="74">
        <v>3181818</v>
      </c>
      <c r="AG68" s="74"/>
      <c r="AH68" s="74">
        <v>3181818</v>
      </c>
      <c r="AI68" s="74"/>
      <c r="AJ68" s="92">
        <v>3181818</v>
      </c>
      <c r="AK68" s="74"/>
      <c r="AL68" s="74">
        <v>3181818</v>
      </c>
      <c r="AM68" s="74"/>
      <c r="AN68" s="74">
        <v>3181818</v>
      </c>
      <c r="AO68" s="91"/>
      <c r="AP68" s="91">
        <v>3181818</v>
      </c>
      <c r="AQ68" s="91"/>
      <c r="AR68" s="92">
        <v>3181818</v>
      </c>
      <c r="AS68" s="92"/>
      <c r="AT68" s="92">
        <v>3181818</v>
      </c>
      <c r="AU68" s="92"/>
      <c r="AV68" s="92">
        <v>3181818</v>
      </c>
      <c r="AW68" s="92"/>
      <c r="AX68" s="92">
        <v>3181818</v>
      </c>
      <c r="AY68" s="92"/>
      <c r="AZ68" s="92">
        <v>0</v>
      </c>
      <c r="BA68" s="92"/>
      <c r="BB68" s="92">
        <v>0</v>
      </c>
      <c r="BC68" s="76">
        <f t="shared" si="11"/>
        <v>0</v>
      </c>
      <c r="BD68" s="76">
        <f t="shared" si="12"/>
        <v>31818180</v>
      </c>
      <c r="BE68" s="76">
        <f t="shared" si="7"/>
        <v>2</v>
      </c>
    </row>
    <row r="69" spans="1:57" ht="14" x14ac:dyDescent="0.25">
      <c r="A69" s="64">
        <f t="shared" si="6"/>
        <v>65</v>
      </c>
      <c r="B69" s="63" t="s">
        <v>83</v>
      </c>
      <c r="C69" s="59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56">
        <f t="shared" si="8"/>
        <v>0</v>
      </c>
      <c r="AC69" s="56">
        <f t="shared" si="9"/>
        <v>0</v>
      </c>
      <c r="AD69" s="66">
        <f t="shared" si="10"/>
        <v>0</v>
      </c>
      <c r="AE69" s="74"/>
      <c r="AF69" s="74">
        <v>0</v>
      </c>
      <c r="AG69" s="74"/>
      <c r="AH69" s="74">
        <v>0</v>
      </c>
      <c r="AI69" s="74"/>
      <c r="AJ69" s="74">
        <v>0</v>
      </c>
      <c r="AK69" s="74"/>
      <c r="AL69" s="74">
        <v>0</v>
      </c>
      <c r="AM69" s="74"/>
      <c r="AN69" s="74">
        <v>0</v>
      </c>
      <c r="AO69" s="91"/>
      <c r="AP69" s="91">
        <v>0</v>
      </c>
      <c r="AQ69" s="91"/>
      <c r="AR69" s="91">
        <v>0</v>
      </c>
      <c r="AS69" s="91"/>
      <c r="AT69" s="91">
        <v>0</v>
      </c>
      <c r="AU69" s="91"/>
      <c r="AV69" s="91"/>
      <c r="AW69" s="91"/>
      <c r="AX69" s="91"/>
      <c r="AY69" s="91"/>
      <c r="AZ69" s="91"/>
      <c r="BA69" s="91"/>
      <c r="BB69" s="91"/>
      <c r="BC69" s="76">
        <f t="shared" si="11"/>
        <v>0</v>
      </c>
      <c r="BD69" s="76">
        <f t="shared" si="12"/>
        <v>0</v>
      </c>
      <c r="BE69" s="76">
        <f t="shared" si="7"/>
        <v>0</v>
      </c>
    </row>
    <row r="70" spans="1:57" ht="14" x14ac:dyDescent="0.25">
      <c r="A70" s="64">
        <f t="shared" si="6"/>
        <v>66</v>
      </c>
      <c r="B70" s="63" t="s">
        <v>84</v>
      </c>
      <c r="C70" s="59">
        <v>11000000</v>
      </c>
      <c r="D70" s="56"/>
      <c r="E70" s="56">
        <v>500000</v>
      </c>
      <c r="F70" s="56"/>
      <c r="G70" s="56">
        <v>500000</v>
      </c>
      <c r="H70" s="56"/>
      <c r="I70" s="56">
        <v>500000</v>
      </c>
      <c r="J70" s="56"/>
      <c r="K70" s="56">
        <v>500000</v>
      </c>
      <c r="L70" s="56"/>
      <c r="M70" s="56">
        <v>500000</v>
      </c>
      <c r="N70" s="56"/>
      <c r="O70" s="56">
        <v>500000</v>
      </c>
      <c r="P70" s="66"/>
      <c r="Q70" s="56">
        <v>500000</v>
      </c>
      <c r="R70" s="66"/>
      <c r="S70" s="56">
        <v>500000</v>
      </c>
      <c r="T70" s="66"/>
      <c r="U70" s="56">
        <v>500000</v>
      </c>
      <c r="V70" s="66"/>
      <c r="W70" s="56">
        <v>500000</v>
      </c>
      <c r="X70" s="66"/>
      <c r="Y70" s="56">
        <v>500000</v>
      </c>
      <c r="Z70" s="66"/>
      <c r="AA70" s="56">
        <v>5500000</v>
      </c>
      <c r="AB70" s="56">
        <f t="shared" si="8"/>
        <v>0</v>
      </c>
      <c r="AC70" s="56">
        <f t="shared" si="9"/>
        <v>11000000</v>
      </c>
      <c r="AD70" s="66">
        <f t="shared" si="10"/>
        <v>0</v>
      </c>
      <c r="AE70" s="74"/>
      <c r="AF70" s="74">
        <v>0</v>
      </c>
      <c r="AG70" s="74"/>
      <c r="AH70" s="74">
        <v>0</v>
      </c>
      <c r="AI70" s="74"/>
      <c r="AJ70" s="74">
        <v>0</v>
      </c>
      <c r="AK70" s="74"/>
      <c r="AL70" s="74">
        <v>0</v>
      </c>
      <c r="AM70" s="74"/>
      <c r="AN70" s="74">
        <v>0</v>
      </c>
      <c r="AO70" s="91"/>
      <c r="AP70" s="91">
        <v>0</v>
      </c>
      <c r="AQ70" s="91"/>
      <c r="AR70" s="91">
        <v>0</v>
      </c>
      <c r="AS70" s="91"/>
      <c r="AT70" s="91">
        <v>0</v>
      </c>
      <c r="AU70" s="91"/>
      <c r="AV70" s="91"/>
      <c r="AW70" s="91"/>
      <c r="AX70" s="91"/>
      <c r="AY70" s="91"/>
      <c r="AZ70" s="91"/>
      <c r="BA70" s="91"/>
      <c r="BB70" s="91"/>
      <c r="BC70" s="76">
        <f t="shared" si="11"/>
        <v>0</v>
      </c>
      <c r="BD70" s="76">
        <f t="shared" si="12"/>
        <v>0</v>
      </c>
      <c r="BE70" s="76">
        <f t="shared" si="7"/>
        <v>0</v>
      </c>
    </row>
    <row r="71" spans="1:57" ht="14" x14ac:dyDescent="0.25">
      <c r="A71" s="64">
        <f t="shared" ref="A71:A134" si="13">A70+1</f>
        <v>67</v>
      </c>
      <c r="B71" s="63" t="s">
        <v>251</v>
      </c>
      <c r="C71" s="59">
        <v>59000000</v>
      </c>
      <c r="D71" s="56"/>
      <c r="E71" s="56">
        <v>1000000</v>
      </c>
      <c r="F71" s="56"/>
      <c r="G71" s="56">
        <v>1000000</v>
      </c>
      <c r="H71" s="56"/>
      <c r="I71" s="56">
        <v>1000000</v>
      </c>
      <c r="J71" s="56"/>
      <c r="K71" s="56">
        <v>1000000</v>
      </c>
      <c r="L71" s="56"/>
      <c r="M71" s="56">
        <v>1000000</v>
      </c>
      <c r="N71" s="56"/>
      <c r="O71" s="56">
        <v>1000000</v>
      </c>
      <c r="P71" s="66"/>
      <c r="Q71" s="56">
        <v>1000000</v>
      </c>
      <c r="R71" s="66"/>
      <c r="S71" s="56">
        <v>1000000</v>
      </c>
      <c r="T71" s="66"/>
      <c r="U71" s="56">
        <v>1000000</v>
      </c>
      <c r="V71" s="66"/>
      <c r="W71" s="56">
        <v>1000000</v>
      </c>
      <c r="X71" s="66"/>
      <c r="Y71" s="56">
        <v>1000000</v>
      </c>
      <c r="Z71" s="66">
        <v>70000000</v>
      </c>
      <c r="AA71" s="56">
        <f>48000000+1296296</f>
        <v>49296296</v>
      </c>
      <c r="AB71" s="56">
        <f t="shared" si="8"/>
        <v>70000000</v>
      </c>
      <c r="AC71" s="56">
        <f t="shared" si="9"/>
        <v>60296296</v>
      </c>
      <c r="AD71" s="66">
        <f t="shared" si="10"/>
        <v>68703704</v>
      </c>
      <c r="AE71" s="74"/>
      <c r="AF71" s="74">
        <v>1296296</v>
      </c>
      <c r="AG71" s="74"/>
      <c r="AH71" s="74">
        <v>1296296</v>
      </c>
      <c r="AI71" s="74"/>
      <c r="AJ71" s="92">
        <v>1296296</v>
      </c>
      <c r="AK71" s="74"/>
      <c r="AL71" s="74">
        <v>1296296</v>
      </c>
      <c r="AM71" s="74"/>
      <c r="AN71" s="74">
        <v>1296296</v>
      </c>
      <c r="AO71" s="91"/>
      <c r="AP71" s="91">
        <v>1296296</v>
      </c>
      <c r="AQ71" s="91"/>
      <c r="AR71" s="92">
        <v>1296296</v>
      </c>
      <c r="AS71" s="92"/>
      <c r="AT71" s="92">
        <v>1296296</v>
      </c>
      <c r="AU71" s="92"/>
      <c r="AV71" s="92">
        <v>1296296</v>
      </c>
      <c r="AW71" s="92"/>
      <c r="AX71" s="92">
        <v>1296296</v>
      </c>
      <c r="AY71" s="92">
        <v>70000000</v>
      </c>
      <c r="AZ71" s="92">
        <v>55740740</v>
      </c>
      <c r="BA71" s="92"/>
      <c r="BB71" s="92">
        <f>VLOOKUP(B71,'[1]Reguler &amp; Khusus'!$B$8:$D$57,3,0)</f>
        <v>1296296</v>
      </c>
      <c r="BC71" s="76">
        <f t="shared" si="11"/>
        <v>70000000</v>
      </c>
      <c r="BD71" s="76">
        <f t="shared" si="12"/>
        <v>69999996</v>
      </c>
      <c r="BE71" s="76">
        <f t="shared" si="7"/>
        <v>68703708</v>
      </c>
    </row>
    <row r="72" spans="1:57" ht="14" x14ac:dyDescent="0.25">
      <c r="A72" s="64">
        <f t="shared" si="13"/>
        <v>68</v>
      </c>
      <c r="B72" s="63" t="s">
        <v>86</v>
      </c>
      <c r="C72" s="59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56">
        <f t="shared" si="8"/>
        <v>0</v>
      </c>
      <c r="AC72" s="56">
        <f t="shared" si="9"/>
        <v>0</v>
      </c>
      <c r="AD72" s="66">
        <f t="shared" si="10"/>
        <v>0</v>
      </c>
      <c r="AE72" s="74"/>
      <c r="AF72" s="74">
        <v>0</v>
      </c>
      <c r="AG72" s="74"/>
      <c r="AH72" s="74">
        <v>0</v>
      </c>
      <c r="AI72" s="74"/>
      <c r="AJ72" s="74">
        <v>0</v>
      </c>
      <c r="AK72" s="74"/>
      <c r="AL72" s="74">
        <v>0</v>
      </c>
      <c r="AM72" s="74"/>
      <c r="AN72" s="74">
        <v>0</v>
      </c>
      <c r="AO72" s="91"/>
      <c r="AP72" s="91">
        <v>0</v>
      </c>
      <c r="AQ72" s="91"/>
      <c r="AR72" s="91">
        <v>0</v>
      </c>
      <c r="AS72" s="91"/>
      <c r="AT72" s="91">
        <v>0</v>
      </c>
      <c r="AU72" s="91"/>
      <c r="AV72" s="91"/>
      <c r="AW72" s="91"/>
      <c r="AX72" s="91"/>
      <c r="AY72" s="91"/>
      <c r="AZ72" s="91"/>
      <c r="BA72" s="91"/>
      <c r="BB72" s="91"/>
      <c r="BC72" s="76">
        <f t="shared" si="11"/>
        <v>0</v>
      </c>
      <c r="BD72" s="76">
        <f t="shared" si="12"/>
        <v>0</v>
      </c>
      <c r="BE72" s="76">
        <f t="shared" si="7"/>
        <v>0</v>
      </c>
    </row>
    <row r="73" spans="1:57" ht="14" x14ac:dyDescent="0.25">
      <c r="A73" s="64">
        <f t="shared" si="13"/>
        <v>69</v>
      </c>
      <c r="B73" s="63" t="s">
        <v>256</v>
      </c>
      <c r="C73" s="59">
        <v>22500000</v>
      </c>
      <c r="D73" s="56"/>
      <c r="E73" s="56">
        <v>1250000</v>
      </c>
      <c r="F73" s="56"/>
      <c r="G73" s="56">
        <v>1250000</v>
      </c>
      <c r="H73" s="56"/>
      <c r="I73" s="56">
        <v>1250000</v>
      </c>
      <c r="J73" s="56"/>
      <c r="K73" s="56">
        <v>1250000</v>
      </c>
      <c r="L73" s="56"/>
      <c r="M73" s="56">
        <v>1250000</v>
      </c>
      <c r="N73" s="56"/>
      <c r="O73" s="56">
        <v>1250000</v>
      </c>
      <c r="P73" s="66"/>
      <c r="Q73" s="56">
        <v>1250000</v>
      </c>
      <c r="R73" s="66"/>
      <c r="S73" s="56">
        <v>1250000</v>
      </c>
      <c r="T73" s="66"/>
      <c r="U73" s="56">
        <v>1250000</v>
      </c>
      <c r="V73" s="66"/>
      <c r="W73" s="56">
        <v>1250000</v>
      </c>
      <c r="X73" s="66"/>
      <c r="Y73" s="56">
        <v>1250000</v>
      </c>
      <c r="Z73" s="66"/>
      <c r="AA73" s="56">
        <v>1250000</v>
      </c>
      <c r="AB73" s="56">
        <f t="shared" si="8"/>
        <v>0</v>
      </c>
      <c r="AC73" s="56">
        <f t="shared" si="9"/>
        <v>15000000</v>
      </c>
      <c r="AD73" s="66">
        <f t="shared" si="10"/>
        <v>7500000</v>
      </c>
      <c r="AE73" s="74"/>
      <c r="AF73" s="74">
        <v>1250000</v>
      </c>
      <c r="AG73" s="74"/>
      <c r="AH73" s="74">
        <v>1250000</v>
      </c>
      <c r="AI73" s="74"/>
      <c r="AJ73" s="92">
        <v>1250000</v>
      </c>
      <c r="AK73" s="74"/>
      <c r="AL73" s="74">
        <v>1250000</v>
      </c>
      <c r="AM73" s="74"/>
      <c r="AN73" s="74">
        <v>1250000</v>
      </c>
      <c r="AO73" s="91"/>
      <c r="AP73" s="91">
        <v>1250000</v>
      </c>
      <c r="AQ73" s="91"/>
      <c r="AR73" s="91"/>
      <c r="AS73" s="91"/>
      <c r="AT73" s="91">
        <v>0</v>
      </c>
      <c r="AU73" s="91"/>
      <c r="AV73" s="91"/>
      <c r="AW73" s="91"/>
      <c r="AX73" s="91"/>
      <c r="AY73" s="91"/>
      <c r="AZ73" s="91"/>
      <c r="BA73" s="91"/>
      <c r="BB73" s="91"/>
      <c r="BC73" s="76">
        <f t="shared" si="11"/>
        <v>0</v>
      </c>
      <c r="BD73" s="76">
        <f t="shared" si="12"/>
        <v>7500000</v>
      </c>
      <c r="BE73" s="76">
        <f t="shared" si="7"/>
        <v>0</v>
      </c>
    </row>
    <row r="74" spans="1:57" ht="14" x14ac:dyDescent="0.25">
      <c r="A74" s="64">
        <f t="shared" si="13"/>
        <v>70</v>
      </c>
      <c r="B74" s="63" t="s">
        <v>210</v>
      </c>
      <c r="C74" s="59"/>
      <c r="D74" s="56"/>
      <c r="E74" s="56"/>
      <c r="F74" s="56">
        <v>35000000</v>
      </c>
      <c r="G74" s="56"/>
      <c r="H74" s="56"/>
      <c r="I74" s="56">
        <v>1458333</v>
      </c>
      <c r="J74" s="56"/>
      <c r="K74" s="56">
        <v>1458333</v>
      </c>
      <c r="L74" s="56"/>
      <c r="M74" s="56">
        <v>1458333</v>
      </c>
      <c r="N74" s="56"/>
      <c r="O74" s="56">
        <v>1458333</v>
      </c>
      <c r="P74" s="66"/>
      <c r="Q74" s="56">
        <v>1458333</v>
      </c>
      <c r="R74" s="66"/>
      <c r="S74" s="56">
        <v>1458333</v>
      </c>
      <c r="T74" s="66"/>
      <c r="U74" s="56">
        <v>1458333</v>
      </c>
      <c r="V74" s="66"/>
      <c r="W74" s="56">
        <v>1458333</v>
      </c>
      <c r="X74" s="66"/>
      <c r="Y74" s="56">
        <v>1458333</v>
      </c>
      <c r="Z74" s="66"/>
      <c r="AA74" s="56">
        <v>1458333</v>
      </c>
      <c r="AB74" s="56">
        <f t="shared" si="8"/>
        <v>35000000</v>
      </c>
      <c r="AC74" s="56">
        <f t="shared" si="9"/>
        <v>14583330</v>
      </c>
      <c r="AD74" s="66">
        <f t="shared" si="10"/>
        <v>20416670</v>
      </c>
      <c r="AE74" s="74"/>
      <c r="AF74" s="74">
        <v>1458333</v>
      </c>
      <c r="AG74" s="74"/>
      <c r="AH74" s="74">
        <v>1458333</v>
      </c>
      <c r="AI74" s="74"/>
      <c r="AJ74" s="92">
        <v>1458333</v>
      </c>
      <c r="AK74" s="74"/>
      <c r="AL74" s="74">
        <v>16041667</v>
      </c>
      <c r="AM74" s="74"/>
      <c r="AN74" s="74">
        <v>0</v>
      </c>
      <c r="AO74" s="91"/>
      <c r="AP74" s="91">
        <v>0</v>
      </c>
      <c r="AQ74" s="91"/>
      <c r="AR74" s="91">
        <v>0</v>
      </c>
      <c r="AS74" s="91"/>
      <c r="AT74" s="91">
        <v>0</v>
      </c>
      <c r="AU74" s="91"/>
      <c r="AV74" s="91"/>
      <c r="AW74" s="91"/>
      <c r="AX74" s="91"/>
      <c r="AY74" s="91"/>
      <c r="AZ74" s="91"/>
      <c r="BA74" s="91"/>
      <c r="BB74" s="91"/>
      <c r="BC74" s="76">
        <f t="shared" si="11"/>
        <v>0</v>
      </c>
      <c r="BD74" s="76">
        <f t="shared" si="12"/>
        <v>20416666</v>
      </c>
      <c r="BE74" s="76">
        <f t="shared" si="7"/>
        <v>4</v>
      </c>
    </row>
    <row r="75" spans="1:57" ht="14" x14ac:dyDescent="0.25">
      <c r="A75" s="64">
        <f t="shared" si="13"/>
        <v>71</v>
      </c>
      <c r="B75" s="63" t="s">
        <v>89</v>
      </c>
      <c r="C75" s="59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56">
        <f t="shared" si="8"/>
        <v>0</v>
      </c>
      <c r="AC75" s="56">
        <f t="shared" si="9"/>
        <v>0</v>
      </c>
      <c r="AD75" s="66">
        <f t="shared" si="10"/>
        <v>0</v>
      </c>
      <c r="AE75" s="74"/>
      <c r="AF75" s="74">
        <v>0</v>
      </c>
      <c r="AG75" s="74"/>
      <c r="AH75" s="74">
        <v>0</v>
      </c>
      <c r="AI75" s="74"/>
      <c r="AJ75" s="74">
        <v>0</v>
      </c>
      <c r="AK75" s="74"/>
      <c r="AL75" s="74">
        <v>0</v>
      </c>
      <c r="AM75" s="74"/>
      <c r="AN75" s="74">
        <v>0</v>
      </c>
      <c r="AO75" s="91"/>
      <c r="AP75" s="91">
        <v>0</v>
      </c>
      <c r="AQ75" s="91"/>
      <c r="AR75" s="91">
        <v>0</v>
      </c>
      <c r="AS75" s="91"/>
      <c r="AT75" s="91">
        <v>0</v>
      </c>
      <c r="AU75" s="91"/>
      <c r="AV75" s="91"/>
      <c r="AW75" s="91"/>
      <c r="AX75" s="91"/>
      <c r="AY75" s="91"/>
      <c r="AZ75" s="91"/>
      <c r="BA75" s="91"/>
      <c r="BB75" s="91"/>
      <c r="BC75" s="76">
        <f t="shared" si="11"/>
        <v>0</v>
      </c>
      <c r="BD75" s="76">
        <f t="shared" si="12"/>
        <v>0</v>
      </c>
      <c r="BE75" s="76">
        <f t="shared" si="7"/>
        <v>0</v>
      </c>
    </row>
    <row r="76" spans="1:57" ht="14" x14ac:dyDescent="0.25">
      <c r="A76" s="64">
        <f t="shared" si="13"/>
        <v>72</v>
      </c>
      <c r="B76" s="63" t="s">
        <v>250</v>
      </c>
      <c r="C76" s="59">
        <v>55999983</v>
      </c>
      <c r="D76" s="56"/>
      <c r="E76" s="56">
        <v>1166667</v>
      </c>
      <c r="F76" s="56"/>
      <c r="G76" s="56">
        <v>1166667</v>
      </c>
      <c r="H76" s="56"/>
      <c r="I76" s="56">
        <v>1166667</v>
      </c>
      <c r="J76" s="56"/>
      <c r="K76" s="56">
        <v>1166667</v>
      </c>
      <c r="L76" s="56"/>
      <c r="M76" s="56">
        <v>1166667</v>
      </c>
      <c r="N76" s="56"/>
      <c r="O76" s="56">
        <v>1166667</v>
      </c>
      <c r="P76" s="66"/>
      <c r="Q76" s="56">
        <v>1166667</v>
      </c>
      <c r="R76" s="66"/>
      <c r="S76" s="56">
        <v>1166667</v>
      </c>
      <c r="T76" s="66"/>
      <c r="U76" s="56">
        <v>1166667</v>
      </c>
      <c r="V76" s="66"/>
      <c r="W76" s="56">
        <v>1166667</v>
      </c>
      <c r="X76" s="66"/>
      <c r="Y76" s="56">
        <v>1166667</v>
      </c>
      <c r="Z76" s="66"/>
      <c r="AA76" s="56">
        <v>1166667</v>
      </c>
      <c r="AB76" s="56">
        <f t="shared" si="8"/>
        <v>0</v>
      </c>
      <c r="AC76" s="56">
        <f t="shared" si="9"/>
        <v>14000004</v>
      </c>
      <c r="AD76" s="66">
        <f t="shared" si="10"/>
        <v>41999979</v>
      </c>
      <c r="AE76" s="74">
        <v>60000000</v>
      </c>
      <c r="AF76" s="74">
        <f>1000000+42000000</f>
        <v>43000000</v>
      </c>
      <c r="AG76" s="74"/>
      <c r="AH76" s="74">
        <v>1000000</v>
      </c>
      <c r="AI76" s="74"/>
      <c r="AJ76" s="92">
        <v>1000000</v>
      </c>
      <c r="AK76" s="74"/>
      <c r="AL76" s="74">
        <v>1000000</v>
      </c>
      <c r="AM76" s="74"/>
      <c r="AN76" s="74">
        <v>1000000</v>
      </c>
      <c r="AO76" s="91"/>
      <c r="AP76" s="91">
        <v>1000000</v>
      </c>
      <c r="AQ76" s="91"/>
      <c r="AR76" s="92">
        <v>1000000</v>
      </c>
      <c r="AS76" s="92"/>
      <c r="AT76" s="92">
        <v>1000000</v>
      </c>
      <c r="AU76" s="92"/>
      <c r="AV76" s="92">
        <v>1000000</v>
      </c>
      <c r="AW76" s="92"/>
      <c r="AX76" s="92">
        <v>1000000</v>
      </c>
      <c r="AY76" s="92"/>
      <c r="AZ76" s="92">
        <v>1000000</v>
      </c>
      <c r="BA76" s="92"/>
      <c r="BB76" s="92">
        <f>VLOOKUP(B76,'[1]Reguler &amp; Khusus'!$B$8:$D$57,3,0)</f>
        <v>1000000</v>
      </c>
      <c r="BC76" s="76">
        <f t="shared" si="11"/>
        <v>60000000</v>
      </c>
      <c r="BD76" s="76">
        <f t="shared" si="12"/>
        <v>54000000</v>
      </c>
      <c r="BE76" s="76">
        <f t="shared" si="7"/>
        <v>47999979</v>
      </c>
    </row>
    <row r="77" spans="1:57" ht="14" x14ac:dyDescent="0.25">
      <c r="A77" s="64">
        <f t="shared" si="13"/>
        <v>73</v>
      </c>
      <c r="B77" s="63" t="s">
        <v>91</v>
      </c>
      <c r="C77" s="59">
        <v>11666682</v>
      </c>
      <c r="D77" s="56"/>
      <c r="E77" s="56">
        <v>833333</v>
      </c>
      <c r="F77" s="56"/>
      <c r="G77" s="56">
        <v>833333</v>
      </c>
      <c r="H77" s="56"/>
      <c r="I77" s="56">
        <v>833333</v>
      </c>
      <c r="J77" s="56"/>
      <c r="K77" s="56">
        <v>833333</v>
      </c>
      <c r="L77" s="56"/>
      <c r="M77" s="56">
        <v>833333</v>
      </c>
      <c r="N77" s="56"/>
      <c r="O77" s="56">
        <v>833333</v>
      </c>
      <c r="P77" s="66"/>
      <c r="Q77" s="56">
        <v>833333</v>
      </c>
      <c r="R77" s="66"/>
      <c r="S77" s="56">
        <v>833333</v>
      </c>
      <c r="T77" s="66"/>
      <c r="U77" s="56">
        <v>833333</v>
      </c>
      <c r="V77" s="66"/>
      <c r="W77" s="56">
        <v>833333</v>
      </c>
      <c r="X77" s="66"/>
      <c r="Y77" s="56">
        <v>833333</v>
      </c>
      <c r="Z77" s="66"/>
      <c r="AA77" s="56">
        <v>833333</v>
      </c>
      <c r="AB77" s="56">
        <f t="shared" si="8"/>
        <v>0</v>
      </c>
      <c r="AC77" s="56">
        <f t="shared" si="9"/>
        <v>9999996</v>
      </c>
      <c r="AD77" s="66">
        <f t="shared" si="10"/>
        <v>1666686</v>
      </c>
      <c r="AE77" s="74"/>
      <c r="AF77" s="74">
        <v>833333</v>
      </c>
      <c r="AG77" s="74"/>
      <c r="AH77" s="74">
        <v>833333</v>
      </c>
      <c r="AI77" s="74"/>
      <c r="AJ77" s="74">
        <v>0</v>
      </c>
      <c r="AK77" s="74"/>
      <c r="AL77" s="74">
        <v>0</v>
      </c>
      <c r="AM77" s="74"/>
      <c r="AN77" s="74">
        <v>0</v>
      </c>
      <c r="AO77" s="91"/>
      <c r="AP77" s="91">
        <v>0</v>
      </c>
      <c r="AQ77" s="91"/>
      <c r="AR77" s="91">
        <v>0</v>
      </c>
      <c r="AS77" s="91"/>
      <c r="AT77" s="91">
        <v>0</v>
      </c>
      <c r="AU77" s="91"/>
      <c r="AV77" s="91"/>
      <c r="AW77" s="91"/>
      <c r="AX77" s="91"/>
      <c r="AY77" s="91"/>
      <c r="AZ77" s="91"/>
      <c r="BA77" s="91"/>
      <c r="BB77" s="91"/>
      <c r="BC77" s="76">
        <f t="shared" si="11"/>
        <v>0</v>
      </c>
      <c r="BD77" s="76">
        <f t="shared" si="12"/>
        <v>1666666</v>
      </c>
      <c r="BE77" s="76">
        <f t="shared" si="7"/>
        <v>20</v>
      </c>
    </row>
    <row r="78" spans="1:57" ht="14" x14ac:dyDescent="0.25">
      <c r="A78" s="64">
        <f t="shared" si="13"/>
        <v>74</v>
      </c>
      <c r="B78" s="63" t="s">
        <v>92</v>
      </c>
      <c r="C78" s="59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56">
        <f t="shared" si="8"/>
        <v>0</v>
      </c>
      <c r="AC78" s="56">
        <f t="shared" si="9"/>
        <v>0</v>
      </c>
      <c r="AD78" s="66">
        <f t="shared" si="10"/>
        <v>0</v>
      </c>
      <c r="AE78" s="74"/>
      <c r="AF78" s="74">
        <v>0</v>
      </c>
      <c r="AG78" s="74"/>
      <c r="AH78" s="74">
        <v>0</v>
      </c>
      <c r="AI78" s="74"/>
      <c r="AJ78" s="74">
        <v>0</v>
      </c>
      <c r="AK78" s="74"/>
      <c r="AL78" s="74">
        <v>0</v>
      </c>
      <c r="AM78" s="74"/>
      <c r="AN78" s="74">
        <v>0</v>
      </c>
      <c r="AO78" s="91"/>
      <c r="AP78" s="91">
        <v>0</v>
      </c>
      <c r="AQ78" s="91"/>
      <c r="AR78" s="91">
        <v>0</v>
      </c>
      <c r="AS78" s="91"/>
      <c r="AT78" s="91">
        <v>0</v>
      </c>
      <c r="AU78" s="91"/>
      <c r="AV78" s="91"/>
      <c r="AW78" s="91"/>
      <c r="AX78" s="91"/>
      <c r="AY78" s="91"/>
      <c r="AZ78" s="91"/>
      <c r="BA78" s="91"/>
      <c r="BB78" s="91"/>
      <c r="BC78" s="76">
        <f t="shared" si="11"/>
        <v>0</v>
      </c>
      <c r="BD78" s="76">
        <f t="shared" si="12"/>
        <v>0</v>
      </c>
      <c r="BE78" s="76">
        <f t="shared" si="7"/>
        <v>0</v>
      </c>
    </row>
    <row r="79" spans="1:57" ht="14" x14ac:dyDescent="0.25">
      <c r="A79" s="64">
        <f t="shared" si="13"/>
        <v>75</v>
      </c>
      <c r="B79" s="63" t="s">
        <v>93</v>
      </c>
      <c r="C79" s="59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56">
        <f t="shared" si="8"/>
        <v>0</v>
      </c>
      <c r="AC79" s="56">
        <f t="shared" si="9"/>
        <v>0</v>
      </c>
      <c r="AD79" s="66">
        <f t="shared" si="10"/>
        <v>0</v>
      </c>
      <c r="AE79" s="74"/>
      <c r="AF79" s="74">
        <v>0</v>
      </c>
      <c r="AG79" s="74"/>
      <c r="AH79" s="74">
        <v>0</v>
      </c>
      <c r="AI79" s="74"/>
      <c r="AJ79" s="74">
        <v>0</v>
      </c>
      <c r="AK79" s="74"/>
      <c r="AL79" s="74">
        <v>0</v>
      </c>
      <c r="AM79" s="74"/>
      <c r="AN79" s="74">
        <v>0</v>
      </c>
      <c r="AO79" s="91"/>
      <c r="AP79" s="91">
        <v>0</v>
      </c>
      <c r="AQ79" s="91"/>
      <c r="AR79" s="91">
        <v>0</v>
      </c>
      <c r="AS79" s="91"/>
      <c r="AT79" s="91">
        <v>0</v>
      </c>
      <c r="AU79" s="91"/>
      <c r="AV79" s="91"/>
      <c r="AW79" s="91"/>
      <c r="AX79" s="91"/>
      <c r="AY79" s="91"/>
      <c r="AZ79" s="91"/>
      <c r="BA79" s="91"/>
      <c r="BB79" s="91"/>
      <c r="BC79" s="76">
        <f t="shared" si="11"/>
        <v>0</v>
      </c>
      <c r="BD79" s="76">
        <f t="shared" si="12"/>
        <v>0</v>
      </c>
      <c r="BE79" s="76">
        <f t="shared" ref="BE79:BE142" si="14">AD79+BC79-BD79</f>
        <v>0</v>
      </c>
    </row>
    <row r="80" spans="1:57" ht="14" x14ac:dyDescent="0.25">
      <c r="A80" s="64">
        <f t="shared" si="13"/>
        <v>76</v>
      </c>
      <c r="B80" s="63" t="s">
        <v>94</v>
      </c>
      <c r="C80" s="59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56">
        <f t="shared" ref="AB80:AB143" si="15">D80+F80+H80+J80+L80+N80+P80+R80+T80+V80+X80+Z80</f>
        <v>0</v>
      </c>
      <c r="AC80" s="56">
        <f t="shared" ref="AC80:AC143" si="16">E80+G80+I80+K80+M80+O80+Q80+S80+U80+W80+Y80+AA80</f>
        <v>0</v>
      </c>
      <c r="AD80" s="66">
        <f t="shared" ref="AD80:AD143" si="17">C80+AB80-AC80</f>
        <v>0</v>
      </c>
      <c r="AE80" s="74"/>
      <c r="AF80" s="74">
        <v>0</v>
      </c>
      <c r="AG80" s="74"/>
      <c r="AH80" s="74">
        <v>0</v>
      </c>
      <c r="AI80" s="74"/>
      <c r="AJ80" s="74">
        <v>0</v>
      </c>
      <c r="AK80" s="74"/>
      <c r="AL80" s="74">
        <v>0</v>
      </c>
      <c r="AM80" s="74"/>
      <c r="AN80" s="74">
        <v>0</v>
      </c>
      <c r="AO80" s="91"/>
      <c r="AP80" s="91">
        <v>0</v>
      </c>
      <c r="AQ80" s="91"/>
      <c r="AR80" s="91">
        <v>0</v>
      </c>
      <c r="AS80" s="91"/>
      <c r="AT80" s="91">
        <v>0</v>
      </c>
      <c r="AU80" s="91"/>
      <c r="AV80" s="91"/>
      <c r="AW80" s="91"/>
      <c r="AX80" s="91"/>
      <c r="AY80" s="91"/>
      <c r="AZ80" s="91"/>
      <c r="BA80" s="91"/>
      <c r="BB80" s="91"/>
      <c r="BC80" s="76">
        <f t="shared" ref="BC80:BC143" si="18">AE80+AG80+AI80+AK80+AM80+AO80+AQ80+AS80+AU80+AW80+AY80+BA80</f>
        <v>0</v>
      </c>
      <c r="BD80" s="76">
        <f t="shared" ref="BD80:BD143" si="19">AF80+AH80+AJ80+AL80+AN80+AP80+AR80+AT80+AV80+AX80+AZ80+BB80</f>
        <v>0</v>
      </c>
      <c r="BE80" s="76">
        <f t="shared" si="14"/>
        <v>0</v>
      </c>
    </row>
    <row r="81" spans="1:57" ht="14" x14ac:dyDescent="0.25">
      <c r="A81" s="64">
        <f t="shared" si="13"/>
        <v>77</v>
      </c>
      <c r="B81" s="63" t="s">
        <v>95</v>
      </c>
      <c r="C81" s="59">
        <v>1250000</v>
      </c>
      <c r="D81" s="56"/>
      <c r="E81" s="56">
        <v>625000</v>
      </c>
      <c r="F81" s="56"/>
      <c r="G81" s="56">
        <v>625000</v>
      </c>
      <c r="H81" s="56"/>
      <c r="I81" s="56"/>
      <c r="J81" s="56"/>
      <c r="K81" s="56"/>
      <c r="L81" s="56"/>
      <c r="M81" s="56"/>
      <c r="N81" s="56"/>
      <c r="O81" s="5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56">
        <f t="shared" si="15"/>
        <v>0</v>
      </c>
      <c r="AC81" s="56">
        <f t="shared" si="16"/>
        <v>1250000</v>
      </c>
      <c r="AD81" s="66">
        <f t="shared" si="17"/>
        <v>0</v>
      </c>
      <c r="AE81" s="74"/>
      <c r="AF81" s="74">
        <v>0</v>
      </c>
      <c r="AG81" s="74"/>
      <c r="AH81" s="74">
        <v>0</v>
      </c>
      <c r="AI81" s="74"/>
      <c r="AJ81" s="74">
        <v>0</v>
      </c>
      <c r="AK81" s="74"/>
      <c r="AL81" s="74">
        <v>0</v>
      </c>
      <c r="AM81" s="74"/>
      <c r="AN81" s="74">
        <v>0</v>
      </c>
      <c r="AO81" s="91"/>
      <c r="AP81" s="91">
        <v>0</v>
      </c>
      <c r="AQ81" s="91"/>
      <c r="AR81" s="91">
        <v>0</v>
      </c>
      <c r="AS81" s="91"/>
      <c r="AT81" s="91">
        <v>0</v>
      </c>
      <c r="AU81" s="91"/>
      <c r="AV81" s="91"/>
      <c r="AW81" s="91"/>
      <c r="AX81" s="91"/>
      <c r="AY81" s="91"/>
      <c r="AZ81" s="91"/>
      <c r="BA81" s="91"/>
      <c r="BB81" s="91"/>
      <c r="BC81" s="76">
        <f t="shared" si="18"/>
        <v>0</v>
      </c>
      <c r="BD81" s="76">
        <f t="shared" si="19"/>
        <v>0</v>
      </c>
      <c r="BE81" s="76">
        <f t="shared" si="14"/>
        <v>0</v>
      </c>
    </row>
    <row r="82" spans="1:57" ht="14" x14ac:dyDescent="0.25">
      <c r="A82" s="64">
        <f t="shared" si="13"/>
        <v>78</v>
      </c>
      <c r="B82" s="63" t="s">
        <v>96</v>
      </c>
      <c r="C82" s="59">
        <v>36666675</v>
      </c>
      <c r="D82" s="56"/>
      <c r="E82" s="56">
        <v>833333</v>
      </c>
      <c r="F82" s="56"/>
      <c r="G82" s="56">
        <v>833333</v>
      </c>
      <c r="H82" s="56"/>
      <c r="I82" s="56">
        <v>833333</v>
      </c>
      <c r="J82" s="56"/>
      <c r="K82" s="56">
        <v>833333</v>
      </c>
      <c r="L82" s="56">
        <v>50000000</v>
      </c>
      <c r="M82" s="56">
        <f>33333333+833333</f>
        <v>34166666</v>
      </c>
      <c r="N82" s="56"/>
      <c r="O82" s="56">
        <v>833333</v>
      </c>
      <c r="P82" s="66"/>
      <c r="Q82" s="56">
        <v>833333</v>
      </c>
      <c r="R82" s="66"/>
      <c r="S82" s="56">
        <v>833333</v>
      </c>
      <c r="T82" s="66"/>
      <c r="U82" s="56">
        <v>833333</v>
      </c>
      <c r="V82" s="66"/>
      <c r="W82" s="56">
        <v>833333</v>
      </c>
      <c r="X82" s="66"/>
      <c r="Y82" s="56">
        <v>833333</v>
      </c>
      <c r="Z82" s="66">
        <v>60000000</v>
      </c>
      <c r="AA82" s="56">
        <f>833333+43333333</f>
        <v>44166666</v>
      </c>
      <c r="AB82" s="56">
        <f>D82+F82+H82+J82+L82+N82+P82+R82+T82+V82+X82+Z82</f>
        <v>110000000</v>
      </c>
      <c r="AC82" s="56">
        <f>E82+G82+I82+K82+M82+O82+Q82+S82+U82+W82+Y82+AA82</f>
        <v>86666662</v>
      </c>
      <c r="AD82" s="66">
        <f t="shared" si="17"/>
        <v>60000013</v>
      </c>
      <c r="AE82" s="74">
        <v>1500000</v>
      </c>
      <c r="AF82" s="74">
        <v>2500000</v>
      </c>
      <c r="AG82" s="74"/>
      <c r="AH82" s="74">
        <v>1000000</v>
      </c>
      <c r="AI82" s="74"/>
      <c r="AJ82" s="74">
        <v>59000000</v>
      </c>
      <c r="AK82" s="74"/>
      <c r="AL82" s="74">
        <v>0</v>
      </c>
      <c r="AM82" s="74"/>
      <c r="AN82" s="74">
        <v>0</v>
      </c>
      <c r="AO82" s="91"/>
      <c r="AP82" s="91">
        <v>0</v>
      </c>
      <c r="AQ82" s="91"/>
      <c r="AR82" s="91">
        <v>0</v>
      </c>
      <c r="AS82" s="91"/>
      <c r="AT82" s="91">
        <v>0</v>
      </c>
      <c r="AU82" s="91"/>
      <c r="AV82" s="91"/>
      <c r="AW82" s="91"/>
      <c r="AX82" s="91"/>
      <c r="AY82" s="91"/>
      <c r="AZ82" s="91"/>
      <c r="BA82" s="91"/>
      <c r="BB82" s="91"/>
      <c r="BC82" s="76">
        <f t="shared" si="18"/>
        <v>1500000</v>
      </c>
      <c r="BD82" s="76">
        <f t="shared" si="19"/>
        <v>62500000</v>
      </c>
      <c r="BE82" s="76">
        <f t="shared" si="14"/>
        <v>-999987</v>
      </c>
    </row>
    <row r="83" spans="1:57" ht="14" x14ac:dyDescent="0.25">
      <c r="A83" s="64">
        <f t="shared" si="13"/>
        <v>79</v>
      </c>
      <c r="B83" s="63" t="s">
        <v>211</v>
      </c>
      <c r="C83" s="59">
        <v>129864138.54000001</v>
      </c>
      <c r="D83" s="56"/>
      <c r="E83" s="56">
        <v>7348701</v>
      </c>
      <c r="F83" s="56"/>
      <c r="G83" s="56">
        <v>7444936</v>
      </c>
      <c r="H83" s="56"/>
      <c r="I83" s="56">
        <v>7542431</v>
      </c>
      <c r="J83" s="56"/>
      <c r="K83" s="56">
        <v>7741268</v>
      </c>
      <c r="L83" s="56"/>
      <c r="M83" s="56">
        <v>7641203</v>
      </c>
      <c r="N83" s="56"/>
      <c r="O83" s="56">
        <v>7842644</v>
      </c>
      <c r="P83" s="66"/>
      <c r="Q83" s="66">
        <v>7945347</v>
      </c>
      <c r="R83" s="66"/>
      <c r="S83" s="66">
        <v>8049396</v>
      </c>
      <c r="T83" s="66"/>
      <c r="U83" s="66">
        <v>8154806</v>
      </c>
      <c r="V83" s="66"/>
      <c r="W83" s="66">
        <v>8261597</v>
      </c>
      <c r="X83" s="66"/>
      <c r="Y83" s="66">
        <v>8369787</v>
      </c>
      <c r="Z83" s="66"/>
      <c r="AA83" s="66">
        <v>8479393</v>
      </c>
      <c r="AB83" s="56">
        <f t="shared" si="15"/>
        <v>0</v>
      </c>
      <c r="AC83" s="56">
        <f t="shared" si="16"/>
        <v>94821509</v>
      </c>
      <c r="AD83" s="66">
        <f t="shared" si="17"/>
        <v>35042629.540000007</v>
      </c>
      <c r="AE83" s="74"/>
      <c r="AF83" s="74">
        <v>8590435</v>
      </c>
      <c r="AG83" s="74"/>
      <c r="AH83" s="74">
        <v>8702931</v>
      </c>
      <c r="AI83" s="74"/>
      <c r="AJ83" s="92">
        <v>8816900</v>
      </c>
      <c r="AK83" s="74"/>
      <c r="AL83" s="74">
        <v>8932362</v>
      </c>
      <c r="AM83" s="74"/>
      <c r="AN83" s="74">
        <v>0</v>
      </c>
      <c r="AO83" s="91"/>
      <c r="AP83" s="91">
        <v>0</v>
      </c>
      <c r="AQ83" s="91"/>
      <c r="AR83" s="91">
        <v>0</v>
      </c>
      <c r="AS83" s="91"/>
      <c r="AT83" s="91">
        <v>0</v>
      </c>
      <c r="AU83" s="91"/>
      <c r="AV83" s="91"/>
      <c r="AW83" s="91"/>
      <c r="AX83" s="91"/>
      <c r="AY83" s="91"/>
      <c r="AZ83" s="91"/>
      <c r="BA83" s="91"/>
      <c r="BB83" s="91"/>
      <c r="BC83" s="76">
        <f t="shared" si="18"/>
        <v>0</v>
      </c>
      <c r="BD83" s="76">
        <f t="shared" si="19"/>
        <v>35042628</v>
      </c>
      <c r="BE83" s="76">
        <f t="shared" si="14"/>
        <v>1.5400000065565109</v>
      </c>
    </row>
    <row r="84" spans="1:57" ht="14" x14ac:dyDescent="0.25">
      <c r="A84" s="64">
        <f t="shared" si="13"/>
        <v>80</v>
      </c>
      <c r="B84" s="63" t="s">
        <v>191</v>
      </c>
      <c r="C84" s="59">
        <v>19166681</v>
      </c>
      <c r="D84" s="56"/>
      <c r="E84" s="56">
        <v>833333</v>
      </c>
      <c r="F84" s="56"/>
      <c r="G84" s="56">
        <v>833333</v>
      </c>
      <c r="H84" s="56"/>
      <c r="I84" s="56">
        <v>833333</v>
      </c>
      <c r="J84" s="56"/>
      <c r="K84" s="56">
        <v>833333</v>
      </c>
      <c r="L84" s="56"/>
      <c r="M84" s="56">
        <v>833333</v>
      </c>
      <c r="N84" s="56">
        <v>50000000</v>
      </c>
      <c r="O84" s="56">
        <f>14166683+833333</f>
        <v>15000016</v>
      </c>
      <c r="P84" s="66"/>
      <c r="Q84" s="66">
        <v>2083333</v>
      </c>
      <c r="R84" s="66"/>
      <c r="S84" s="66">
        <v>2083333</v>
      </c>
      <c r="T84" s="66"/>
      <c r="U84" s="66">
        <v>2083333</v>
      </c>
      <c r="V84" s="66"/>
      <c r="W84" s="66">
        <v>2083333</v>
      </c>
      <c r="X84" s="66"/>
      <c r="Y84" s="66">
        <v>2083333</v>
      </c>
      <c r="Z84" s="66"/>
      <c r="AA84" s="66">
        <v>2083333</v>
      </c>
      <c r="AB84" s="56">
        <f t="shared" si="15"/>
        <v>50000000</v>
      </c>
      <c r="AC84" s="56">
        <f t="shared" si="16"/>
        <v>31666679</v>
      </c>
      <c r="AD84" s="66">
        <f t="shared" si="17"/>
        <v>37500002</v>
      </c>
      <c r="AE84" s="74"/>
      <c r="AF84" s="74">
        <v>2083333</v>
      </c>
      <c r="AG84" s="74"/>
      <c r="AH84" s="74">
        <v>2083333</v>
      </c>
      <c r="AI84" s="74"/>
      <c r="AJ84" s="74">
        <v>2083333</v>
      </c>
      <c r="AK84" s="74"/>
      <c r="AL84" s="74">
        <v>2083333</v>
      </c>
      <c r="AM84" s="74"/>
      <c r="AN84" s="74">
        <v>2083333</v>
      </c>
      <c r="AO84" s="91"/>
      <c r="AP84" s="91">
        <v>2083333</v>
      </c>
      <c r="AQ84" s="91"/>
      <c r="AR84" s="91">
        <v>25000000</v>
      </c>
      <c r="AS84" s="91"/>
      <c r="AT84" s="91">
        <v>0</v>
      </c>
      <c r="AU84" s="91"/>
      <c r="AV84" s="91"/>
      <c r="AW84" s="91"/>
      <c r="AX84" s="91"/>
      <c r="AY84" s="91"/>
      <c r="AZ84" s="91"/>
      <c r="BA84" s="91"/>
      <c r="BB84" s="91"/>
      <c r="BC84" s="76">
        <f t="shared" si="18"/>
        <v>0</v>
      </c>
      <c r="BD84" s="76">
        <f t="shared" si="19"/>
        <v>37499998</v>
      </c>
      <c r="BE84" s="76">
        <f t="shared" si="14"/>
        <v>4</v>
      </c>
    </row>
    <row r="85" spans="1:57" ht="14" x14ac:dyDescent="0.25">
      <c r="A85" s="64">
        <f t="shared" si="13"/>
        <v>81</v>
      </c>
      <c r="B85" s="63" t="s">
        <v>99</v>
      </c>
      <c r="C85" s="59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56">
        <f t="shared" si="15"/>
        <v>0</v>
      </c>
      <c r="AC85" s="56">
        <f t="shared" si="16"/>
        <v>0</v>
      </c>
      <c r="AD85" s="66">
        <f t="shared" si="17"/>
        <v>0</v>
      </c>
      <c r="AE85" s="74"/>
      <c r="AF85" s="74">
        <v>0</v>
      </c>
      <c r="AG85" s="74"/>
      <c r="AH85" s="74">
        <v>0</v>
      </c>
      <c r="AI85" s="74"/>
      <c r="AJ85" s="74">
        <v>0</v>
      </c>
      <c r="AK85" s="74"/>
      <c r="AL85" s="74">
        <v>0</v>
      </c>
      <c r="AM85" s="74"/>
      <c r="AN85" s="74">
        <v>0</v>
      </c>
      <c r="AO85" s="91"/>
      <c r="AP85" s="91">
        <v>0</v>
      </c>
      <c r="AQ85" s="91"/>
      <c r="AR85" s="91">
        <v>0</v>
      </c>
      <c r="AS85" s="91"/>
      <c r="AT85" s="91">
        <v>0</v>
      </c>
      <c r="AU85" s="91"/>
      <c r="AV85" s="91"/>
      <c r="AW85" s="91"/>
      <c r="AX85" s="91"/>
      <c r="AY85" s="91"/>
      <c r="AZ85" s="91"/>
      <c r="BA85" s="91"/>
      <c r="BB85" s="91"/>
      <c r="BC85" s="76">
        <f t="shared" si="18"/>
        <v>0</v>
      </c>
      <c r="BD85" s="76">
        <f t="shared" si="19"/>
        <v>0</v>
      </c>
      <c r="BE85" s="76">
        <f t="shared" si="14"/>
        <v>0</v>
      </c>
    </row>
    <row r="86" spans="1:57" ht="14" x14ac:dyDescent="0.25">
      <c r="A86" s="64">
        <f t="shared" si="13"/>
        <v>82</v>
      </c>
      <c r="B86" s="63" t="s">
        <v>100</v>
      </c>
      <c r="C86" s="59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56">
        <f t="shared" si="15"/>
        <v>0</v>
      </c>
      <c r="AC86" s="56">
        <f t="shared" si="16"/>
        <v>0</v>
      </c>
      <c r="AD86" s="66">
        <f t="shared" si="17"/>
        <v>0</v>
      </c>
      <c r="AE86" s="74"/>
      <c r="AF86" s="74">
        <v>0</v>
      </c>
      <c r="AG86" s="74"/>
      <c r="AH86" s="74">
        <v>0</v>
      </c>
      <c r="AI86" s="74"/>
      <c r="AJ86" s="74">
        <v>0</v>
      </c>
      <c r="AK86" s="74"/>
      <c r="AL86" s="74">
        <v>0</v>
      </c>
      <c r="AM86" s="74"/>
      <c r="AN86" s="74">
        <v>0</v>
      </c>
      <c r="AO86" s="91"/>
      <c r="AP86" s="91">
        <v>0</v>
      </c>
      <c r="AQ86" s="91"/>
      <c r="AR86" s="91">
        <v>0</v>
      </c>
      <c r="AS86" s="91"/>
      <c r="AT86" s="91">
        <v>0</v>
      </c>
      <c r="AU86" s="91"/>
      <c r="AV86" s="91"/>
      <c r="AW86" s="91"/>
      <c r="AX86" s="91"/>
      <c r="AY86" s="91"/>
      <c r="AZ86" s="91"/>
      <c r="BA86" s="91"/>
      <c r="BB86" s="91"/>
      <c r="BC86" s="76">
        <f t="shared" si="18"/>
        <v>0</v>
      </c>
      <c r="BD86" s="76">
        <f t="shared" si="19"/>
        <v>0</v>
      </c>
      <c r="BE86" s="76">
        <f t="shared" si="14"/>
        <v>0</v>
      </c>
    </row>
    <row r="87" spans="1:57" ht="14" x14ac:dyDescent="0.25">
      <c r="A87" s="64">
        <f t="shared" si="13"/>
        <v>83</v>
      </c>
      <c r="B87" s="63" t="s">
        <v>101</v>
      </c>
      <c r="C87" s="59">
        <v>20000012</v>
      </c>
      <c r="D87" s="56"/>
      <c r="E87" s="56">
        <v>833333</v>
      </c>
      <c r="F87" s="56"/>
      <c r="G87" s="56">
        <v>833333</v>
      </c>
      <c r="H87" s="56"/>
      <c r="I87" s="56">
        <v>833333</v>
      </c>
      <c r="J87" s="56"/>
      <c r="K87" s="56">
        <v>833333</v>
      </c>
      <c r="L87" s="56"/>
      <c r="M87" s="56">
        <v>833333</v>
      </c>
      <c r="N87" s="56"/>
      <c r="O87" s="56">
        <v>833333</v>
      </c>
      <c r="P87" s="66"/>
      <c r="Q87" s="56">
        <v>833333</v>
      </c>
      <c r="R87" s="66"/>
      <c r="S87" s="56">
        <v>833333</v>
      </c>
      <c r="T87" s="66"/>
      <c r="U87" s="56">
        <v>833333</v>
      </c>
      <c r="V87" s="66"/>
      <c r="W87" s="56">
        <v>833333</v>
      </c>
      <c r="X87" s="66"/>
      <c r="Y87" s="56">
        <v>833333</v>
      </c>
      <c r="Z87" s="66"/>
      <c r="AA87" s="56">
        <v>833333</v>
      </c>
      <c r="AB87" s="56">
        <f t="shared" si="15"/>
        <v>0</v>
      </c>
      <c r="AC87" s="56">
        <f t="shared" si="16"/>
        <v>9999996</v>
      </c>
      <c r="AD87" s="66">
        <f t="shared" si="17"/>
        <v>10000016</v>
      </c>
      <c r="AE87" s="74"/>
      <c r="AF87" s="74">
        <v>833333</v>
      </c>
      <c r="AG87" s="74"/>
      <c r="AH87" s="74">
        <v>833333</v>
      </c>
      <c r="AI87" s="74"/>
      <c r="AJ87" s="74">
        <v>833333</v>
      </c>
      <c r="AK87" s="74"/>
      <c r="AL87" s="74">
        <v>833333</v>
      </c>
      <c r="AM87" s="74"/>
      <c r="AN87" s="74">
        <v>833333</v>
      </c>
      <c r="AO87" s="91"/>
      <c r="AP87" s="91">
        <v>833333</v>
      </c>
      <c r="AQ87" s="91"/>
      <c r="AR87" s="93">
        <v>833333</v>
      </c>
      <c r="AS87" s="93"/>
      <c r="AT87" s="91">
        <v>833333</v>
      </c>
      <c r="AU87" s="91"/>
      <c r="AV87" s="91">
        <v>833333</v>
      </c>
      <c r="AW87" s="91"/>
      <c r="AX87" s="91">
        <v>833333</v>
      </c>
      <c r="AY87" s="91"/>
      <c r="AZ87" s="91">
        <v>833333</v>
      </c>
      <c r="BA87" s="91"/>
      <c r="BB87" s="91">
        <v>833333</v>
      </c>
      <c r="BC87" s="76">
        <f t="shared" si="18"/>
        <v>0</v>
      </c>
      <c r="BD87" s="76">
        <f t="shared" si="19"/>
        <v>9999996</v>
      </c>
      <c r="BE87" s="76">
        <f t="shared" si="14"/>
        <v>20</v>
      </c>
    </row>
    <row r="88" spans="1:57" ht="14" x14ac:dyDescent="0.25">
      <c r="A88" s="64">
        <f t="shared" si="13"/>
        <v>84</v>
      </c>
      <c r="B88" s="63" t="s">
        <v>102</v>
      </c>
      <c r="C88" s="59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56">
        <f t="shared" si="15"/>
        <v>0</v>
      </c>
      <c r="AC88" s="56">
        <f t="shared" si="16"/>
        <v>0</v>
      </c>
      <c r="AD88" s="66">
        <f t="shared" si="17"/>
        <v>0</v>
      </c>
      <c r="AE88" s="74"/>
      <c r="AF88" s="74">
        <v>0</v>
      </c>
      <c r="AG88" s="74"/>
      <c r="AH88" s="74">
        <v>0</v>
      </c>
      <c r="AI88" s="74"/>
      <c r="AJ88" s="74">
        <v>0</v>
      </c>
      <c r="AK88" s="74"/>
      <c r="AL88" s="74">
        <v>0</v>
      </c>
      <c r="AM88" s="74"/>
      <c r="AN88" s="74">
        <v>0</v>
      </c>
      <c r="AO88" s="91"/>
      <c r="AP88" s="91">
        <v>0</v>
      </c>
      <c r="AQ88" s="91"/>
      <c r="AR88" s="91">
        <v>0</v>
      </c>
      <c r="AS88" s="91"/>
      <c r="AT88" s="91">
        <v>0</v>
      </c>
      <c r="AU88" s="91"/>
      <c r="AV88" s="91"/>
      <c r="AW88" s="91"/>
      <c r="AX88" s="91"/>
      <c r="AY88" s="91"/>
      <c r="AZ88" s="91"/>
      <c r="BA88" s="91"/>
      <c r="BB88" s="91"/>
      <c r="BC88" s="76">
        <f t="shared" si="18"/>
        <v>0</v>
      </c>
      <c r="BD88" s="76">
        <f t="shared" si="19"/>
        <v>0</v>
      </c>
      <c r="BE88" s="76">
        <f t="shared" si="14"/>
        <v>0</v>
      </c>
    </row>
    <row r="89" spans="1:57" ht="14" x14ac:dyDescent="0.25">
      <c r="A89" s="64">
        <f t="shared" si="13"/>
        <v>85</v>
      </c>
      <c r="B89" s="63" t="s">
        <v>103</v>
      </c>
      <c r="C89" s="59">
        <v>11666672</v>
      </c>
      <c r="D89" s="56"/>
      <c r="E89" s="56">
        <v>972222</v>
      </c>
      <c r="F89" s="56"/>
      <c r="G89" s="56">
        <v>972222</v>
      </c>
      <c r="H89" s="56"/>
      <c r="I89" s="56">
        <v>972222</v>
      </c>
      <c r="J89" s="56"/>
      <c r="K89" s="56">
        <v>972222</v>
      </c>
      <c r="L89" s="56"/>
      <c r="M89" s="56">
        <v>972222</v>
      </c>
      <c r="N89" s="56"/>
      <c r="O89" s="56">
        <v>972222</v>
      </c>
      <c r="P89" s="66"/>
      <c r="Q89" s="56">
        <v>972222</v>
      </c>
      <c r="R89" s="66"/>
      <c r="S89" s="56">
        <v>972222</v>
      </c>
      <c r="T89" s="66">
        <v>50000000</v>
      </c>
      <c r="U89" s="66">
        <v>3888896</v>
      </c>
      <c r="V89" s="66"/>
      <c r="W89" s="66">
        <v>1388889</v>
      </c>
      <c r="X89" s="66"/>
      <c r="Y89" s="66">
        <v>1388889</v>
      </c>
      <c r="Z89" s="66"/>
      <c r="AA89" s="66">
        <v>1388889</v>
      </c>
      <c r="AB89" s="56">
        <f t="shared" si="15"/>
        <v>50000000</v>
      </c>
      <c r="AC89" s="56">
        <f t="shared" si="16"/>
        <v>15833339</v>
      </c>
      <c r="AD89" s="66">
        <f t="shared" si="17"/>
        <v>45833333</v>
      </c>
      <c r="AE89" s="74"/>
      <c r="AF89" s="74">
        <v>1388889</v>
      </c>
      <c r="AG89" s="74"/>
      <c r="AH89" s="74">
        <v>1388889</v>
      </c>
      <c r="AI89" s="74"/>
      <c r="AJ89" s="92">
        <v>1388889</v>
      </c>
      <c r="AK89" s="74"/>
      <c r="AL89" s="74">
        <v>1388889</v>
      </c>
      <c r="AM89" s="74"/>
      <c r="AN89" s="74">
        <v>1388889</v>
      </c>
      <c r="AO89" s="91"/>
      <c r="AP89" s="91">
        <v>1388889</v>
      </c>
      <c r="AQ89" s="91"/>
      <c r="AR89" s="92">
        <v>1388889</v>
      </c>
      <c r="AS89" s="92"/>
      <c r="AT89" s="92">
        <v>1388889</v>
      </c>
      <c r="AU89" s="92"/>
      <c r="AV89" s="92">
        <v>1388889</v>
      </c>
      <c r="AW89" s="92"/>
      <c r="AX89" s="92">
        <v>1388889</v>
      </c>
      <c r="AY89" s="92"/>
      <c r="AZ89" s="92">
        <v>1388889</v>
      </c>
      <c r="BA89" s="92"/>
      <c r="BB89" s="92">
        <f>VLOOKUP(B89,'[1]Reguler &amp; Khusus'!$B$8:$D$57,3,0)</f>
        <v>1388889</v>
      </c>
      <c r="BC89" s="76">
        <f t="shared" si="18"/>
        <v>0</v>
      </c>
      <c r="BD89" s="76">
        <f t="shared" si="19"/>
        <v>16666668</v>
      </c>
      <c r="BE89" s="76">
        <f t="shared" si="14"/>
        <v>29166665</v>
      </c>
    </row>
    <row r="90" spans="1:57" ht="14" x14ac:dyDescent="0.25">
      <c r="A90" s="64">
        <f t="shared" si="13"/>
        <v>86</v>
      </c>
      <c r="B90" s="63" t="s">
        <v>104</v>
      </c>
      <c r="C90" s="59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56">
        <f t="shared" si="15"/>
        <v>0</v>
      </c>
      <c r="AC90" s="56">
        <f t="shared" si="16"/>
        <v>0</v>
      </c>
      <c r="AD90" s="66">
        <f t="shared" si="17"/>
        <v>0</v>
      </c>
      <c r="AE90" s="74"/>
      <c r="AF90" s="74">
        <v>0</v>
      </c>
      <c r="AG90" s="74"/>
      <c r="AH90" s="74">
        <v>0</v>
      </c>
      <c r="AI90" s="74"/>
      <c r="AJ90" s="74">
        <v>0</v>
      </c>
      <c r="AK90" s="74"/>
      <c r="AL90" s="74">
        <v>0</v>
      </c>
      <c r="AM90" s="74"/>
      <c r="AN90" s="74">
        <v>0</v>
      </c>
      <c r="AO90" s="91"/>
      <c r="AP90" s="91">
        <v>0</v>
      </c>
      <c r="AQ90" s="91"/>
      <c r="AR90" s="91">
        <v>0</v>
      </c>
      <c r="AS90" s="91"/>
      <c r="AT90" s="91">
        <v>0</v>
      </c>
      <c r="AU90" s="91"/>
      <c r="AV90" s="91"/>
      <c r="AW90" s="91"/>
      <c r="AX90" s="91"/>
      <c r="AY90" s="91"/>
      <c r="AZ90" s="91"/>
      <c r="BA90" s="91"/>
      <c r="BB90" s="91"/>
      <c r="BC90" s="76">
        <f t="shared" si="18"/>
        <v>0</v>
      </c>
      <c r="BD90" s="76">
        <f t="shared" si="19"/>
        <v>0</v>
      </c>
      <c r="BE90" s="76">
        <f t="shared" si="14"/>
        <v>0</v>
      </c>
    </row>
    <row r="91" spans="1:57" ht="14" x14ac:dyDescent="0.25">
      <c r="A91" s="64">
        <f t="shared" si="13"/>
        <v>87</v>
      </c>
      <c r="B91" s="63" t="s">
        <v>105</v>
      </c>
      <c r="C91" s="59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56">
        <f t="shared" si="15"/>
        <v>0</v>
      </c>
      <c r="AC91" s="56">
        <f t="shared" si="16"/>
        <v>0</v>
      </c>
      <c r="AD91" s="66">
        <f t="shared" si="17"/>
        <v>0</v>
      </c>
      <c r="AE91" s="74"/>
      <c r="AF91" s="74">
        <v>0</v>
      </c>
      <c r="AG91" s="74"/>
      <c r="AH91" s="74">
        <v>0</v>
      </c>
      <c r="AI91" s="74"/>
      <c r="AJ91" s="74">
        <v>0</v>
      </c>
      <c r="AK91" s="74"/>
      <c r="AL91" s="74">
        <v>0</v>
      </c>
      <c r="AM91" s="74"/>
      <c r="AN91" s="74">
        <v>0</v>
      </c>
      <c r="AO91" s="91"/>
      <c r="AP91" s="91">
        <v>0</v>
      </c>
      <c r="AQ91" s="91"/>
      <c r="AR91" s="91">
        <v>0</v>
      </c>
      <c r="AS91" s="91"/>
      <c r="AT91" s="91">
        <v>0</v>
      </c>
      <c r="AU91" s="91"/>
      <c r="AV91" s="91"/>
      <c r="AW91" s="91"/>
      <c r="AX91" s="91"/>
      <c r="AY91" s="91"/>
      <c r="AZ91" s="91"/>
      <c r="BA91" s="91"/>
      <c r="BB91" s="91"/>
      <c r="BC91" s="76">
        <f t="shared" si="18"/>
        <v>0</v>
      </c>
      <c r="BD91" s="76">
        <f t="shared" si="19"/>
        <v>0</v>
      </c>
      <c r="BE91" s="76">
        <f t="shared" si="14"/>
        <v>0</v>
      </c>
    </row>
    <row r="92" spans="1:57" ht="14" x14ac:dyDescent="0.25">
      <c r="A92" s="64">
        <f t="shared" si="13"/>
        <v>88</v>
      </c>
      <c r="B92" s="63" t="s">
        <v>106</v>
      </c>
      <c r="C92" s="59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56">
        <f t="shared" si="15"/>
        <v>0</v>
      </c>
      <c r="AC92" s="56">
        <f t="shared" si="16"/>
        <v>0</v>
      </c>
      <c r="AD92" s="66">
        <f t="shared" si="17"/>
        <v>0</v>
      </c>
      <c r="AE92" s="74"/>
      <c r="AF92" s="74">
        <v>0</v>
      </c>
      <c r="AG92" s="74"/>
      <c r="AH92" s="74">
        <v>0</v>
      </c>
      <c r="AI92" s="74"/>
      <c r="AJ92" s="74">
        <v>0</v>
      </c>
      <c r="AK92" s="74"/>
      <c r="AL92" s="74">
        <v>0</v>
      </c>
      <c r="AM92" s="74"/>
      <c r="AN92" s="74">
        <v>0</v>
      </c>
      <c r="AO92" s="91"/>
      <c r="AP92" s="91">
        <v>0</v>
      </c>
      <c r="AQ92" s="91"/>
      <c r="AR92" s="91">
        <v>0</v>
      </c>
      <c r="AS92" s="91"/>
      <c r="AT92" s="91">
        <v>0</v>
      </c>
      <c r="AU92" s="91"/>
      <c r="AV92" s="91"/>
      <c r="AW92" s="91"/>
      <c r="AX92" s="91"/>
      <c r="AY92" s="91"/>
      <c r="AZ92" s="91"/>
      <c r="BA92" s="91"/>
      <c r="BB92" s="91"/>
      <c r="BC92" s="76">
        <f t="shared" si="18"/>
        <v>0</v>
      </c>
      <c r="BD92" s="76">
        <f t="shared" si="19"/>
        <v>0</v>
      </c>
      <c r="BE92" s="76">
        <f t="shared" si="14"/>
        <v>0</v>
      </c>
    </row>
    <row r="93" spans="1:57" ht="14" x14ac:dyDescent="0.25">
      <c r="A93" s="64">
        <f t="shared" si="13"/>
        <v>89</v>
      </c>
      <c r="B93" s="63" t="s">
        <v>107</v>
      </c>
      <c r="C93" s="59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56">
        <f t="shared" si="15"/>
        <v>0</v>
      </c>
      <c r="AC93" s="56">
        <f t="shared" si="16"/>
        <v>0</v>
      </c>
      <c r="AD93" s="66">
        <f t="shared" si="17"/>
        <v>0</v>
      </c>
      <c r="AE93" s="74"/>
      <c r="AF93" s="74">
        <v>0</v>
      </c>
      <c r="AG93" s="74"/>
      <c r="AH93" s="74">
        <v>0</v>
      </c>
      <c r="AI93" s="74"/>
      <c r="AJ93" s="74">
        <v>0</v>
      </c>
      <c r="AK93" s="74"/>
      <c r="AL93" s="74">
        <v>0</v>
      </c>
      <c r="AM93" s="74"/>
      <c r="AN93" s="74">
        <v>0</v>
      </c>
      <c r="AO93" s="91"/>
      <c r="AP93" s="91">
        <v>0</v>
      </c>
      <c r="AQ93" s="91"/>
      <c r="AR93" s="91">
        <v>0</v>
      </c>
      <c r="AS93" s="91"/>
      <c r="AT93" s="91">
        <v>0</v>
      </c>
      <c r="AU93" s="91"/>
      <c r="AV93" s="91"/>
      <c r="AW93" s="91"/>
      <c r="AX93" s="91"/>
      <c r="AY93" s="91"/>
      <c r="AZ93" s="91"/>
      <c r="BA93" s="91"/>
      <c r="BB93" s="91"/>
      <c r="BC93" s="76">
        <f t="shared" si="18"/>
        <v>0</v>
      </c>
      <c r="BD93" s="76">
        <f t="shared" si="19"/>
        <v>0</v>
      </c>
      <c r="BE93" s="76">
        <f t="shared" si="14"/>
        <v>0</v>
      </c>
    </row>
    <row r="94" spans="1:57" ht="14" x14ac:dyDescent="0.25">
      <c r="A94" s="64">
        <f t="shared" si="13"/>
        <v>90</v>
      </c>
      <c r="B94" s="63" t="s">
        <v>216</v>
      </c>
      <c r="C94" s="59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66"/>
      <c r="Q94" s="66"/>
      <c r="R94" s="66"/>
      <c r="S94" s="66"/>
      <c r="T94" s="66"/>
      <c r="U94" s="66"/>
      <c r="V94" s="66">
        <v>50000000</v>
      </c>
      <c r="W94" s="66"/>
      <c r="X94" s="66"/>
      <c r="Y94" s="66">
        <v>6250000</v>
      </c>
      <c r="Z94" s="66"/>
      <c r="AA94" s="66"/>
      <c r="AB94" s="56">
        <f t="shared" si="15"/>
        <v>50000000</v>
      </c>
      <c r="AC94" s="56">
        <f t="shared" si="16"/>
        <v>6250000</v>
      </c>
      <c r="AD94" s="66">
        <f t="shared" si="17"/>
        <v>43750000</v>
      </c>
      <c r="AE94" s="74"/>
      <c r="AF94" s="74">
        <v>6250000</v>
      </c>
      <c r="AG94" s="74"/>
      <c r="AH94" s="74">
        <v>6250000</v>
      </c>
      <c r="AI94" s="74"/>
      <c r="AJ94" s="92">
        <v>6250000</v>
      </c>
      <c r="AK94" s="74"/>
      <c r="AL94" s="74">
        <v>6250000</v>
      </c>
      <c r="AM94" s="74"/>
      <c r="AN94" s="74">
        <v>6250000</v>
      </c>
      <c r="AO94" s="91"/>
      <c r="AP94" s="91">
        <v>6250000</v>
      </c>
      <c r="AQ94" s="91"/>
      <c r="AR94" s="92">
        <v>6250000</v>
      </c>
      <c r="AS94" s="92"/>
      <c r="AT94" s="91">
        <v>0</v>
      </c>
      <c r="AU94" s="91"/>
      <c r="AV94" s="91"/>
      <c r="AW94" s="91"/>
      <c r="AX94" s="91"/>
      <c r="AY94" s="91"/>
      <c r="AZ94" s="91"/>
      <c r="BA94" s="91"/>
      <c r="BB94" s="91"/>
      <c r="BC94" s="76">
        <f t="shared" si="18"/>
        <v>0</v>
      </c>
      <c r="BD94" s="76">
        <f t="shared" si="19"/>
        <v>43750000</v>
      </c>
      <c r="BE94" s="76">
        <f t="shared" si="14"/>
        <v>0</v>
      </c>
    </row>
    <row r="95" spans="1:57" ht="14" x14ac:dyDescent="0.25">
      <c r="A95" s="64">
        <f t="shared" si="13"/>
        <v>91</v>
      </c>
      <c r="B95" s="63" t="s">
        <v>109</v>
      </c>
      <c r="C95" s="59">
        <v>33333331</v>
      </c>
      <c r="D95" s="56"/>
      <c r="E95" s="56">
        <v>1388889</v>
      </c>
      <c r="F95" s="56"/>
      <c r="G95" s="56">
        <v>1388889</v>
      </c>
      <c r="H95" s="56"/>
      <c r="I95" s="56">
        <v>1388889</v>
      </c>
      <c r="J95" s="56"/>
      <c r="K95" s="56">
        <v>1388889</v>
      </c>
      <c r="L95" s="56"/>
      <c r="M95" s="56">
        <v>1388889</v>
      </c>
      <c r="N95" s="56"/>
      <c r="O95" s="56">
        <v>1388889</v>
      </c>
      <c r="P95" s="66"/>
      <c r="Q95" s="56">
        <v>1388889</v>
      </c>
      <c r="R95" s="66"/>
      <c r="S95" s="56">
        <v>1388889</v>
      </c>
      <c r="T95" s="66"/>
      <c r="U95" s="56">
        <v>1388889</v>
      </c>
      <c r="V95" s="66"/>
      <c r="W95" s="56">
        <v>1388889</v>
      </c>
      <c r="X95" s="66"/>
      <c r="Y95" s="56">
        <v>1388889</v>
      </c>
      <c r="Z95" s="66">
        <v>50000000</v>
      </c>
      <c r="AA95" s="56">
        <f>18055556-4</f>
        <v>18055552</v>
      </c>
      <c r="AB95" s="56">
        <f t="shared" si="15"/>
        <v>50000000</v>
      </c>
      <c r="AC95" s="56">
        <f t="shared" si="16"/>
        <v>33333331</v>
      </c>
      <c r="AD95" s="66">
        <f>C95+AB95-AC95</f>
        <v>50000000</v>
      </c>
      <c r="AE95" s="74"/>
      <c r="AF95" s="74">
        <v>2083333</v>
      </c>
      <c r="AG95" s="74"/>
      <c r="AH95" s="74">
        <v>2083333</v>
      </c>
      <c r="AI95" s="74"/>
      <c r="AJ95" s="92">
        <v>2083333</v>
      </c>
      <c r="AK95" s="74"/>
      <c r="AL95" s="74">
        <v>2083333</v>
      </c>
      <c r="AM95" s="74"/>
      <c r="AN95" s="74">
        <v>2083333</v>
      </c>
      <c r="AO95" s="91"/>
      <c r="AP95" s="91">
        <v>6250000</v>
      </c>
      <c r="AQ95" s="91"/>
      <c r="AR95" s="92">
        <v>6250000</v>
      </c>
      <c r="AS95" s="92"/>
      <c r="AT95" s="92">
        <v>6250000</v>
      </c>
      <c r="AU95" s="92"/>
      <c r="AV95" s="92">
        <v>6250000</v>
      </c>
      <c r="AW95" s="92"/>
      <c r="AX95" s="92">
        <v>6250000</v>
      </c>
      <c r="AY95" s="92"/>
      <c r="AZ95" s="92">
        <v>6250000</v>
      </c>
      <c r="BA95" s="92"/>
      <c r="BB95" s="92">
        <f>VLOOKUP(B95,'[1]Reguler &amp; Khusus'!$B$8:$D$57,3,0)</f>
        <v>6250000</v>
      </c>
      <c r="BC95" s="76">
        <f t="shared" si="18"/>
        <v>0</v>
      </c>
      <c r="BD95" s="76">
        <f t="shared" si="19"/>
        <v>54166665</v>
      </c>
      <c r="BE95" s="76">
        <f t="shared" si="14"/>
        <v>-4166665</v>
      </c>
    </row>
    <row r="96" spans="1:57" ht="14" x14ac:dyDescent="0.25">
      <c r="A96" s="64">
        <f t="shared" si="13"/>
        <v>92</v>
      </c>
      <c r="B96" s="63" t="s">
        <v>110</v>
      </c>
      <c r="C96" s="59">
        <v>96666659</v>
      </c>
      <c r="D96" s="56"/>
      <c r="E96" s="56">
        <v>1666667</v>
      </c>
      <c r="F96" s="56"/>
      <c r="G96" s="56">
        <v>1666667</v>
      </c>
      <c r="H96" s="56"/>
      <c r="I96" s="56">
        <v>1666667</v>
      </c>
      <c r="J96" s="56"/>
      <c r="K96" s="56">
        <v>1666667</v>
      </c>
      <c r="L96" s="56"/>
      <c r="M96" s="56">
        <v>1666667</v>
      </c>
      <c r="N96" s="56"/>
      <c r="O96" s="56">
        <v>1666667</v>
      </c>
      <c r="P96" s="66"/>
      <c r="Q96" s="56">
        <v>1666667</v>
      </c>
      <c r="R96" s="66"/>
      <c r="S96" s="56">
        <v>1666667</v>
      </c>
      <c r="T96" s="66"/>
      <c r="U96" s="56">
        <v>1666667</v>
      </c>
      <c r="V96" s="66"/>
      <c r="W96" s="56">
        <v>1666667</v>
      </c>
      <c r="X96" s="66"/>
      <c r="Y96" s="56">
        <v>1666667</v>
      </c>
      <c r="Z96" s="66"/>
      <c r="AA96" s="56">
        <v>1666667</v>
      </c>
      <c r="AB96" s="56">
        <f t="shared" si="15"/>
        <v>0</v>
      </c>
      <c r="AC96" s="56">
        <f t="shared" si="16"/>
        <v>20000004</v>
      </c>
      <c r="AD96" s="66">
        <f t="shared" si="17"/>
        <v>76666655</v>
      </c>
      <c r="AE96" s="74"/>
      <c r="AF96" s="74">
        <v>1666667</v>
      </c>
      <c r="AG96" s="74"/>
      <c r="AH96" s="74">
        <v>1666667</v>
      </c>
      <c r="AI96" s="74"/>
      <c r="AJ96" s="92">
        <v>1666667</v>
      </c>
      <c r="AK96" s="74"/>
      <c r="AL96" s="74">
        <v>1666667</v>
      </c>
      <c r="AM96" s="74"/>
      <c r="AN96" s="74">
        <v>1666667</v>
      </c>
      <c r="AO96" s="91"/>
      <c r="AP96" s="91">
        <v>1666667</v>
      </c>
      <c r="AQ96" s="91"/>
      <c r="AR96" s="92">
        <v>1666667</v>
      </c>
      <c r="AS96" s="92"/>
      <c r="AT96" s="92">
        <v>1666667</v>
      </c>
      <c r="AU96" s="92"/>
      <c r="AV96" s="92">
        <v>1666667</v>
      </c>
      <c r="AW96" s="92"/>
      <c r="AX96" s="92">
        <v>1666667</v>
      </c>
      <c r="AY96" s="92"/>
      <c r="AZ96" s="92">
        <v>1666667</v>
      </c>
      <c r="BA96" s="92"/>
      <c r="BB96" s="92">
        <f>VLOOKUP(B96,'[1]Reguler &amp; Khusus'!$B$8:$D$57,3,0)</f>
        <v>1666667</v>
      </c>
      <c r="BC96" s="76">
        <f t="shared" si="18"/>
        <v>0</v>
      </c>
      <c r="BD96" s="76">
        <f t="shared" si="19"/>
        <v>20000004</v>
      </c>
      <c r="BE96" s="76">
        <f t="shared" si="14"/>
        <v>56666651</v>
      </c>
    </row>
    <row r="97" spans="1:57" ht="14" x14ac:dyDescent="0.25">
      <c r="A97" s="64">
        <f t="shared" si="13"/>
        <v>93</v>
      </c>
      <c r="B97" s="63" t="s">
        <v>111</v>
      </c>
      <c r="C97" s="59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56">
        <f t="shared" si="15"/>
        <v>0</v>
      </c>
      <c r="AC97" s="56">
        <f t="shared" si="16"/>
        <v>0</v>
      </c>
      <c r="AD97" s="66">
        <f t="shared" si="17"/>
        <v>0</v>
      </c>
      <c r="AE97" s="74"/>
      <c r="AF97" s="74">
        <v>0</v>
      </c>
      <c r="AG97" s="74"/>
      <c r="AH97" s="74">
        <v>0</v>
      </c>
      <c r="AI97" s="74"/>
      <c r="AJ97" s="74">
        <v>0</v>
      </c>
      <c r="AK97" s="74"/>
      <c r="AL97" s="74">
        <v>0</v>
      </c>
      <c r="AM97" s="74"/>
      <c r="AN97" s="74">
        <v>0</v>
      </c>
      <c r="AO97" s="91"/>
      <c r="AP97" s="91">
        <v>0</v>
      </c>
      <c r="AQ97" s="91"/>
      <c r="AR97" s="91">
        <v>0</v>
      </c>
      <c r="AS97" s="91"/>
      <c r="AT97" s="91">
        <v>0</v>
      </c>
      <c r="AU97" s="91"/>
      <c r="AV97" s="91"/>
      <c r="AW97" s="91"/>
      <c r="AX97" s="91"/>
      <c r="AY97" s="91"/>
      <c r="AZ97" s="91"/>
      <c r="BA97" s="91"/>
      <c r="BB97" s="91"/>
      <c r="BC97" s="76">
        <f t="shared" si="18"/>
        <v>0</v>
      </c>
      <c r="BD97" s="76">
        <f t="shared" si="19"/>
        <v>0</v>
      </c>
      <c r="BE97" s="76">
        <f t="shared" si="14"/>
        <v>0</v>
      </c>
    </row>
    <row r="98" spans="1:57" ht="14" x14ac:dyDescent="0.25">
      <c r="A98" s="64">
        <f t="shared" si="13"/>
        <v>94</v>
      </c>
      <c r="B98" s="63" t="s">
        <v>112</v>
      </c>
      <c r="C98" s="59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56">
        <f t="shared" si="15"/>
        <v>0</v>
      </c>
      <c r="AC98" s="56">
        <f t="shared" si="16"/>
        <v>0</v>
      </c>
      <c r="AD98" s="66">
        <f t="shared" si="17"/>
        <v>0</v>
      </c>
      <c r="AE98" s="74"/>
      <c r="AF98" s="74">
        <v>0</v>
      </c>
      <c r="AG98" s="74"/>
      <c r="AH98" s="74">
        <v>0</v>
      </c>
      <c r="AI98" s="74"/>
      <c r="AJ98" s="74">
        <v>0</v>
      </c>
      <c r="AK98" s="74"/>
      <c r="AL98" s="74">
        <v>0</v>
      </c>
      <c r="AM98" s="74"/>
      <c r="AN98" s="74">
        <v>0</v>
      </c>
      <c r="AO98" s="91"/>
      <c r="AP98" s="91">
        <v>0</v>
      </c>
      <c r="AQ98" s="91"/>
      <c r="AR98" s="91">
        <v>0</v>
      </c>
      <c r="AS98" s="91"/>
      <c r="AT98" s="91">
        <v>0</v>
      </c>
      <c r="AU98" s="91"/>
      <c r="AV98" s="91"/>
      <c r="AW98" s="91"/>
      <c r="AX98" s="91"/>
      <c r="AY98" s="91"/>
      <c r="AZ98" s="91"/>
      <c r="BA98" s="91"/>
      <c r="BB98" s="91"/>
      <c r="BC98" s="76">
        <f t="shared" si="18"/>
        <v>0</v>
      </c>
      <c r="BD98" s="76">
        <f t="shared" si="19"/>
        <v>0</v>
      </c>
      <c r="BE98" s="76">
        <f t="shared" si="14"/>
        <v>0</v>
      </c>
    </row>
    <row r="99" spans="1:57" ht="14" x14ac:dyDescent="0.25">
      <c r="A99" s="64">
        <f t="shared" si="13"/>
        <v>95</v>
      </c>
      <c r="B99" s="63" t="s">
        <v>113</v>
      </c>
      <c r="C99" s="59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56">
        <f t="shared" si="15"/>
        <v>0</v>
      </c>
      <c r="AC99" s="56">
        <f t="shared" si="16"/>
        <v>0</v>
      </c>
      <c r="AD99" s="66">
        <f t="shared" si="17"/>
        <v>0</v>
      </c>
      <c r="AE99" s="74"/>
      <c r="AF99" s="74">
        <v>0</v>
      </c>
      <c r="AG99" s="74"/>
      <c r="AH99" s="74">
        <v>0</v>
      </c>
      <c r="AI99" s="74"/>
      <c r="AJ99" s="74">
        <v>0</v>
      </c>
      <c r="AK99" s="74"/>
      <c r="AL99" s="74">
        <v>0</v>
      </c>
      <c r="AM99" s="74"/>
      <c r="AN99" s="74">
        <v>0</v>
      </c>
      <c r="AO99" s="91"/>
      <c r="AP99" s="91">
        <v>0</v>
      </c>
      <c r="AQ99" s="91"/>
      <c r="AR99" s="91">
        <v>0</v>
      </c>
      <c r="AS99" s="91"/>
      <c r="AT99" s="91">
        <v>0</v>
      </c>
      <c r="AU99" s="91"/>
      <c r="AV99" s="91"/>
      <c r="AW99" s="91"/>
      <c r="AX99" s="91"/>
      <c r="AY99" s="91"/>
      <c r="AZ99" s="91"/>
      <c r="BA99" s="91"/>
      <c r="BB99" s="91"/>
      <c r="BC99" s="76">
        <f t="shared" si="18"/>
        <v>0</v>
      </c>
      <c r="BD99" s="76">
        <f t="shared" si="19"/>
        <v>0</v>
      </c>
      <c r="BE99" s="76">
        <f t="shared" si="14"/>
        <v>0</v>
      </c>
    </row>
    <row r="100" spans="1:57" s="87" customFormat="1" ht="14" x14ac:dyDescent="0.25">
      <c r="A100" s="81">
        <f t="shared" si="13"/>
        <v>96</v>
      </c>
      <c r="B100" s="82" t="s">
        <v>158</v>
      </c>
      <c r="C100" s="83"/>
      <c r="D100" s="84"/>
      <c r="E100" s="84"/>
      <c r="F100" s="84"/>
      <c r="G100" s="84"/>
      <c r="H100" s="84"/>
      <c r="I100" s="84"/>
      <c r="J100" s="84"/>
      <c r="K100" s="84"/>
      <c r="L100" s="84">
        <v>20000000</v>
      </c>
      <c r="M100" s="84"/>
      <c r="N100" s="84"/>
      <c r="O100" s="84">
        <v>833333</v>
      </c>
      <c r="P100" s="85"/>
      <c r="Q100" s="84">
        <v>833333</v>
      </c>
      <c r="R100" s="85"/>
      <c r="S100" s="84">
        <v>833333</v>
      </c>
      <c r="T100" s="85"/>
      <c r="U100" s="84">
        <v>833333</v>
      </c>
      <c r="V100" s="85"/>
      <c r="W100" s="84">
        <v>833333</v>
      </c>
      <c r="X100" s="85"/>
      <c r="Y100" s="84">
        <v>833333</v>
      </c>
      <c r="Z100" s="85"/>
      <c r="AA100" s="84">
        <v>833333</v>
      </c>
      <c r="AB100" s="84">
        <f t="shared" si="15"/>
        <v>20000000</v>
      </c>
      <c r="AC100" s="84">
        <f t="shared" si="16"/>
        <v>5833331</v>
      </c>
      <c r="AD100" s="85">
        <f t="shared" si="17"/>
        <v>14166669</v>
      </c>
      <c r="AE100" s="86"/>
      <c r="AF100" s="86">
        <v>833333</v>
      </c>
      <c r="AG100" s="86"/>
      <c r="AH100" s="86">
        <v>833333</v>
      </c>
      <c r="AI100" s="86"/>
      <c r="AJ100" s="74">
        <v>833333</v>
      </c>
      <c r="AK100" s="86"/>
      <c r="AL100" s="74">
        <v>833333</v>
      </c>
      <c r="AM100" s="86"/>
      <c r="AN100" s="74">
        <v>833333</v>
      </c>
      <c r="AO100" s="86"/>
      <c r="AP100" s="91">
        <v>833333</v>
      </c>
      <c r="AQ100" s="91"/>
      <c r="AR100" s="93">
        <v>833333</v>
      </c>
      <c r="AS100" s="93"/>
      <c r="AT100" s="91">
        <v>833333</v>
      </c>
      <c r="AU100" s="91"/>
      <c r="AV100" s="91">
        <v>833333</v>
      </c>
      <c r="AW100" s="91"/>
      <c r="AX100" s="91">
        <v>833333</v>
      </c>
      <c r="AY100" s="91"/>
      <c r="AZ100" s="91">
        <v>833333</v>
      </c>
      <c r="BA100" s="91"/>
      <c r="BB100" s="91">
        <v>833333</v>
      </c>
      <c r="BC100" s="76">
        <f t="shared" si="18"/>
        <v>0</v>
      </c>
      <c r="BD100" s="76">
        <f t="shared" si="19"/>
        <v>9999996</v>
      </c>
      <c r="BE100" s="76">
        <f t="shared" si="14"/>
        <v>4166673</v>
      </c>
    </row>
    <row r="101" spans="1:57" ht="14" x14ac:dyDescent="0.25">
      <c r="A101" s="64">
        <f t="shared" si="13"/>
        <v>97</v>
      </c>
      <c r="B101" s="63" t="s">
        <v>114</v>
      </c>
      <c r="C101" s="59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56">
        <f t="shared" si="15"/>
        <v>0</v>
      </c>
      <c r="AC101" s="56">
        <f t="shared" si="16"/>
        <v>0</v>
      </c>
      <c r="AD101" s="66">
        <f t="shared" si="17"/>
        <v>0</v>
      </c>
      <c r="AE101" s="74"/>
      <c r="AF101" s="74">
        <v>0</v>
      </c>
      <c r="AG101" s="74"/>
      <c r="AH101" s="74">
        <v>0</v>
      </c>
      <c r="AI101" s="74"/>
      <c r="AJ101" s="74">
        <v>0</v>
      </c>
      <c r="AK101" s="74"/>
      <c r="AL101" s="74">
        <v>0</v>
      </c>
      <c r="AM101" s="74"/>
      <c r="AN101" s="74">
        <v>0</v>
      </c>
      <c r="AO101" s="91"/>
      <c r="AP101" s="91">
        <v>0</v>
      </c>
      <c r="AQ101" s="91"/>
      <c r="AR101" s="91">
        <v>0</v>
      </c>
      <c r="AS101" s="91"/>
      <c r="AT101" s="91">
        <v>0</v>
      </c>
      <c r="AU101" s="91"/>
      <c r="AV101" s="91"/>
      <c r="AW101" s="91"/>
      <c r="AX101" s="91"/>
      <c r="AY101" s="91"/>
      <c r="AZ101" s="91"/>
      <c r="BA101" s="91"/>
      <c r="BB101" s="91"/>
      <c r="BC101" s="76">
        <f t="shared" si="18"/>
        <v>0</v>
      </c>
      <c r="BD101" s="76">
        <f t="shared" si="19"/>
        <v>0</v>
      </c>
      <c r="BE101" s="76">
        <f t="shared" si="14"/>
        <v>0</v>
      </c>
    </row>
    <row r="102" spans="1:57" ht="14" x14ac:dyDescent="0.25">
      <c r="A102" s="64">
        <f t="shared" si="13"/>
        <v>98</v>
      </c>
      <c r="B102" s="63" t="s">
        <v>115</v>
      </c>
      <c r="C102" s="59">
        <v>23500008</v>
      </c>
      <c r="D102" s="56"/>
      <c r="E102" s="56">
        <v>1333333</v>
      </c>
      <c r="F102" s="56"/>
      <c r="G102" s="56">
        <v>1333333</v>
      </c>
      <c r="H102" s="56"/>
      <c r="I102" s="56">
        <v>1333333</v>
      </c>
      <c r="J102" s="56"/>
      <c r="K102" s="56">
        <f>1500000+1333333</f>
        <v>2833333</v>
      </c>
      <c r="L102" s="56"/>
      <c r="M102" s="56">
        <v>833333</v>
      </c>
      <c r="N102" s="56"/>
      <c r="O102" s="56">
        <v>833333</v>
      </c>
      <c r="P102" s="66"/>
      <c r="Q102" s="56">
        <v>833333</v>
      </c>
      <c r="R102" s="66"/>
      <c r="S102" s="56">
        <v>833333</v>
      </c>
      <c r="T102" s="66"/>
      <c r="U102" s="56">
        <v>833333</v>
      </c>
      <c r="V102" s="66"/>
      <c r="W102" s="56">
        <v>833333</v>
      </c>
      <c r="X102" s="66"/>
      <c r="Y102" s="56">
        <v>833333</v>
      </c>
      <c r="Z102" s="66">
        <f>27604167+17000000</f>
        <v>44604167</v>
      </c>
      <c r="AA102" s="56">
        <f>10000000+10000000+6395833+833333</f>
        <v>27229166</v>
      </c>
      <c r="AB102" s="56">
        <f t="shared" si="15"/>
        <v>44604167</v>
      </c>
      <c r="AC102" s="56">
        <f t="shared" si="16"/>
        <v>39895829</v>
      </c>
      <c r="AD102" s="66">
        <f t="shared" si="17"/>
        <v>28208346</v>
      </c>
      <c r="AE102" s="74"/>
      <c r="AF102" s="74">
        <v>1150174</v>
      </c>
      <c r="AG102" s="74"/>
      <c r="AH102" s="74">
        <v>1150174</v>
      </c>
      <c r="AI102" s="74"/>
      <c r="AJ102" s="92">
        <v>1150174</v>
      </c>
      <c r="AK102" s="74"/>
      <c r="AL102" s="74">
        <v>1150174</v>
      </c>
      <c r="AM102" s="74"/>
      <c r="AN102" s="74">
        <v>1150174</v>
      </c>
      <c r="AO102" s="91"/>
      <c r="AP102" s="91">
        <v>1150174</v>
      </c>
      <c r="AQ102" s="91"/>
      <c r="AR102" s="92">
        <v>1150174</v>
      </c>
      <c r="AS102" s="92"/>
      <c r="AT102" s="92">
        <v>1150174</v>
      </c>
      <c r="AU102" s="92"/>
      <c r="AV102" s="92">
        <v>1150174</v>
      </c>
      <c r="AW102" s="92"/>
      <c r="AX102" s="92">
        <v>1150174</v>
      </c>
      <c r="AY102" s="92"/>
      <c r="AZ102" s="92">
        <v>1150174</v>
      </c>
      <c r="BA102" s="92"/>
      <c r="BB102" s="92">
        <f>VLOOKUP(B102,'[1]Reguler &amp; Khusus'!$B$8:$D$57,3,0)</f>
        <v>1150174</v>
      </c>
      <c r="BC102" s="76">
        <f t="shared" si="18"/>
        <v>0</v>
      </c>
      <c r="BD102" s="76">
        <f t="shared" si="19"/>
        <v>13802088</v>
      </c>
      <c r="BE102" s="76">
        <f t="shared" si="14"/>
        <v>14406258</v>
      </c>
    </row>
    <row r="103" spans="1:57" ht="14" x14ac:dyDescent="0.25">
      <c r="A103" s="64">
        <f t="shared" si="13"/>
        <v>99</v>
      </c>
      <c r="B103" s="63" t="s">
        <v>116</v>
      </c>
      <c r="C103" s="59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56">
        <f t="shared" si="15"/>
        <v>0</v>
      </c>
      <c r="AC103" s="56">
        <f t="shared" si="16"/>
        <v>0</v>
      </c>
      <c r="AD103" s="66">
        <f t="shared" si="17"/>
        <v>0</v>
      </c>
      <c r="AE103" s="74"/>
      <c r="AF103" s="74">
        <v>0</v>
      </c>
      <c r="AG103" s="74"/>
      <c r="AH103" s="74">
        <v>0</v>
      </c>
      <c r="AI103" s="74"/>
      <c r="AJ103" s="74">
        <v>0</v>
      </c>
      <c r="AK103" s="74"/>
      <c r="AL103" s="74">
        <v>0</v>
      </c>
      <c r="AM103" s="74"/>
      <c r="AN103" s="74">
        <v>0</v>
      </c>
      <c r="AO103" s="91"/>
      <c r="AP103" s="91">
        <v>0</v>
      </c>
      <c r="AQ103" s="91"/>
      <c r="AR103" s="91">
        <v>0</v>
      </c>
      <c r="AS103" s="91"/>
      <c r="AT103" s="91">
        <v>0</v>
      </c>
      <c r="AU103" s="91"/>
      <c r="AV103" s="91"/>
      <c r="AW103" s="91"/>
      <c r="AX103" s="91"/>
      <c r="AY103" s="91"/>
      <c r="AZ103" s="91"/>
      <c r="BA103" s="91"/>
      <c r="BB103" s="91"/>
      <c r="BC103" s="76">
        <f t="shared" si="18"/>
        <v>0</v>
      </c>
      <c r="BD103" s="76">
        <f t="shared" si="19"/>
        <v>0</v>
      </c>
      <c r="BE103" s="76">
        <f t="shared" si="14"/>
        <v>0</v>
      </c>
    </row>
    <row r="104" spans="1:57" ht="14" x14ac:dyDescent="0.25">
      <c r="A104" s="64">
        <f t="shared" si="13"/>
        <v>100</v>
      </c>
      <c r="B104" s="63" t="s">
        <v>117</v>
      </c>
      <c r="C104" s="59"/>
      <c r="D104" s="56"/>
      <c r="E104" s="56"/>
      <c r="F104" s="56">
        <v>55400000</v>
      </c>
      <c r="G104" s="56"/>
      <c r="H104" s="56"/>
      <c r="I104" s="56">
        <v>5540000</v>
      </c>
      <c r="J104" s="56"/>
      <c r="K104" s="56">
        <v>5540000</v>
      </c>
      <c r="L104" s="56"/>
      <c r="M104" s="56">
        <v>5540000</v>
      </c>
      <c r="N104" s="56"/>
      <c r="O104" s="56">
        <v>5540000</v>
      </c>
      <c r="P104" s="66"/>
      <c r="Q104" s="56">
        <v>5540000</v>
      </c>
      <c r="R104" s="66"/>
      <c r="S104" s="56">
        <v>5540000</v>
      </c>
      <c r="T104" s="66"/>
      <c r="U104" s="56">
        <v>5540000</v>
      </c>
      <c r="V104" s="66"/>
      <c r="W104" s="56">
        <v>5540000</v>
      </c>
      <c r="X104" s="66"/>
      <c r="Y104" s="56">
        <v>5540000</v>
      </c>
      <c r="Z104" s="66"/>
      <c r="AA104" s="56">
        <v>5540000</v>
      </c>
      <c r="AB104" s="56">
        <f t="shared" si="15"/>
        <v>55400000</v>
      </c>
      <c r="AC104" s="56">
        <f t="shared" si="16"/>
        <v>55400000</v>
      </c>
      <c r="AD104" s="66">
        <f t="shared" si="17"/>
        <v>0</v>
      </c>
      <c r="AE104" s="74"/>
      <c r="AF104" s="74">
        <v>0</v>
      </c>
      <c r="AG104" s="74"/>
      <c r="AH104" s="74">
        <v>0</v>
      </c>
      <c r="AI104" s="74"/>
      <c r="AJ104" s="74">
        <v>0</v>
      </c>
      <c r="AK104" s="74"/>
      <c r="AL104" s="74">
        <v>0</v>
      </c>
      <c r="AM104" s="74"/>
      <c r="AN104" s="74">
        <v>0</v>
      </c>
      <c r="AO104" s="91"/>
      <c r="AP104" s="91">
        <v>0</v>
      </c>
      <c r="AQ104" s="91"/>
      <c r="AR104" s="91">
        <v>0</v>
      </c>
      <c r="AS104" s="91"/>
      <c r="AT104" s="91">
        <v>0</v>
      </c>
      <c r="AU104" s="91"/>
      <c r="AV104" s="91"/>
      <c r="AW104" s="91"/>
      <c r="AX104" s="91"/>
      <c r="AY104" s="91"/>
      <c r="AZ104" s="91"/>
      <c r="BA104" s="91"/>
      <c r="BB104" s="91"/>
      <c r="BC104" s="76">
        <f t="shared" si="18"/>
        <v>0</v>
      </c>
      <c r="BD104" s="76">
        <f t="shared" si="19"/>
        <v>0</v>
      </c>
      <c r="BE104" s="76">
        <f t="shared" si="14"/>
        <v>0</v>
      </c>
    </row>
    <row r="105" spans="1:57" ht="14" x14ac:dyDescent="0.25">
      <c r="A105" s="64">
        <f t="shared" si="13"/>
        <v>101</v>
      </c>
      <c r="B105" s="63" t="s">
        <v>118</v>
      </c>
      <c r="C105" s="59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56">
        <f t="shared" si="15"/>
        <v>0</v>
      </c>
      <c r="AC105" s="56">
        <f t="shared" si="16"/>
        <v>0</v>
      </c>
      <c r="AD105" s="66">
        <f t="shared" si="17"/>
        <v>0</v>
      </c>
      <c r="AE105" s="74"/>
      <c r="AF105" s="74">
        <v>0</v>
      </c>
      <c r="AG105" s="74"/>
      <c r="AH105" s="74">
        <v>0</v>
      </c>
      <c r="AI105" s="74"/>
      <c r="AJ105" s="74">
        <v>0</v>
      </c>
      <c r="AK105" s="74"/>
      <c r="AL105" s="74">
        <v>0</v>
      </c>
      <c r="AM105" s="74"/>
      <c r="AN105" s="74">
        <v>0</v>
      </c>
      <c r="AO105" s="91"/>
      <c r="AP105" s="91">
        <v>0</v>
      </c>
      <c r="AQ105" s="91"/>
      <c r="AR105" s="91">
        <v>0</v>
      </c>
      <c r="AS105" s="91"/>
      <c r="AT105" s="91">
        <v>0</v>
      </c>
      <c r="AU105" s="91"/>
      <c r="AV105" s="91"/>
      <c r="AW105" s="91"/>
      <c r="AX105" s="91"/>
      <c r="AY105" s="91"/>
      <c r="AZ105" s="91"/>
      <c r="BA105" s="91"/>
      <c r="BB105" s="91"/>
      <c r="BC105" s="76">
        <f t="shared" si="18"/>
        <v>0</v>
      </c>
      <c r="BD105" s="76">
        <f t="shared" si="19"/>
        <v>0</v>
      </c>
      <c r="BE105" s="76">
        <f t="shared" si="14"/>
        <v>0</v>
      </c>
    </row>
    <row r="106" spans="1:57" ht="14" x14ac:dyDescent="0.25">
      <c r="A106" s="64">
        <f t="shared" si="13"/>
        <v>102</v>
      </c>
      <c r="B106" s="63" t="s">
        <v>119</v>
      </c>
      <c r="C106" s="59">
        <v>394304</v>
      </c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56">
        <f t="shared" si="15"/>
        <v>0</v>
      </c>
      <c r="AC106" s="56">
        <f t="shared" si="16"/>
        <v>0</v>
      </c>
      <c r="AD106" s="66">
        <f t="shared" si="17"/>
        <v>394304</v>
      </c>
      <c r="AE106" s="74"/>
      <c r="AF106" s="74">
        <v>0</v>
      </c>
      <c r="AG106" s="74"/>
      <c r="AH106" s="74">
        <v>0</v>
      </c>
      <c r="AI106" s="74"/>
      <c r="AJ106" s="74">
        <v>0</v>
      </c>
      <c r="AK106" s="74"/>
      <c r="AL106" s="74">
        <v>0</v>
      </c>
      <c r="AM106" s="74"/>
      <c r="AN106" s="74">
        <v>0</v>
      </c>
      <c r="AO106" s="91"/>
      <c r="AP106" s="91">
        <v>0</v>
      </c>
      <c r="AQ106" s="91"/>
      <c r="AR106" s="91">
        <v>0</v>
      </c>
      <c r="AS106" s="91"/>
      <c r="AT106" s="91">
        <v>0</v>
      </c>
      <c r="AU106" s="91"/>
      <c r="AV106" s="91"/>
      <c r="AW106" s="91"/>
      <c r="AX106" s="91"/>
      <c r="AY106" s="91"/>
      <c r="AZ106" s="91"/>
      <c r="BA106" s="91"/>
      <c r="BB106" s="91"/>
      <c r="BC106" s="76">
        <f t="shared" si="18"/>
        <v>0</v>
      </c>
      <c r="BD106" s="76">
        <f t="shared" si="19"/>
        <v>0</v>
      </c>
      <c r="BE106" s="76">
        <f t="shared" si="14"/>
        <v>394304</v>
      </c>
    </row>
    <row r="107" spans="1:57" s="99" customFormat="1" ht="14" x14ac:dyDescent="0.25">
      <c r="A107" s="94">
        <f t="shared" si="13"/>
        <v>103</v>
      </c>
      <c r="B107" s="95" t="s">
        <v>199</v>
      </c>
      <c r="C107" s="96">
        <v>33333332</v>
      </c>
      <c r="D107" s="97"/>
      <c r="E107" s="97">
        <v>1388889</v>
      </c>
      <c r="F107" s="97"/>
      <c r="G107" s="97">
        <v>1388889</v>
      </c>
      <c r="H107" s="97"/>
      <c r="I107" s="97">
        <v>1388889</v>
      </c>
      <c r="J107" s="97"/>
      <c r="K107" s="97">
        <v>1388889</v>
      </c>
      <c r="L107" s="97">
        <v>50000000</v>
      </c>
      <c r="M107" s="97">
        <f>26388889+1388889</f>
        <v>27777778</v>
      </c>
      <c r="N107" s="97"/>
      <c r="O107" s="97">
        <v>833333</v>
      </c>
      <c r="P107" s="98"/>
      <c r="Q107" s="97">
        <v>833333</v>
      </c>
      <c r="R107" s="98"/>
      <c r="S107" s="97">
        <v>833333</v>
      </c>
      <c r="T107" s="98"/>
      <c r="U107" s="97">
        <v>833333</v>
      </c>
      <c r="V107" s="98"/>
      <c r="W107" s="97">
        <v>833333</v>
      </c>
      <c r="X107" s="98"/>
      <c r="Y107" s="97">
        <v>833333</v>
      </c>
      <c r="Z107" s="98"/>
      <c r="AA107" s="97">
        <v>833333</v>
      </c>
      <c r="AB107" s="97">
        <f t="shared" si="15"/>
        <v>50000000</v>
      </c>
      <c r="AC107" s="97">
        <f t="shared" si="16"/>
        <v>39166665</v>
      </c>
      <c r="AD107" s="98">
        <f t="shared" si="17"/>
        <v>44166667</v>
      </c>
      <c r="AE107" s="92"/>
      <c r="AF107" s="92">
        <v>833333</v>
      </c>
      <c r="AG107" s="92"/>
      <c r="AH107" s="92">
        <v>833333</v>
      </c>
      <c r="AI107" s="92"/>
      <c r="AJ107" s="92">
        <v>833333</v>
      </c>
      <c r="AK107" s="92"/>
      <c r="AL107" s="92">
        <v>833333</v>
      </c>
      <c r="AM107" s="103"/>
      <c r="AN107" s="92">
        <v>833333</v>
      </c>
      <c r="AO107" s="92"/>
      <c r="AP107" s="92">
        <v>833333</v>
      </c>
      <c r="AQ107" s="92"/>
      <c r="AR107" s="92">
        <v>833333</v>
      </c>
      <c r="AS107" s="92">
        <v>50000000</v>
      </c>
      <c r="AT107" s="92">
        <f>37500000+833333</f>
        <v>38333333</v>
      </c>
      <c r="AU107" s="92"/>
      <c r="AV107" s="92">
        <v>833333</v>
      </c>
      <c r="AW107" s="92"/>
      <c r="AX107" s="92">
        <v>833333</v>
      </c>
      <c r="AY107" s="92"/>
      <c r="AZ107" s="92">
        <v>833333</v>
      </c>
      <c r="BA107" s="92"/>
      <c r="BB107" s="92">
        <f>VLOOKUP(B107,'[1]Reguler &amp; Khusus'!$B$8:$D$57,3,0)</f>
        <v>833333</v>
      </c>
      <c r="BC107" s="76">
        <f t="shared" si="18"/>
        <v>50000000</v>
      </c>
      <c r="BD107" s="76">
        <f t="shared" si="19"/>
        <v>47499996</v>
      </c>
      <c r="BE107" s="76">
        <f t="shared" si="14"/>
        <v>46666671</v>
      </c>
    </row>
    <row r="108" spans="1:57" ht="14" x14ac:dyDescent="0.25">
      <c r="A108" s="64">
        <f t="shared" si="13"/>
        <v>104</v>
      </c>
      <c r="B108" s="63" t="s">
        <v>121</v>
      </c>
      <c r="C108" s="59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56">
        <f t="shared" si="15"/>
        <v>0</v>
      </c>
      <c r="AC108" s="56">
        <f t="shared" si="16"/>
        <v>0</v>
      </c>
      <c r="AD108" s="66">
        <f t="shared" si="17"/>
        <v>0</v>
      </c>
      <c r="AE108" s="74"/>
      <c r="AF108" s="74">
        <v>0</v>
      </c>
      <c r="AG108" s="74"/>
      <c r="AH108" s="74">
        <v>0</v>
      </c>
      <c r="AI108" s="74"/>
      <c r="AJ108" s="74">
        <v>0</v>
      </c>
      <c r="AK108" s="74"/>
      <c r="AL108" s="74">
        <v>0</v>
      </c>
      <c r="AM108" s="74"/>
      <c r="AN108" s="74">
        <v>0</v>
      </c>
      <c r="AO108" s="91"/>
      <c r="AP108" s="91">
        <v>0</v>
      </c>
      <c r="AQ108" s="91"/>
      <c r="AR108" s="91">
        <v>0</v>
      </c>
      <c r="AS108" s="91"/>
      <c r="AT108" s="91">
        <v>0</v>
      </c>
      <c r="AU108" s="91"/>
      <c r="AV108" s="91"/>
      <c r="AW108" s="91"/>
      <c r="AX108" s="91"/>
      <c r="AY108" s="91"/>
      <c r="AZ108" s="91"/>
      <c r="BA108" s="91"/>
      <c r="BB108" s="91"/>
      <c r="BC108" s="76">
        <f t="shared" si="18"/>
        <v>0</v>
      </c>
      <c r="BD108" s="76">
        <f t="shared" si="19"/>
        <v>0</v>
      </c>
      <c r="BE108" s="76">
        <f t="shared" si="14"/>
        <v>0</v>
      </c>
    </row>
    <row r="109" spans="1:57" ht="14" x14ac:dyDescent="0.25">
      <c r="A109" s="64">
        <f t="shared" si="13"/>
        <v>105</v>
      </c>
      <c r="B109" s="63" t="s">
        <v>249</v>
      </c>
      <c r="C109" s="59">
        <v>47346579</v>
      </c>
      <c r="D109" s="56"/>
      <c r="E109" s="56">
        <f>3333364+6460926</f>
        <v>9794290</v>
      </c>
      <c r="F109" s="56"/>
      <c r="G109" s="56">
        <f>3333364+6460926</f>
        <v>9794290</v>
      </c>
      <c r="H109" s="56"/>
      <c r="I109" s="56">
        <v>9794290</v>
      </c>
      <c r="J109" s="56">
        <v>75000000</v>
      </c>
      <c r="K109" s="56">
        <v>1312506</v>
      </c>
      <c r="L109" s="56">
        <v>25000000</v>
      </c>
      <c r="M109" s="56">
        <v>10833364</v>
      </c>
      <c r="N109" s="56"/>
      <c r="O109" s="56">
        <v>13333364</v>
      </c>
      <c r="P109" s="66"/>
      <c r="Q109" s="56">
        <v>13333364</v>
      </c>
      <c r="R109" s="66"/>
      <c r="S109" s="56">
        <v>13333364</v>
      </c>
      <c r="T109" s="66"/>
      <c r="U109" s="66">
        <v>13317747</v>
      </c>
      <c r="V109" s="66"/>
      <c r="W109" s="66">
        <v>10000000</v>
      </c>
      <c r="X109" s="66"/>
      <c r="Y109" s="66">
        <v>10000000</v>
      </c>
      <c r="Z109" s="66"/>
      <c r="AA109" s="66">
        <v>10000000</v>
      </c>
      <c r="AB109" s="56">
        <f t="shared" si="15"/>
        <v>100000000</v>
      </c>
      <c r="AC109" s="56">
        <f t="shared" si="16"/>
        <v>124846579</v>
      </c>
      <c r="AD109" s="66">
        <f>C109+AB109-AC109</f>
        <v>22500000</v>
      </c>
      <c r="AE109" s="74"/>
      <c r="AF109" s="74">
        <v>10000000</v>
      </c>
      <c r="AG109" s="74"/>
      <c r="AH109" s="74">
        <v>10000000</v>
      </c>
      <c r="AI109" s="74"/>
      <c r="AJ109" s="92">
        <v>2500000</v>
      </c>
      <c r="AK109" s="74"/>
      <c r="AL109" s="74">
        <v>0</v>
      </c>
      <c r="AM109" s="74"/>
      <c r="AN109" s="74">
        <v>0</v>
      </c>
      <c r="AO109" s="91"/>
      <c r="AP109" s="91">
        <v>0</v>
      </c>
      <c r="AQ109" s="91"/>
      <c r="AR109" s="91">
        <v>0</v>
      </c>
      <c r="AS109" s="91"/>
      <c r="AT109" s="91">
        <v>0</v>
      </c>
      <c r="AU109" s="91"/>
      <c r="AV109" s="91"/>
      <c r="AW109" s="91"/>
      <c r="AX109" s="91"/>
      <c r="AY109" s="91"/>
      <c r="AZ109" s="91"/>
      <c r="BA109" s="91"/>
      <c r="BB109" s="91"/>
      <c r="BC109" s="76">
        <f t="shared" si="18"/>
        <v>0</v>
      </c>
      <c r="BD109" s="76">
        <f t="shared" si="19"/>
        <v>22500000</v>
      </c>
      <c r="BE109" s="76">
        <f t="shared" si="14"/>
        <v>0</v>
      </c>
    </row>
    <row r="110" spans="1:57" ht="14" x14ac:dyDescent="0.25">
      <c r="A110" s="64">
        <f t="shared" si="13"/>
        <v>106</v>
      </c>
      <c r="B110" s="63" t="s">
        <v>123</v>
      </c>
      <c r="C110" s="59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56">
        <f t="shared" si="15"/>
        <v>0</v>
      </c>
      <c r="AC110" s="56">
        <f t="shared" si="16"/>
        <v>0</v>
      </c>
      <c r="AD110" s="66">
        <f t="shared" si="17"/>
        <v>0</v>
      </c>
      <c r="AE110" s="74"/>
      <c r="AF110" s="74">
        <v>0</v>
      </c>
      <c r="AG110" s="74"/>
      <c r="AH110" s="74">
        <v>0</v>
      </c>
      <c r="AI110" s="74"/>
      <c r="AJ110" s="74">
        <v>0</v>
      </c>
      <c r="AK110" s="74"/>
      <c r="AL110" s="74">
        <v>0</v>
      </c>
      <c r="AM110" s="74"/>
      <c r="AN110" s="74">
        <v>0</v>
      </c>
      <c r="AO110" s="91"/>
      <c r="AP110" s="91">
        <v>0</v>
      </c>
      <c r="AQ110" s="91"/>
      <c r="AR110" s="91">
        <v>0</v>
      </c>
      <c r="AS110" s="91"/>
      <c r="AT110" s="91">
        <v>0</v>
      </c>
      <c r="AU110" s="91"/>
      <c r="AV110" s="91"/>
      <c r="AW110" s="91"/>
      <c r="AX110" s="91"/>
      <c r="AY110" s="91"/>
      <c r="AZ110" s="91"/>
      <c r="BA110" s="91"/>
      <c r="BB110" s="91"/>
      <c r="BC110" s="76">
        <f t="shared" si="18"/>
        <v>0</v>
      </c>
      <c r="BD110" s="76">
        <f t="shared" si="19"/>
        <v>0</v>
      </c>
      <c r="BE110" s="76">
        <f t="shared" si="14"/>
        <v>0</v>
      </c>
    </row>
    <row r="111" spans="1:57" s="99" customFormat="1" ht="14" x14ac:dyDescent="0.25">
      <c r="A111" s="94">
        <f t="shared" si="13"/>
        <v>107</v>
      </c>
      <c r="B111" s="95" t="s">
        <v>124</v>
      </c>
      <c r="C111" s="96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7">
        <f t="shared" si="15"/>
        <v>0</v>
      </c>
      <c r="AC111" s="97">
        <f t="shared" si="16"/>
        <v>0</v>
      </c>
      <c r="AD111" s="98">
        <f t="shared" si="17"/>
        <v>0</v>
      </c>
      <c r="AE111" s="92"/>
      <c r="AF111" s="92">
        <v>0</v>
      </c>
      <c r="AG111" s="92"/>
      <c r="AH111" s="92">
        <v>0</v>
      </c>
      <c r="AI111" s="92"/>
      <c r="AJ111" s="92">
        <v>0</v>
      </c>
      <c r="AK111" s="92"/>
      <c r="AL111" s="92">
        <v>0</v>
      </c>
      <c r="AM111" s="92"/>
      <c r="AN111" s="92">
        <v>0</v>
      </c>
      <c r="AO111" s="92"/>
      <c r="AP111" s="92">
        <v>0</v>
      </c>
      <c r="AQ111" s="92"/>
      <c r="AR111" s="92">
        <v>0</v>
      </c>
      <c r="AS111" s="92"/>
      <c r="AT111" s="92">
        <v>0</v>
      </c>
      <c r="AU111" s="92">
        <v>35000000</v>
      </c>
      <c r="AV111" s="92"/>
      <c r="AW111" s="92"/>
      <c r="AX111" s="92">
        <v>972222</v>
      </c>
      <c r="AY111" s="92"/>
      <c r="AZ111" s="92">
        <v>972222</v>
      </c>
      <c r="BA111" s="92"/>
      <c r="BB111" s="92">
        <f>VLOOKUP(B111,'[1]Reguler &amp; Khusus'!$B$8:$D$57,3,0)</f>
        <v>972222</v>
      </c>
      <c r="BC111" s="76">
        <f t="shared" si="18"/>
        <v>35000000</v>
      </c>
      <c r="BD111" s="76">
        <f t="shared" si="19"/>
        <v>2916666</v>
      </c>
      <c r="BE111" s="76">
        <f t="shared" si="14"/>
        <v>32083334</v>
      </c>
    </row>
    <row r="112" spans="1:57" ht="14" x14ac:dyDescent="0.25">
      <c r="A112" s="64">
        <f t="shared" si="13"/>
        <v>108</v>
      </c>
      <c r="B112" s="63" t="s">
        <v>125</v>
      </c>
      <c r="C112" s="59">
        <v>45000002</v>
      </c>
      <c r="D112" s="56"/>
      <c r="E112" s="56">
        <v>1805555</v>
      </c>
      <c r="F112" s="56"/>
      <c r="G112" s="56">
        <v>1805555</v>
      </c>
      <c r="H112" s="56"/>
      <c r="I112" s="56">
        <v>1805555</v>
      </c>
      <c r="J112" s="56"/>
      <c r="K112" s="56">
        <v>1805555</v>
      </c>
      <c r="L112" s="56">
        <v>50000000</v>
      </c>
      <c r="M112" s="56">
        <v>1805555</v>
      </c>
      <c r="N112" s="56"/>
      <c r="O112" s="56">
        <v>1805555</v>
      </c>
      <c r="P112" s="66"/>
      <c r="Q112" s="56">
        <v>1805555</v>
      </c>
      <c r="R112" s="66"/>
      <c r="S112" s="56">
        <v>1805555</v>
      </c>
      <c r="T112" s="66"/>
      <c r="U112" s="66">
        <v>3194444</v>
      </c>
      <c r="V112" s="66"/>
      <c r="W112" s="66">
        <v>3194444</v>
      </c>
      <c r="X112" s="66"/>
      <c r="Y112" s="66">
        <v>3194444</v>
      </c>
      <c r="Z112" s="66"/>
      <c r="AA112" s="66">
        <v>3194444</v>
      </c>
      <c r="AB112" s="56">
        <f t="shared" si="15"/>
        <v>50000000</v>
      </c>
      <c r="AC112" s="56">
        <f t="shared" si="16"/>
        <v>27222216</v>
      </c>
      <c r="AD112" s="66">
        <f t="shared" si="17"/>
        <v>67777786</v>
      </c>
      <c r="AE112" s="74"/>
      <c r="AF112" s="74">
        <v>3194444</v>
      </c>
      <c r="AG112" s="74"/>
      <c r="AH112" s="74">
        <v>3194444</v>
      </c>
      <c r="AI112" s="74"/>
      <c r="AJ112" s="92">
        <v>3194444</v>
      </c>
      <c r="AK112" s="74"/>
      <c r="AL112" s="74">
        <v>3194444</v>
      </c>
      <c r="AM112" s="74"/>
      <c r="AN112" s="74">
        <v>3194444</v>
      </c>
      <c r="AO112" s="91"/>
      <c r="AP112" s="91">
        <v>3194444</v>
      </c>
      <c r="AQ112" s="91"/>
      <c r="AR112" s="92">
        <v>2083333</v>
      </c>
      <c r="AS112" s="92"/>
      <c r="AT112" s="92">
        <v>2083333</v>
      </c>
      <c r="AU112" s="92"/>
      <c r="AV112" s="92">
        <v>2083333</v>
      </c>
      <c r="AW112" s="92"/>
      <c r="AX112" s="92">
        <v>2083333</v>
      </c>
      <c r="AY112" s="92"/>
      <c r="AZ112" s="92">
        <v>2083333</v>
      </c>
      <c r="BA112" s="92"/>
      <c r="BB112" s="92">
        <f>VLOOKUP(B112,'[1]Reguler &amp; Khusus'!$B$8:$D$57,3,0)</f>
        <v>2083333</v>
      </c>
      <c r="BC112" s="76">
        <f t="shared" si="18"/>
        <v>0</v>
      </c>
      <c r="BD112" s="76">
        <f t="shared" si="19"/>
        <v>31666662</v>
      </c>
      <c r="BE112" s="76">
        <f t="shared" si="14"/>
        <v>36111124</v>
      </c>
    </row>
    <row r="113" spans="1:57" ht="14" x14ac:dyDescent="0.25">
      <c r="A113" s="64">
        <f t="shared" si="13"/>
        <v>109</v>
      </c>
      <c r="B113" s="63" t="s">
        <v>126</v>
      </c>
      <c r="C113" s="59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56">
        <f t="shared" si="15"/>
        <v>0</v>
      </c>
      <c r="AC113" s="56">
        <f t="shared" si="16"/>
        <v>0</v>
      </c>
      <c r="AD113" s="66">
        <f t="shared" si="17"/>
        <v>0</v>
      </c>
      <c r="AE113" s="74"/>
      <c r="AF113" s="74">
        <v>0</v>
      </c>
      <c r="AG113" s="74"/>
      <c r="AH113" s="74">
        <v>0</v>
      </c>
      <c r="AI113" s="74"/>
      <c r="AJ113" s="74">
        <v>0</v>
      </c>
      <c r="AK113" s="74"/>
      <c r="AL113" s="74">
        <v>0</v>
      </c>
      <c r="AM113" s="74"/>
      <c r="AN113" s="74">
        <v>0</v>
      </c>
      <c r="AO113" s="91"/>
      <c r="AP113" s="91">
        <v>0</v>
      </c>
      <c r="AQ113" s="91"/>
      <c r="AR113" s="91">
        <v>0</v>
      </c>
      <c r="AS113" s="91"/>
      <c r="AT113" s="91">
        <v>0</v>
      </c>
      <c r="AU113" s="91"/>
      <c r="AV113" s="91"/>
      <c r="AW113" s="91"/>
      <c r="AX113" s="91"/>
      <c r="AY113" s="91"/>
      <c r="AZ113" s="91"/>
      <c r="BA113" s="91"/>
      <c r="BB113" s="91"/>
      <c r="BC113" s="76">
        <f t="shared" si="18"/>
        <v>0</v>
      </c>
      <c r="BD113" s="76">
        <f t="shared" si="19"/>
        <v>0</v>
      </c>
      <c r="BE113" s="76">
        <f t="shared" si="14"/>
        <v>0</v>
      </c>
    </row>
    <row r="114" spans="1:57" ht="14" x14ac:dyDescent="0.25">
      <c r="A114" s="64">
        <f t="shared" si="13"/>
        <v>110</v>
      </c>
      <c r="B114" s="63" t="s">
        <v>127</v>
      </c>
      <c r="C114" s="59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56">
        <f t="shared" si="15"/>
        <v>0</v>
      </c>
      <c r="AC114" s="56">
        <f t="shared" si="16"/>
        <v>0</v>
      </c>
      <c r="AD114" s="66">
        <f t="shared" si="17"/>
        <v>0</v>
      </c>
      <c r="AE114" s="74"/>
      <c r="AF114" s="74">
        <v>0</v>
      </c>
      <c r="AG114" s="74"/>
      <c r="AH114" s="74">
        <v>0</v>
      </c>
      <c r="AI114" s="74"/>
      <c r="AJ114" s="74">
        <v>0</v>
      </c>
      <c r="AK114" s="74"/>
      <c r="AL114" s="74">
        <v>0</v>
      </c>
      <c r="AM114" s="74"/>
      <c r="AN114" s="74">
        <v>0</v>
      </c>
      <c r="AO114" s="91"/>
      <c r="AP114" s="91">
        <v>0</v>
      </c>
      <c r="AQ114" s="91"/>
      <c r="AR114" s="91">
        <v>0</v>
      </c>
      <c r="AS114" s="91"/>
      <c r="AT114" s="91">
        <v>0</v>
      </c>
      <c r="AU114" s="91"/>
      <c r="AV114" s="91"/>
      <c r="AW114" s="91"/>
      <c r="AX114" s="91"/>
      <c r="AY114" s="91"/>
      <c r="AZ114" s="91"/>
      <c r="BA114" s="91"/>
      <c r="BB114" s="91"/>
      <c r="BC114" s="76">
        <f t="shared" si="18"/>
        <v>0</v>
      </c>
      <c r="BD114" s="76">
        <f t="shared" si="19"/>
        <v>0</v>
      </c>
      <c r="BE114" s="76">
        <f t="shared" si="14"/>
        <v>0</v>
      </c>
    </row>
    <row r="115" spans="1:57" ht="14" x14ac:dyDescent="0.25">
      <c r="A115" s="64">
        <f t="shared" si="13"/>
        <v>111</v>
      </c>
      <c r="B115" s="63" t="s">
        <v>128</v>
      </c>
      <c r="C115" s="59">
        <v>37500000</v>
      </c>
      <c r="D115" s="56"/>
      <c r="E115" s="56">
        <v>2500000</v>
      </c>
      <c r="F115" s="56"/>
      <c r="G115" s="56">
        <v>2500000</v>
      </c>
      <c r="H115" s="56"/>
      <c r="I115" s="56">
        <v>2500000</v>
      </c>
      <c r="J115" s="56"/>
      <c r="K115" s="56">
        <v>2500000</v>
      </c>
      <c r="L115" s="56"/>
      <c r="M115" s="56">
        <v>2500000</v>
      </c>
      <c r="N115" s="56"/>
      <c r="O115" s="56">
        <v>2500000</v>
      </c>
      <c r="P115" s="66"/>
      <c r="Q115" s="56">
        <v>2500000</v>
      </c>
      <c r="R115" s="66"/>
      <c r="S115" s="56">
        <v>2500000</v>
      </c>
      <c r="T115" s="66"/>
      <c r="U115" s="56">
        <v>2500000</v>
      </c>
      <c r="V115" s="66"/>
      <c r="W115" s="56">
        <v>2500000</v>
      </c>
      <c r="X115" s="66"/>
      <c r="Y115" s="56">
        <v>2500000</v>
      </c>
      <c r="Z115" s="66"/>
      <c r="AA115" s="56"/>
      <c r="AB115" s="56">
        <f t="shared" si="15"/>
        <v>0</v>
      </c>
      <c r="AC115" s="56">
        <f t="shared" si="16"/>
        <v>27500000</v>
      </c>
      <c r="AD115" s="66">
        <f>C115+AB115-AC115</f>
        <v>10000000</v>
      </c>
      <c r="AE115" s="74"/>
      <c r="AF115" s="74">
        <v>10000000</v>
      </c>
      <c r="AG115" s="74"/>
      <c r="AH115" s="74">
        <v>0</v>
      </c>
      <c r="AI115" s="74"/>
      <c r="AJ115" s="74">
        <v>0</v>
      </c>
      <c r="AK115" s="74"/>
      <c r="AL115" s="74">
        <v>0</v>
      </c>
      <c r="AM115" s="74"/>
      <c r="AN115" s="74">
        <v>0</v>
      </c>
      <c r="AO115" s="91"/>
      <c r="AP115" s="91">
        <v>0</v>
      </c>
      <c r="AQ115" s="91"/>
      <c r="AR115" s="91">
        <v>0</v>
      </c>
      <c r="AS115" s="91"/>
      <c r="AT115" s="91">
        <v>0</v>
      </c>
      <c r="AU115" s="91"/>
      <c r="AV115" s="91"/>
      <c r="AW115" s="91"/>
      <c r="AX115" s="91"/>
      <c r="AY115" s="91"/>
      <c r="AZ115" s="91"/>
      <c r="BA115" s="91"/>
      <c r="BB115" s="91"/>
      <c r="BC115" s="76">
        <f t="shared" si="18"/>
        <v>0</v>
      </c>
      <c r="BD115" s="76">
        <f t="shared" si="19"/>
        <v>10000000</v>
      </c>
      <c r="BE115" s="76">
        <f t="shared" si="14"/>
        <v>0</v>
      </c>
    </row>
    <row r="116" spans="1:57" ht="14" x14ac:dyDescent="0.25">
      <c r="A116" s="64">
        <f t="shared" si="13"/>
        <v>112</v>
      </c>
      <c r="B116" s="63" t="s">
        <v>129</v>
      </c>
      <c r="C116" s="59">
        <v>168010268</v>
      </c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56">
        <f t="shared" si="15"/>
        <v>0</v>
      </c>
      <c r="AC116" s="56">
        <f t="shared" si="16"/>
        <v>0</v>
      </c>
      <c r="AD116" s="66">
        <f>C116+AB116-AC116</f>
        <v>168010268</v>
      </c>
      <c r="AE116" s="74"/>
      <c r="AF116" s="74">
        <v>0</v>
      </c>
      <c r="AG116" s="74"/>
      <c r="AH116" s="74">
        <v>0</v>
      </c>
      <c r="AI116" s="74"/>
      <c r="AJ116" s="74">
        <v>0</v>
      </c>
      <c r="AK116" s="74"/>
      <c r="AL116" s="74">
        <v>0</v>
      </c>
      <c r="AM116" s="74"/>
      <c r="AN116" s="74">
        <v>0</v>
      </c>
      <c r="AO116" s="91"/>
      <c r="AP116" s="91">
        <v>0</v>
      </c>
      <c r="AQ116" s="91"/>
      <c r="AR116" s="91">
        <v>0</v>
      </c>
      <c r="AS116" s="91"/>
      <c r="AT116" s="91">
        <v>0</v>
      </c>
      <c r="AU116" s="91"/>
      <c r="AV116" s="91"/>
      <c r="AW116" s="91"/>
      <c r="AX116" s="91"/>
      <c r="AY116" s="91"/>
      <c r="AZ116" s="91"/>
      <c r="BA116" s="91"/>
      <c r="BB116" s="91"/>
      <c r="BC116" s="76">
        <f t="shared" si="18"/>
        <v>0</v>
      </c>
      <c r="BD116" s="76">
        <f t="shared" si="19"/>
        <v>0</v>
      </c>
      <c r="BE116" s="76">
        <f t="shared" si="14"/>
        <v>168010268</v>
      </c>
    </row>
    <row r="117" spans="1:57" ht="14" x14ac:dyDescent="0.25">
      <c r="A117" s="64">
        <f t="shared" si="13"/>
        <v>113</v>
      </c>
      <c r="B117" s="63" t="s">
        <v>130</v>
      </c>
      <c r="C117" s="59">
        <v>22388254</v>
      </c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56">
        <f t="shared" si="15"/>
        <v>0</v>
      </c>
      <c r="AC117" s="56">
        <f t="shared" si="16"/>
        <v>0</v>
      </c>
      <c r="AD117" s="66">
        <f t="shared" si="17"/>
        <v>22388254</v>
      </c>
      <c r="AE117" s="74"/>
      <c r="AF117" s="74">
        <v>0</v>
      </c>
      <c r="AG117" s="74"/>
      <c r="AH117" s="74">
        <v>0</v>
      </c>
      <c r="AI117" s="74"/>
      <c r="AJ117" s="74">
        <v>0</v>
      </c>
      <c r="AK117" s="74"/>
      <c r="AL117" s="74">
        <v>0</v>
      </c>
      <c r="AM117" s="74"/>
      <c r="AN117" s="74">
        <v>0</v>
      </c>
      <c r="AO117" s="91"/>
      <c r="AP117" s="91">
        <v>0</v>
      </c>
      <c r="AQ117" s="91"/>
      <c r="AR117" s="91">
        <v>0</v>
      </c>
      <c r="AS117" s="91"/>
      <c r="AT117" s="91">
        <v>0</v>
      </c>
      <c r="AU117" s="91"/>
      <c r="AV117" s="91"/>
      <c r="AW117" s="91"/>
      <c r="AX117" s="91"/>
      <c r="AY117" s="91"/>
      <c r="AZ117" s="91"/>
      <c r="BA117" s="91"/>
      <c r="BB117" s="91"/>
      <c r="BC117" s="76">
        <f t="shared" si="18"/>
        <v>0</v>
      </c>
      <c r="BD117" s="76">
        <f t="shared" si="19"/>
        <v>0</v>
      </c>
      <c r="BE117" s="76">
        <f t="shared" si="14"/>
        <v>22388254</v>
      </c>
    </row>
    <row r="118" spans="1:57" ht="14" x14ac:dyDescent="0.25">
      <c r="A118" s="64">
        <f t="shared" si="13"/>
        <v>114</v>
      </c>
      <c r="B118" s="63" t="s">
        <v>131</v>
      </c>
      <c r="C118" s="59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56">
        <f t="shared" si="15"/>
        <v>0</v>
      </c>
      <c r="AC118" s="56">
        <f t="shared" si="16"/>
        <v>0</v>
      </c>
      <c r="AD118" s="66">
        <f t="shared" si="17"/>
        <v>0</v>
      </c>
      <c r="AE118" s="74"/>
      <c r="AF118" s="74">
        <v>0</v>
      </c>
      <c r="AG118" s="74"/>
      <c r="AH118" s="74">
        <v>0</v>
      </c>
      <c r="AI118" s="74"/>
      <c r="AJ118" s="74">
        <v>0</v>
      </c>
      <c r="AK118" s="74"/>
      <c r="AL118" s="74">
        <v>0</v>
      </c>
      <c r="AM118" s="74"/>
      <c r="AN118" s="74">
        <v>0</v>
      </c>
      <c r="AO118" s="91"/>
      <c r="AP118" s="91">
        <v>0</v>
      </c>
      <c r="AQ118" s="91"/>
      <c r="AR118" s="91">
        <v>0</v>
      </c>
      <c r="AS118" s="91"/>
      <c r="AT118" s="91">
        <v>0</v>
      </c>
      <c r="AU118" s="91"/>
      <c r="AV118" s="91"/>
      <c r="AW118" s="91"/>
      <c r="AX118" s="91"/>
      <c r="AY118" s="91"/>
      <c r="AZ118" s="91"/>
      <c r="BA118" s="91"/>
      <c r="BB118" s="91"/>
      <c r="BC118" s="76">
        <f t="shared" si="18"/>
        <v>0</v>
      </c>
      <c r="BD118" s="76">
        <f t="shared" si="19"/>
        <v>0</v>
      </c>
      <c r="BE118" s="76">
        <f t="shared" si="14"/>
        <v>0</v>
      </c>
    </row>
    <row r="119" spans="1:57" ht="14" x14ac:dyDescent="0.25">
      <c r="A119" s="64">
        <f t="shared" si="13"/>
        <v>115</v>
      </c>
      <c r="B119" s="63" t="s">
        <v>132</v>
      </c>
      <c r="C119" s="59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56">
        <f t="shared" si="15"/>
        <v>0</v>
      </c>
      <c r="AC119" s="56">
        <f t="shared" si="16"/>
        <v>0</v>
      </c>
      <c r="AD119" s="66">
        <f t="shared" si="17"/>
        <v>0</v>
      </c>
      <c r="AE119" s="74"/>
      <c r="AF119" s="74">
        <v>0</v>
      </c>
      <c r="AG119" s="74"/>
      <c r="AH119" s="74">
        <v>0</v>
      </c>
      <c r="AI119" s="74"/>
      <c r="AJ119" s="74">
        <v>0</v>
      </c>
      <c r="AK119" s="74"/>
      <c r="AL119" s="74">
        <v>0</v>
      </c>
      <c r="AM119" s="74"/>
      <c r="AN119" s="74">
        <v>0</v>
      </c>
      <c r="AO119" s="91"/>
      <c r="AP119" s="91">
        <v>0</v>
      </c>
      <c r="AQ119" s="91"/>
      <c r="AR119" s="91">
        <v>0</v>
      </c>
      <c r="AS119" s="91"/>
      <c r="AT119" s="91">
        <v>0</v>
      </c>
      <c r="AU119" s="91"/>
      <c r="AV119" s="91"/>
      <c r="AW119" s="91"/>
      <c r="AX119" s="91"/>
      <c r="AY119" s="91"/>
      <c r="AZ119" s="91"/>
      <c r="BA119" s="91"/>
      <c r="BB119" s="91"/>
      <c r="BC119" s="76">
        <f t="shared" si="18"/>
        <v>0</v>
      </c>
      <c r="BD119" s="76">
        <f t="shared" si="19"/>
        <v>0</v>
      </c>
      <c r="BE119" s="76">
        <f t="shared" si="14"/>
        <v>0</v>
      </c>
    </row>
    <row r="120" spans="1:57" ht="14" x14ac:dyDescent="0.25">
      <c r="A120" s="64">
        <f t="shared" si="13"/>
        <v>116</v>
      </c>
      <c r="B120" s="63" t="s">
        <v>159</v>
      </c>
      <c r="C120" s="59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66"/>
      <c r="Q120" s="66"/>
      <c r="R120" s="66">
        <v>50000000</v>
      </c>
      <c r="S120" s="66">
        <v>2083333</v>
      </c>
      <c r="T120" s="66"/>
      <c r="U120" s="66">
        <v>2083333</v>
      </c>
      <c r="V120" s="66"/>
      <c r="W120" s="66">
        <v>2083333</v>
      </c>
      <c r="X120" s="66"/>
      <c r="Y120" s="66">
        <v>2083333</v>
      </c>
      <c r="Z120" s="66"/>
      <c r="AA120" s="66">
        <v>2083333</v>
      </c>
      <c r="AB120" s="56">
        <f t="shared" si="15"/>
        <v>50000000</v>
      </c>
      <c r="AC120" s="56">
        <f t="shared" si="16"/>
        <v>10416665</v>
      </c>
      <c r="AD120" s="66">
        <f t="shared" si="17"/>
        <v>39583335</v>
      </c>
      <c r="AE120" s="74"/>
      <c r="AF120" s="74">
        <v>2083333</v>
      </c>
      <c r="AG120" s="74"/>
      <c r="AH120" s="74">
        <v>2083333</v>
      </c>
      <c r="AI120" s="74"/>
      <c r="AJ120" s="92">
        <v>2083333</v>
      </c>
      <c r="AK120" s="74"/>
      <c r="AL120" s="74">
        <v>2083333</v>
      </c>
      <c r="AM120" s="74"/>
      <c r="AN120" s="74">
        <v>2083333</v>
      </c>
      <c r="AO120" s="91"/>
      <c r="AP120" s="91">
        <v>2083333</v>
      </c>
      <c r="AQ120" s="91"/>
      <c r="AR120" s="92">
        <v>2083333</v>
      </c>
      <c r="AS120" s="92"/>
      <c r="AT120" s="92">
        <v>2083333</v>
      </c>
      <c r="AU120" s="92"/>
      <c r="AV120" s="92">
        <v>2083333</v>
      </c>
      <c r="AW120" s="92"/>
      <c r="AX120" s="92">
        <v>2083333</v>
      </c>
      <c r="AY120" s="92"/>
      <c r="AZ120" s="92">
        <v>2083333</v>
      </c>
      <c r="BA120" s="92"/>
      <c r="BB120" s="92">
        <f>VLOOKUP(B120,'[1]Reguler &amp; Khusus'!$B$8:$D$57,3,0)</f>
        <v>2083333</v>
      </c>
      <c r="BC120" s="76">
        <f t="shared" si="18"/>
        <v>0</v>
      </c>
      <c r="BD120" s="76">
        <f t="shared" si="19"/>
        <v>24999996</v>
      </c>
      <c r="BE120" s="76">
        <f t="shared" si="14"/>
        <v>14583339</v>
      </c>
    </row>
    <row r="121" spans="1:57" ht="14" x14ac:dyDescent="0.25">
      <c r="A121" s="64">
        <f t="shared" si="13"/>
        <v>117</v>
      </c>
      <c r="B121" s="63" t="s">
        <v>133</v>
      </c>
      <c r="C121" s="59">
        <v>11941245</v>
      </c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56">
        <f t="shared" si="15"/>
        <v>0</v>
      </c>
      <c r="AC121" s="56">
        <f t="shared" si="16"/>
        <v>0</v>
      </c>
      <c r="AD121" s="66">
        <f t="shared" si="17"/>
        <v>11941245</v>
      </c>
      <c r="AE121" s="74"/>
      <c r="AF121" s="74">
        <v>0</v>
      </c>
      <c r="AG121" s="74"/>
      <c r="AH121" s="74">
        <v>0</v>
      </c>
      <c r="AI121" s="74"/>
      <c r="AJ121" s="74">
        <v>0</v>
      </c>
      <c r="AK121" s="74"/>
      <c r="AL121" s="74">
        <v>0</v>
      </c>
      <c r="AM121" s="74"/>
      <c r="AN121" s="74">
        <v>0</v>
      </c>
      <c r="AO121" s="91"/>
      <c r="AP121" s="91">
        <v>0</v>
      </c>
      <c r="AQ121" s="91"/>
      <c r="AR121" s="91">
        <v>0</v>
      </c>
      <c r="AS121" s="91"/>
      <c r="AT121" s="91">
        <v>0</v>
      </c>
      <c r="AU121" s="91"/>
      <c r="AV121" s="91"/>
      <c r="AW121" s="91"/>
      <c r="AX121" s="91"/>
      <c r="AY121" s="91"/>
      <c r="AZ121" s="91"/>
      <c r="BA121" s="91"/>
      <c r="BB121" s="91"/>
      <c r="BC121" s="76">
        <f t="shared" si="18"/>
        <v>0</v>
      </c>
      <c r="BD121" s="76">
        <f t="shared" si="19"/>
        <v>0</v>
      </c>
      <c r="BE121" s="76">
        <f t="shared" si="14"/>
        <v>11941245</v>
      </c>
    </row>
    <row r="122" spans="1:57" ht="14" x14ac:dyDescent="0.25">
      <c r="A122" s="64">
        <f t="shared" si="13"/>
        <v>118</v>
      </c>
      <c r="B122" s="63" t="s">
        <v>134</v>
      </c>
      <c r="C122" s="59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56">
        <f t="shared" si="15"/>
        <v>0</v>
      </c>
      <c r="AC122" s="56">
        <f t="shared" si="16"/>
        <v>0</v>
      </c>
      <c r="AD122" s="66">
        <f t="shared" si="17"/>
        <v>0</v>
      </c>
      <c r="AE122" s="74"/>
      <c r="AF122" s="74">
        <v>0</v>
      </c>
      <c r="AG122" s="74"/>
      <c r="AH122" s="74">
        <v>0</v>
      </c>
      <c r="AI122" s="74"/>
      <c r="AJ122" s="74">
        <v>0</v>
      </c>
      <c r="AK122" s="74"/>
      <c r="AL122" s="74">
        <v>0</v>
      </c>
      <c r="AM122" s="74"/>
      <c r="AN122" s="74">
        <v>0</v>
      </c>
      <c r="AO122" s="91"/>
      <c r="AP122" s="91">
        <v>0</v>
      </c>
      <c r="AQ122" s="91"/>
      <c r="AR122" s="91">
        <v>0</v>
      </c>
      <c r="AS122" s="91"/>
      <c r="AT122" s="91">
        <v>0</v>
      </c>
      <c r="AU122" s="91"/>
      <c r="AV122" s="91"/>
      <c r="AW122" s="91"/>
      <c r="AX122" s="91"/>
      <c r="AY122" s="91"/>
      <c r="AZ122" s="91"/>
      <c r="BA122" s="91"/>
      <c r="BB122" s="91"/>
      <c r="BC122" s="76">
        <f t="shared" si="18"/>
        <v>0</v>
      </c>
      <c r="BD122" s="76">
        <f t="shared" si="19"/>
        <v>0</v>
      </c>
      <c r="BE122" s="76">
        <f t="shared" si="14"/>
        <v>0</v>
      </c>
    </row>
    <row r="123" spans="1:57" ht="14" x14ac:dyDescent="0.25">
      <c r="A123" s="64">
        <f t="shared" si="13"/>
        <v>119</v>
      </c>
      <c r="B123" s="63" t="s">
        <v>135</v>
      </c>
      <c r="C123" s="59">
        <v>7302666</v>
      </c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56">
        <f t="shared" si="15"/>
        <v>0</v>
      </c>
      <c r="AC123" s="56">
        <f t="shared" si="16"/>
        <v>0</v>
      </c>
      <c r="AD123" s="66">
        <f t="shared" si="17"/>
        <v>7302666</v>
      </c>
      <c r="AE123" s="74"/>
      <c r="AF123" s="74">
        <v>0</v>
      </c>
      <c r="AG123" s="74"/>
      <c r="AH123" s="74">
        <v>0</v>
      </c>
      <c r="AI123" s="74"/>
      <c r="AJ123" s="74">
        <v>0</v>
      </c>
      <c r="AK123" s="74"/>
      <c r="AL123" s="74">
        <v>0</v>
      </c>
      <c r="AM123" s="74"/>
      <c r="AN123" s="74">
        <v>0</v>
      </c>
      <c r="AO123" s="91"/>
      <c r="AP123" s="91">
        <v>0</v>
      </c>
      <c r="AQ123" s="91"/>
      <c r="AR123" s="91">
        <v>0</v>
      </c>
      <c r="AS123" s="91"/>
      <c r="AT123" s="91">
        <v>0</v>
      </c>
      <c r="AU123" s="91"/>
      <c r="AV123" s="91"/>
      <c r="AW123" s="91"/>
      <c r="AX123" s="91"/>
      <c r="AY123" s="91"/>
      <c r="AZ123" s="91"/>
      <c r="BA123" s="91"/>
      <c r="BB123" s="91"/>
      <c r="BC123" s="76">
        <f t="shared" si="18"/>
        <v>0</v>
      </c>
      <c r="BD123" s="76">
        <f t="shared" si="19"/>
        <v>0</v>
      </c>
      <c r="BE123" s="76">
        <f t="shared" si="14"/>
        <v>7302666</v>
      </c>
    </row>
    <row r="124" spans="1:57" ht="14" x14ac:dyDescent="0.25">
      <c r="A124" s="64">
        <f t="shared" si="13"/>
        <v>120</v>
      </c>
      <c r="B124" s="63" t="s">
        <v>136</v>
      </c>
      <c r="C124" s="59">
        <v>763355</v>
      </c>
      <c r="D124" s="56"/>
      <c r="E124" s="56">
        <v>763357</v>
      </c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56">
        <f t="shared" si="15"/>
        <v>0</v>
      </c>
      <c r="AC124" s="56">
        <f t="shared" si="16"/>
        <v>763357</v>
      </c>
      <c r="AD124" s="66">
        <f t="shared" si="17"/>
        <v>-2</v>
      </c>
      <c r="AE124" s="74"/>
      <c r="AF124" s="74">
        <v>0</v>
      </c>
      <c r="AG124" s="74"/>
      <c r="AH124" s="74">
        <v>0</v>
      </c>
      <c r="AI124" s="74"/>
      <c r="AJ124" s="74">
        <v>0</v>
      </c>
      <c r="AK124" s="74"/>
      <c r="AL124" s="74">
        <v>0</v>
      </c>
      <c r="AM124" s="74"/>
      <c r="AN124" s="74">
        <v>0</v>
      </c>
      <c r="AO124" s="91"/>
      <c r="AP124" s="91">
        <v>0</v>
      </c>
      <c r="AQ124" s="91"/>
      <c r="AR124" s="91">
        <v>0</v>
      </c>
      <c r="AS124" s="91"/>
      <c r="AT124" s="91">
        <v>0</v>
      </c>
      <c r="AU124" s="91"/>
      <c r="AV124" s="91"/>
      <c r="AW124" s="91"/>
      <c r="AX124" s="91"/>
      <c r="AY124" s="91"/>
      <c r="AZ124" s="91"/>
      <c r="BA124" s="91"/>
      <c r="BB124" s="91"/>
      <c r="BC124" s="76">
        <f t="shared" si="18"/>
        <v>0</v>
      </c>
      <c r="BD124" s="76">
        <f t="shared" si="19"/>
        <v>0</v>
      </c>
      <c r="BE124" s="76">
        <f t="shared" si="14"/>
        <v>-2</v>
      </c>
    </row>
    <row r="125" spans="1:57" ht="14" x14ac:dyDescent="0.25">
      <c r="A125" s="64">
        <f t="shared" si="13"/>
        <v>121</v>
      </c>
      <c r="B125" s="63" t="s">
        <v>137</v>
      </c>
      <c r="C125" s="59">
        <v>500000</v>
      </c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56">
        <f t="shared" si="15"/>
        <v>0</v>
      </c>
      <c r="AC125" s="56">
        <f t="shared" si="16"/>
        <v>0</v>
      </c>
      <c r="AD125" s="66">
        <f t="shared" si="17"/>
        <v>500000</v>
      </c>
      <c r="AE125" s="74"/>
      <c r="AF125" s="74">
        <v>0</v>
      </c>
      <c r="AG125" s="74"/>
      <c r="AH125" s="74">
        <v>0</v>
      </c>
      <c r="AI125" s="74"/>
      <c r="AJ125" s="74">
        <v>0</v>
      </c>
      <c r="AK125" s="74"/>
      <c r="AL125" s="74">
        <v>0</v>
      </c>
      <c r="AM125" s="74"/>
      <c r="AN125" s="74">
        <v>0</v>
      </c>
      <c r="AO125" s="91"/>
      <c r="AP125" s="91">
        <v>0</v>
      </c>
      <c r="AQ125" s="91"/>
      <c r="AR125" s="91">
        <v>0</v>
      </c>
      <c r="AS125" s="91"/>
      <c r="AT125" s="91">
        <v>0</v>
      </c>
      <c r="AU125" s="91"/>
      <c r="AV125" s="91"/>
      <c r="AW125" s="91"/>
      <c r="AX125" s="91"/>
      <c r="AY125" s="91"/>
      <c r="AZ125" s="91"/>
      <c r="BA125" s="91"/>
      <c r="BB125" s="91"/>
      <c r="BC125" s="76">
        <f t="shared" si="18"/>
        <v>0</v>
      </c>
      <c r="BD125" s="76">
        <f t="shared" si="19"/>
        <v>0</v>
      </c>
      <c r="BE125" s="76">
        <f t="shared" si="14"/>
        <v>500000</v>
      </c>
    </row>
    <row r="126" spans="1:57" ht="14" x14ac:dyDescent="0.25">
      <c r="A126" s="64">
        <f t="shared" si="13"/>
        <v>122</v>
      </c>
      <c r="B126" s="63" t="s">
        <v>138</v>
      </c>
      <c r="C126" s="59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56">
        <f t="shared" si="15"/>
        <v>0</v>
      </c>
      <c r="AC126" s="56">
        <f t="shared" si="16"/>
        <v>0</v>
      </c>
      <c r="AD126" s="66">
        <f t="shared" si="17"/>
        <v>0</v>
      </c>
      <c r="AE126" s="74"/>
      <c r="AF126" s="74">
        <v>0</v>
      </c>
      <c r="AG126" s="74"/>
      <c r="AH126" s="74">
        <v>0</v>
      </c>
      <c r="AI126" s="74"/>
      <c r="AJ126" s="74">
        <v>0</v>
      </c>
      <c r="AK126" s="74"/>
      <c r="AL126" s="74">
        <v>0</v>
      </c>
      <c r="AM126" s="74"/>
      <c r="AN126" s="74">
        <v>0</v>
      </c>
      <c r="AO126" s="91"/>
      <c r="AP126" s="91">
        <v>0</v>
      </c>
      <c r="AQ126" s="91"/>
      <c r="AR126" s="91">
        <v>0</v>
      </c>
      <c r="AS126" s="91"/>
      <c r="AT126" s="91">
        <v>0</v>
      </c>
      <c r="AU126" s="91"/>
      <c r="AV126" s="91"/>
      <c r="AW126" s="91"/>
      <c r="AX126" s="91"/>
      <c r="AY126" s="91"/>
      <c r="AZ126" s="91"/>
      <c r="BA126" s="91"/>
      <c r="BB126" s="91"/>
      <c r="BC126" s="76">
        <f t="shared" si="18"/>
        <v>0</v>
      </c>
      <c r="BD126" s="76">
        <f t="shared" si="19"/>
        <v>0</v>
      </c>
      <c r="BE126" s="76">
        <f t="shared" si="14"/>
        <v>0</v>
      </c>
    </row>
    <row r="127" spans="1:57" ht="14" x14ac:dyDescent="0.25">
      <c r="A127" s="64">
        <f t="shared" si="13"/>
        <v>123</v>
      </c>
      <c r="B127" s="63" t="s">
        <v>139</v>
      </c>
      <c r="C127" s="59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56">
        <f t="shared" si="15"/>
        <v>0</v>
      </c>
      <c r="AC127" s="56">
        <f t="shared" si="16"/>
        <v>0</v>
      </c>
      <c r="AD127" s="66">
        <f t="shared" si="17"/>
        <v>0</v>
      </c>
      <c r="AE127" s="74"/>
      <c r="AF127" s="74">
        <v>0</v>
      </c>
      <c r="AG127" s="74"/>
      <c r="AH127" s="74">
        <v>0</v>
      </c>
      <c r="AI127" s="74"/>
      <c r="AJ127" s="74">
        <v>0</v>
      </c>
      <c r="AK127" s="74"/>
      <c r="AL127" s="74">
        <v>0</v>
      </c>
      <c r="AM127" s="74"/>
      <c r="AN127" s="74">
        <v>0</v>
      </c>
      <c r="AO127" s="91"/>
      <c r="AP127" s="91">
        <v>0</v>
      </c>
      <c r="AQ127" s="91"/>
      <c r="AR127" s="91">
        <v>0</v>
      </c>
      <c r="AS127" s="91"/>
      <c r="AT127" s="91">
        <v>0</v>
      </c>
      <c r="AU127" s="91"/>
      <c r="AV127" s="91"/>
      <c r="AW127" s="91"/>
      <c r="AX127" s="91"/>
      <c r="AY127" s="91"/>
      <c r="AZ127" s="91"/>
      <c r="BA127" s="91"/>
      <c r="BB127" s="91"/>
      <c r="BC127" s="76">
        <f t="shared" si="18"/>
        <v>0</v>
      </c>
      <c r="BD127" s="76">
        <f t="shared" si="19"/>
        <v>0</v>
      </c>
      <c r="BE127" s="76">
        <f t="shared" si="14"/>
        <v>0</v>
      </c>
    </row>
    <row r="128" spans="1:57" ht="14" x14ac:dyDescent="0.25">
      <c r="A128" s="64">
        <f t="shared" si="13"/>
        <v>124</v>
      </c>
      <c r="B128" s="63" t="s">
        <v>244</v>
      </c>
      <c r="C128" s="59">
        <v>5000008</v>
      </c>
      <c r="D128" s="56"/>
      <c r="E128" s="56">
        <v>833333</v>
      </c>
      <c r="F128" s="56"/>
      <c r="G128" s="56">
        <v>833333</v>
      </c>
      <c r="H128" s="56"/>
      <c r="I128" s="56">
        <v>833333</v>
      </c>
      <c r="J128" s="56"/>
      <c r="K128" s="56">
        <v>833333</v>
      </c>
      <c r="L128" s="56"/>
      <c r="M128" s="56">
        <v>833333</v>
      </c>
      <c r="N128" s="56"/>
      <c r="O128" s="56">
        <v>833333</v>
      </c>
      <c r="P128" s="66"/>
      <c r="Q128" s="66"/>
      <c r="R128" s="66"/>
      <c r="S128" s="66">
        <v>10</v>
      </c>
      <c r="T128" s="66"/>
      <c r="U128" s="66"/>
      <c r="V128" s="66"/>
      <c r="W128" s="66"/>
      <c r="X128" s="66"/>
      <c r="Y128" s="66"/>
      <c r="Z128" s="66"/>
      <c r="AA128" s="66"/>
      <c r="AB128" s="56">
        <f t="shared" si="15"/>
        <v>0</v>
      </c>
      <c r="AC128" s="56">
        <f t="shared" si="16"/>
        <v>5000008</v>
      </c>
      <c r="AD128" s="66">
        <f t="shared" si="17"/>
        <v>0</v>
      </c>
      <c r="AE128" s="74"/>
      <c r="AF128" s="74">
        <v>0</v>
      </c>
      <c r="AG128" s="74"/>
      <c r="AH128" s="74">
        <v>0</v>
      </c>
      <c r="AI128" s="74"/>
      <c r="AJ128" s="92">
        <v>0</v>
      </c>
      <c r="AK128" s="74"/>
      <c r="AL128" s="74">
        <v>0</v>
      </c>
      <c r="AM128" s="74"/>
      <c r="AN128" s="74">
        <v>0</v>
      </c>
      <c r="AO128" s="91"/>
      <c r="AP128" s="91">
        <v>0</v>
      </c>
      <c r="AQ128" s="91"/>
      <c r="AR128" s="91">
        <v>0</v>
      </c>
      <c r="AS128" s="91"/>
      <c r="AT128" s="91">
        <v>0</v>
      </c>
      <c r="AU128" s="91"/>
      <c r="AV128" s="91"/>
      <c r="AW128" s="91"/>
      <c r="AX128" s="91"/>
      <c r="AY128" s="91"/>
      <c r="AZ128" s="91"/>
      <c r="BA128" s="91"/>
      <c r="BB128" s="91"/>
      <c r="BC128" s="76">
        <f t="shared" si="18"/>
        <v>0</v>
      </c>
      <c r="BD128" s="76">
        <f t="shared" si="19"/>
        <v>0</v>
      </c>
      <c r="BE128" s="76">
        <f t="shared" si="14"/>
        <v>0</v>
      </c>
    </row>
    <row r="129" spans="1:57" ht="14" x14ac:dyDescent="0.25">
      <c r="A129" s="64">
        <f t="shared" si="13"/>
        <v>125</v>
      </c>
      <c r="B129" s="63" t="s">
        <v>194</v>
      </c>
      <c r="C129" s="59">
        <v>17500008</v>
      </c>
      <c r="D129" s="56"/>
      <c r="E129" s="56">
        <v>1458333</v>
      </c>
      <c r="F129" s="56"/>
      <c r="G129" s="56">
        <v>1458333</v>
      </c>
      <c r="H129" s="56"/>
      <c r="I129" s="56">
        <v>1458333</v>
      </c>
      <c r="J129" s="56"/>
      <c r="K129" s="56">
        <v>1458333</v>
      </c>
      <c r="L129" s="56"/>
      <c r="M129" s="56">
        <v>1458333</v>
      </c>
      <c r="N129" s="56"/>
      <c r="O129" s="56">
        <v>1458333</v>
      </c>
      <c r="P129" s="66"/>
      <c r="Q129" s="56">
        <v>1458333</v>
      </c>
      <c r="R129" s="66">
        <v>50000000</v>
      </c>
      <c r="S129" s="56">
        <f>1458333+5833333</f>
        <v>7291666</v>
      </c>
      <c r="T129" s="66"/>
      <c r="U129" s="66">
        <v>2083333</v>
      </c>
      <c r="V129" s="66"/>
      <c r="W129" s="66">
        <v>2083333</v>
      </c>
      <c r="X129" s="66"/>
      <c r="Y129" s="66">
        <v>2083333</v>
      </c>
      <c r="Z129" s="66"/>
      <c r="AA129" s="66">
        <v>2083333</v>
      </c>
      <c r="AB129" s="56">
        <f t="shared" si="15"/>
        <v>50000000</v>
      </c>
      <c r="AC129" s="56">
        <f t="shared" si="16"/>
        <v>25833329</v>
      </c>
      <c r="AD129" s="66">
        <f t="shared" si="17"/>
        <v>41666679</v>
      </c>
      <c r="AE129" s="74"/>
      <c r="AF129" s="74">
        <v>2083333</v>
      </c>
      <c r="AG129" s="74"/>
      <c r="AH129" s="74">
        <v>2083333</v>
      </c>
      <c r="AI129" s="74"/>
      <c r="AJ129" s="92">
        <v>2083333</v>
      </c>
      <c r="AK129" s="74"/>
      <c r="AL129" s="74">
        <v>2083333</v>
      </c>
      <c r="AM129" s="74"/>
      <c r="AN129" s="74">
        <v>2083333</v>
      </c>
      <c r="AO129" s="91"/>
      <c r="AP129" s="91">
        <v>2083333</v>
      </c>
      <c r="AQ129" s="91"/>
      <c r="AR129" s="92">
        <v>2083333</v>
      </c>
      <c r="AS129" s="92"/>
      <c r="AT129" s="92">
        <v>2083333</v>
      </c>
      <c r="AU129" s="92"/>
      <c r="AV129" s="92">
        <v>2083333</v>
      </c>
      <c r="AW129" s="92"/>
      <c r="AX129" s="92">
        <v>2083333</v>
      </c>
      <c r="AY129" s="92"/>
      <c r="AZ129" s="92">
        <v>2083333</v>
      </c>
      <c r="BA129" s="92"/>
      <c r="BB129" s="92">
        <f>VLOOKUP(B129,'[1]Reguler &amp; Khusus'!$B$8:$D$57,3,0)</f>
        <v>2083333</v>
      </c>
      <c r="BC129" s="76">
        <f t="shared" si="18"/>
        <v>0</v>
      </c>
      <c r="BD129" s="76">
        <f t="shared" si="19"/>
        <v>24999996</v>
      </c>
      <c r="BE129" s="76">
        <f t="shared" si="14"/>
        <v>16666683</v>
      </c>
    </row>
    <row r="130" spans="1:57" ht="14" x14ac:dyDescent="0.25">
      <c r="A130" s="64">
        <f t="shared" si="13"/>
        <v>126</v>
      </c>
      <c r="B130" s="63" t="s">
        <v>205</v>
      </c>
      <c r="C130" s="59">
        <v>48611111</v>
      </c>
      <c r="D130" s="56"/>
      <c r="E130" s="56">
        <v>1388889</v>
      </c>
      <c r="F130" s="56"/>
      <c r="G130" s="56">
        <v>1388889</v>
      </c>
      <c r="H130" s="56"/>
      <c r="I130" s="56">
        <v>1388889</v>
      </c>
      <c r="J130" s="56"/>
      <c r="K130" s="56">
        <v>1388889</v>
      </c>
      <c r="L130" s="56"/>
      <c r="M130" s="56">
        <v>1388889</v>
      </c>
      <c r="N130" s="56"/>
      <c r="O130" s="56">
        <v>1388889</v>
      </c>
      <c r="P130" s="66"/>
      <c r="Q130" s="56">
        <v>1388889</v>
      </c>
      <c r="R130" s="66"/>
      <c r="S130" s="56">
        <v>1388889</v>
      </c>
      <c r="T130" s="66"/>
      <c r="U130" s="56">
        <v>1388889</v>
      </c>
      <c r="V130" s="66"/>
      <c r="W130" s="56">
        <v>1388889</v>
      </c>
      <c r="X130" s="66"/>
      <c r="Y130" s="56">
        <v>1388889</v>
      </c>
      <c r="Z130" s="66"/>
      <c r="AA130" s="56">
        <v>1388889</v>
      </c>
      <c r="AB130" s="56">
        <f t="shared" si="15"/>
        <v>0</v>
      </c>
      <c r="AC130" s="56">
        <f t="shared" si="16"/>
        <v>16666668</v>
      </c>
      <c r="AD130" s="66">
        <f t="shared" si="17"/>
        <v>31944443</v>
      </c>
      <c r="AE130" s="74">
        <v>100000000</v>
      </c>
      <c r="AF130" s="74">
        <v>31944445</v>
      </c>
      <c r="AG130" s="74"/>
      <c r="AH130" s="74">
        <v>2083333</v>
      </c>
      <c r="AI130" s="74"/>
      <c r="AJ130" s="92">
        <v>2083333</v>
      </c>
      <c r="AK130" s="74"/>
      <c r="AL130" s="74">
        <v>2083333</v>
      </c>
      <c r="AM130" s="74"/>
      <c r="AN130" s="74">
        <v>2083333</v>
      </c>
      <c r="AO130" s="91"/>
      <c r="AP130" s="91">
        <v>2083333</v>
      </c>
      <c r="AQ130" s="91"/>
      <c r="AR130" s="92">
        <v>2083333</v>
      </c>
      <c r="AS130" s="92"/>
      <c r="AT130" s="92">
        <v>2083333</v>
      </c>
      <c r="AU130" s="92"/>
      <c r="AV130" s="92">
        <v>2083333</v>
      </c>
      <c r="AW130" s="92"/>
      <c r="AX130" s="92">
        <v>2083333</v>
      </c>
      <c r="AY130" s="92"/>
      <c r="AZ130" s="92">
        <v>2083333</v>
      </c>
      <c r="BA130" s="92"/>
      <c r="BB130" s="92">
        <f>VLOOKUP(B130,'[1]Reguler &amp; Khusus'!$B$8:$D$57,3,0)</f>
        <v>2083333</v>
      </c>
      <c r="BC130" s="76">
        <f t="shared" si="18"/>
        <v>100000000</v>
      </c>
      <c r="BD130" s="76">
        <f t="shared" si="19"/>
        <v>54861108</v>
      </c>
      <c r="BE130" s="76">
        <f t="shared" si="14"/>
        <v>77083335</v>
      </c>
    </row>
    <row r="131" spans="1:57" ht="14" x14ac:dyDescent="0.25">
      <c r="A131" s="64">
        <f t="shared" si="13"/>
        <v>127</v>
      </c>
      <c r="B131" s="63" t="s">
        <v>248</v>
      </c>
      <c r="C131" s="59">
        <v>55000000</v>
      </c>
      <c r="D131" s="56"/>
      <c r="E131" s="56">
        <v>1250000</v>
      </c>
      <c r="F131" s="56"/>
      <c r="G131" s="56">
        <v>1250000</v>
      </c>
      <c r="H131" s="56"/>
      <c r="I131" s="56">
        <v>1250000</v>
      </c>
      <c r="J131" s="56"/>
      <c r="K131" s="56">
        <v>1250000</v>
      </c>
      <c r="L131" s="56"/>
      <c r="M131" s="56">
        <v>1250000</v>
      </c>
      <c r="N131" s="56"/>
      <c r="O131" s="56">
        <v>1250000</v>
      </c>
      <c r="P131" s="66"/>
      <c r="Q131" s="56">
        <v>1250000</v>
      </c>
      <c r="R131" s="66"/>
      <c r="S131" s="56">
        <v>1250000</v>
      </c>
      <c r="T131" s="66"/>
      <c r="U131" s="56">
        <f>1250000</f>
        <v>1250000</v>
      </c>
      <c r="V131" s="66">
        <v>72000000</v>
      </c>
      <c r="W131" s="66">
        <f>43750000</f>
        <v>43750000</v>
      </c>
      <c r="X131" s="66"/>
      <c r="Y131" s="66">
        <v>1200000</v>
      </c>
      <c r="Z131" s="66"/>
      <c r="AA131" s="66"/>
      <c r="AB131" s="56">
        <f t="shared" si="15"/>
        <v>72000000</v>
      </c>
      <c r="AC131" s="56">
        <f t="shared" si="16"/>
        <v>56200000</v>
      </c>
      <c r="AD131" s="66">
        <f t="shared" si="17"/>
        <v>70800000</v>
      </c>
      <c r="AE131" s="74"/>
      <c r="AF131" s="74">
        <v>1200000</v>
      </c>
      <c r="AG131" s="74"/>
      <c r="AH131" s="74">
        <v>1200000</v>
      </c>
      <c r="AI131" s="74"/>
      <c r="AJ131" s="92">
        <v>1200000</v>
      </c>
      <c r="AK131" s="74"/>
      <c r="AL131" s="74">
        <v>1200000</v>
      </c>
      <c r="AM131" s="74"/>
      <c r="AN131" s="74">
        <v>1200000</v>
      </c>
      <c r="AO131" s="91"/>
      <c r="AP131" s="91">
        <v>1200000</v>
      </c>
      <c r="AQ131" s="91"/>
      <c r="AR131" s="92">
        <v>1200000</v>
      </c>
      <c r="AS131" s="92"/>
      <c r="AT131" s="92">
        <v>1200000</v>
      </c>
      <c r="AU131" s="92"/>
      <c r="AV131" s="92">
        <v>1200000</v>
      </c>
      <c r="AW131" s="92"/>
      <c r="AX131" s="92">
        <v>1200000</v>
      </c>
      <c r="AY131" s="92"/>
      <c r="AZ131" s="92">
        <v>1200000</v>
      </c>
      <c r="BA131" s="92"/>
      <c r="BB131" s="92">
        <f>VLOOKUP(B131,'[1]Reguler &amp; Khusus'!$B$8:$D$57,3,0)</f>
        <v>1200000</v>
      </c>
      <c r="BC131" s="76">
        <f t="shared" si="18"/>
        <v>0</v>
      </c>
      <c r="BD131" s="76">
        <f t="shared" si="19"/>
        <v>14400000</v>
      </c>
      <c r="BE131" s="76">
        <f t="shared" si="14"/>
        <v>56400000</v>
      </c>
    </row>
    <row r="132" spans="1:57" s="57" customFormat="1" ht="14" x14ac:dyDescent="0.25">
      <c r="A132" s="77">
        <f t="shared" si="13"/>
        <v>128</v>
      </c>
      <c r="B132" s="129" t="s">
        <v>160</v>
      </c>
      <c r="C132" s="130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66">
        <v>47000000</v>
      </c>
      <c r="Q132" s="56"/>
      <c r="R132" s="66"/>
      <c r="S132" s="56">
        <v>1305556</v>
      </c>
      <c r="T132" s="66"/>
      <c r="U132" s="56">
        <v>1305556</v>
      </c>
      <c r="V132" s="66"/>
      <c r="W132" s="56">
        <v>1305556</v>
      </c>
      <c r="X132" s="66"/>
      <c r="Y132" s="56">
        <v>1305556</v>
      </c>
      <c r="Z132" s="66"/>
      <c r="AA132" s="56">
        <v>1305556</v>
      </c>
      <c r="AB132" s="56">
        <f t="shared" si="15"/>
        <v>47000000</v>
      </c>
      <c r="AC132" s="56">
        <f t="shared" si="16"/>
        <v>6527780</v>
      </c>
      <c r="AD132" s="66">
        <f t="shared" si="17"/>
        <v>40472220</v>
      </c>
      <c r="AE132" s="74"/>
      <c r="AF132" s="74">
        <v>1305556</v>
      </c>
      <c r="AG132" s="74"/>
      <c r="AH132" s="74">
        <v>1305556</v>
      </c>
      <c r="AI132" s="74"/>
      <c r="AJ132" s="74">
        <v>1305556</v>
      </c>
      <c r="AK132" s="74">
        <v>100000000</v>
      </c>
      <c r="AL132" s="74">
        <v>36555556</v>
      </c>
      <c r="AM132" s="74"/>
      <c r="AN132" s="74">
        <v>2777778</v>
      </c>
      <c r="AO132" s="74"/>
      <c r="AP132" s="74">
        <v>2777778</v>
      </c>
      <c r="AQ132" s="74"/>
      <c r="AR132" s="74">
        <v>2777778</v>
      </c>
      <c r="AS132" s="74"/>
      <c r="AT132" s="74">
        <v>2777778</v>
      </c>
      <c r="AU132" s="74"/>
      <c r="AV132" s="74">
        <v>2020202</v>
      </c>
      <c r="AW132" s="74"/>
      <c r="AX132" s="74">
        <v>2020202</v>
      </c>
      <c r="AY132" s="74"/>
      <c r="AZ132" s="74">
        <v>2020202</v>
      </c>
      <c r="BA132" s="74"/>
      <c r="BB132" s="74">
        <v>2020202</v>
      </c>
      <c r="BC132" s="76">
        <f t="shared" si="18"/>
        <v>100000000</v>
      </c>
      <c r="BD132" s="76">
        <f t="shared" si="19"/>
        <v>59664144</v>
      </c>
      <c r="BE132" s="76">
        <f t="shared" si="14"/>
        <v>80808076</v>
      </c>
    </row>
    <row r="133" spans="1:57" ht="14" x14ac:dyDescent="0.25">
      <c r="A133" s="64">
        <f t="shared" si="13"/>
        <v>129</v>
      </c>
      <c r="B133" s="63" t="s">
        <v>161</v>
      </c>
      <c r="C133" s="59"/>
      <c r="D133" s="56"/>
      <c r="E133" s="56"/>
      <c r="F133" s="56">
        <v>50000000</v>
      </c>
      <c r="G133" s="56"/>
      <c r="H133" s="56"/>
      <c r="I133" s="56">
        <v>1041667</v>
      </c>
      <c r="J133" s="56"/>
      <c r="K133" s="56">
        <v>1041667</v>
      </c>
      <c r="L133" s="56"/>
      <c r="M133" s="56">
        <v>1041667</v>
      </c>
      <c r="N133" s="56"/>
      <c r="O133" s="56">
        <v>1041667</v>
      </c>
      <c r="P133" s="66">
        <v>100000000</v>
      </c>
      <c r="Q133" s="56">
        <f>1041667+44791665</f>
        <v>45833332</v>
      </c>
      <c r="R133" s="66"/>
      <c r="S133" s="56">
        <v>1666667</v>
      </c>
      <c r="T133" s="66"/>
      <c r="U133" s="56">
        <v>1666667</v>
      </c>
      <c r="V133" s="66"/>
      <c r="W133" s="56">
        <v>1666667</v>
      </c>
      <c r="X133" s="66"/>
      <c r="Y133" s="56">
        <v>1666667</v>
      </c>
      <c r="Z133" s="66"/>
      <c r="AA133" s="56">
        <v>1666667</v>
      </c>
      <c r="AB133" s="56">
        <f t="shared" si="15"/>
        <v>150000000</v>
      </c>
      <c r="AC133" s="56">
        <f t="shared" si="16"/>
        <v>58333335</v>
      </c>
      <c r="AD133" s="66">
        <f t="shared" si="17"/>
        <v>91666665</v>
      </c>
      <c r="AE133" s="74"/>
      <c r="AF133" s="74">
        <v>1666667</v>
      </c>
      <c r="AG133" s="74"/>
      <c r="AH133" s="74">
        <v>1666667</v>
      </c>
      <c r="AI133" s="74"/>
      <c r="AJ133" s="74">
        <v>88333333</v>
      </c>
      <c r="AK133" s="74"/>
      <c r="AL133" s="74">
        <v>0</v>
      </c>
      <c r="AM133" s="74"/>
      <c r="AN133" s="74">
        <v>0</v>
      </c>
      <c r="AO133" s="91"/>
      <c r="AP133" s="91">
        <v>0</v>
      </c>
      <c r="AQ133" s="91"/>
      <c r="AR133" s="91">
        <v>0</v>
      </c>
      <c r="AS133" s="91"/>
      <c r="AT133" s="91">
        <v>0</v>
      </c>
      <c r="AU133" s="91"/>
      <c r="AV133" s="91"/>
      <c r="AW133" s="91"/>
      <c r="AX133" s="91"/>
      <c r="AY133" s="91"/>
      <c r="AZ133" s="91"/>
      <c r="BA133" s="91"/>
      <c r="BB133" s="91"/>
      <c r="BC133" s="76">
        <f t="shared" si="18"/>
        <v>0</v>
      </c>
      <c r="BD133" s="76">
        <f t="shared" si="19"/>
        <v>91666667</v>
      </c>
      <c r="BE133" s="76">
        <f t="shared" si="14"/>
        <v>-2</v>
      </c>
    </row>
    <row r="134" spans="1:57" ht="14" x14ac:dyDescent="0.25">
      <c r="A134" s="64">
        <f t="shared" si="13"/>
        <v>130</v>
      </c>
      <c r="B134" s="63" t="s">
        <v>143</v>
      </c>
      <c r="C134" s="59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56">
        <f t="shared" si="15"/>
        <v>0</v>
      </c>
      <c r="AC134" s="56">
        <f t="shared" si="16"/>
        <v>0</v>
      </c>
      <c r="AD134" s="66">
        <f t="shared" si="17"/>
        <v>0</v>
      </c>
      <c r="AE134" s="74"/>
      <c r="AF134" s="74">
        <v>0</v>
      </c>
      <c r="AG134" s="74"/>
      <c r="AH134" s="74">
        <v>0</v>
      </c>
      <c r="AI134" s="74"/>
      <c r="AJ134" s="74">
        <v>0</v>
      </c>
      <c r="AK134" s="74"/>
      <c r="AL134" s="74">
        <v>0</v>
      </c>
      <c r="AM134" s="74"/>
      <c r="AN134" s="74">
        <v>0</v>
      </c>
      <c r="AO134" s="91"/>
      <c r="AP134" s="91">
        <v>0</v>
      </c>
      <c r="AQ134" s="91"/>
      <c r="AR134" s="91">
        <v>0</v>
      </c>
      <c r="AS134" s="91"/>
      <c r="AT134" s="91">
        <v>0</v>
      </c>
      <c r="AU134" s="91"/>
      <c r="AV134" s="91"/>
      <c r="AW134" s="91"/>
      <c r="AX134" s="91"/>
      <c r="AY134" s="91"/>
      <c r="AZ134" s="91"/>
      <c r="BA134" s="91"/>
      <c r="BB134" s="91"/>
      <c r="BC134" s="76">
        <f t="shared" si="18"/>
        <v>0</v>
      </c>
      <c r="BD134" s="76">
        <f t="shared" si="19"/>
        <v>0</v>
      </c>
      <c r="BE134" s="76">
        <f t="shared" si="14"/>
        <v>0</v>
      </c>
    </row>
    <row r="135" spans="1:57" ht="14" x14ac:dyDescent="0.25">
      <c r="A135" s="64">
        <f t="shared" ref="A135:A156" si="20">A134+1</f>
        <v>131</v>
      </c>
      <c r="B135" s="63" t="s">
        <v>184</v>
      </c>
      <c r="C135" s="59">
        <v>11250000</v>
      </c>
      <c r="D135" s="56"/>
      <c r="E135" s="56">
        <v>625000</v>
      </c>
      <c r="F135" s="56"/>
      <c r="G135" s="56">
        <v>625000</v>
      </c>
      <c r="H135" s="56"/>
      <c r="I135" s="56">
        <v>625000</v>
      </c>
      <c r="J135" s="56"/>
      <c r="K135" s="56">
        <v>625000</v>
      </c>
      <c r="L135" s="56"/>
      <c r="M135" s="56">
        <v>625000</v>
      </c>
      <c r="N135" s="56"/>
      <c r="O135" s="56">
        <v>625000</v>
      </c>
      <c r="P135" s="66"/>
      <c r="Q135" s="56">
        <v>625000</v>
      </c>
      <c r="R135" s="66"/>
      <c r="S135" s="56">
        <v>625000</v>
      </c>
      <c r="T135" s="66"/>
      <c r="U135" s="56">
        <v>625000</v>
      </c>
      <c r="V135" s="56"/>
      <c r="W135" s="56">
        <v>625000</v>
      </c>
      <c r="X135" s="66"/>
      <c r="Y135" s="56">
        <v>625000</v>
      </c>
      <c r="Z135" s="66"/>
      <c r="AA135" s="66">
        <v>625000</v>
      </c>
      <c r="AB135" s="56">
        <f t="shared" si="15"/>
        <v>0</v>
      </c>
      <c r="AC135" s="56">
        <f t="shared" si="16"/>
        <v>7500000</v>
      </c>
      <c r="AD135" s="66">
        <f t="shared" ref="AD135" si="21">C135+AB135-AC135</f>
        <v>3750000</v>
      </c>
      <c r="AE135" s="74"/>
      <c r="AF135" s="74">
        <v>625000</v>
      </c>
      <c r="AG135" s="74"/>
      <c r="AH135" s="74">
        <v>625000</v>
      </c>
      <c r="AI135" s="74"/>
      <c r="AJ135" s="74">
        <v>625000</v>
      </c>
      <c r="AK135" s="74"/>
      <c r="AL135" s="74">
        <v>625000</v>
      </c>
      <c r="AM135" s="74"/>
      <c r="AN135" s="74">
        <v>625000</v>
      </c>
      <c r="AO135" s="91"/>
      <c r="AP135" s="91">
        <v>625000</v>
      </c>
      <c r="AQ135" s="91"/>
      <c r="AR135" s="91">
        <v>0</v>
      </c>
      <c r="AS135" s="91"/>
      <c r="AT135" s="91">
        <v>0</v>
      </c>
      <c r="AU135" s="91"/>
      <c r="AV135" s="91"/>
      <c r="AW135" s="91"/>
      <c r="AX135" s="91"/>
      <c r="AY135" s="91"/>
      <c r="AZ135" s="91"/>
      <c r="BA135" s="91"/>
      <c r="BB135" s="91"/>
      <c r="BC135" s="76">
        <f t="shared" si="18"/>
        <v>0</v>
      </c>
      <c r="BD135" s="76">
        <f t="shared" si="19"/>
        <v>3750000</v>
      </c>
      <c r="BE135" s="76">
        <f t="shared" si="14"/>
        <v>0</v>
      </c>
    </row>
    <row r="136" spans="1:57" ht="14" x14ac:dyDescent="0.25">
      <c r="A136" s="64">
        <f t="shared" si="20"/>
        <v>132</v>
      </c>
      <c r="B136" s="63" t="s">
        <v>145</v>
      </c>
      <c r="C136" s="59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56">
        <f t="shared" si="15"/>
        <v>0</v>
      </c>
      <c r="AC136" s="56">
        <f t="shared" si="16"/>
        <v>0</v>
      </c>
      <c r="AD136" s="66">
        <f t="shared" si="17"/>
        <v>0</v>
      </c>
      <c r="AE136" s="74"/>
      <c r="AF136" s="74">
        <v>0</v>
      </c>
      <c r="AG136" s="74"/>
      <c r="AH136" s="74">
        <v>0</v>
      </c>
      <c r="AI136" s="74"/>
      <c r="AJ136" s="74">
        <v>0</v>
      </c>
      <c r="AK136" s="74"/>
      <c r="AL136" s="74">
        <v>0</v>
      </c>
      <c r="AM136" s="74"/>
      <c r="AN136" s="74">
        <v>0</v>
      </c>
      <c r="AO136" s="91"/>
      <c r="AP136" s="91">
        <v>0</v>
      </c>
      <c r="AQ136" s="91"/>
      <c r="AR136" s="91">
        <v>0</v>
      </c>
      <c r="AS136" s="91"/>
      <c r="AT136" s="91">
        <v>0</v>
      </c>
      <c r="AU136" s="91"/>
      <c r="AV136" s="91"/>
      <c r="AW136" s="91"/>
      <c r="AX136" s="91"/>
      <c r="AY136" s="91"/>
      <c r="AZ136" s="91"/>
      <c r="BA136" s="91"/>
      <c r="BB136" s="91"/>
      <c r="BC136" s="76">
        <f t="shared" si="18"/>
        <v>0</v>
      </c>
      <c r="BD136" s="76">
        <f t="shared" si="19"/>
        <v>0</v>
      </c>
      <c r="BE136" s="76">
        <f t="shared" si="14"/>
        <v>0</v>
      </c>
    </row>
    <row r="137" spans="1:57" s="57" customFormat="1" ht="14" x14ac:dyDescent="0.25">
      <c r="A137" s="77">
        <f t="shared" si="20"/>
        <v>133</v>
      </c>
      <c r="B137" s="129" t="s">
        <v>146</v>
      </c>
      <c r="C137" s="130">
        <v>41566666</v>
      </c>
      <c r="D137" s="56"/>
      <c r="E137" s="56">
        <v>716667</v>
      </c>
      <c r="F137" s="56"/>
      <c r="G137" s="56">
        <v>716667</v>
      </c>
      <c r="H137" s="56"/>
      <c r="I137" s="56">
        <v>716667</v>
      </c>
      <c r="J137" s="56"/>
      <c r="K137" s="56">
        <v>716667</v>
      </c>
      <c r="L137" s="56"/>
      <c r="M137" s="56">
        <v>716667</v>
      </c>
      <c r="N137" s="56"/>
      <c r="O137" s="56">
        <v>716667</v>
      </c>
      <c r="P137" s="66"/>
      <c r="Q137" s="56">
        <v>716667</v>
      </c>
      <c r="R137" s="66"/>
      <c r="S137" s="56">
        <v>716667</v>
      </c>
      <c r="T137" s="66"/>
      <c r="U137" s="56">
        <v>716667</v>
      </c>
      <c r="V137" s="66"/>
      <c r="W137" s="56">
        <v>716667</v>
      </c>
      <c r="X137" s="66"/>
      <c r="Y137" s="56">
        <v>716667</v>
      </c>
      <c r="Z137" s="66"/>
      <c r="AA137" s="56">
        <v>716667</v>
      </c>
      <c r="AB137" s="56">
        <f t="shared" si="15"/>
        <v>0</v>
      </c>
      <c r="AC137" s="56">
        <f t="shared" si="16"/>
        <v>8600004</v>
      </c>
      <c r="AD137" s="66">
        <f t="shared" si="17"/>
        <v>32966662</v>
      </c>
      <c r="AE137" s="74"/>
      <c r="AF137" s="74">
        <v>716667</v>
      </c>
      <c r="AG137" s="74"/>
      <c r="AH137" s="74">
        <v>716667</v>
      </c>
      <c r="AI137" s="74"/>
      <c r="AJ137" s="74">
        <v>716667</v>
      </c>
      <c r="AK137" s="74"/>
      <c r="AL137" s="74">
        <v>716667</v>
      </c>
      <c r="AM137" s="74"/>
      <c r="AN137" s="74">
        <v>716667</v>
      </c>
      <c r="AO137" s="74"/>
      <c r="AP137" s="74">
        <v>716667</v>
      </c>
      <c r="AQ137" s="74"/>
      <c r="AR137" s="74">
        <v>716667</v>
      </c>
      <c r="AS137" s="74"/>
      <c r="AT137" s="74">
        <v>716667</v>
      </c>
      <c r="AU137" s="74"/>
      <c r="AV137" s="74">
        <v>716667</v>
      </c>
      <c r="AW137" s="74"/>
      <c r="AX137" s="74">
        <v>716667</v>
      </c>
      <c r="AY137" s="74"/>
      <c r="AZ137" s="74">
        <v>716667</v>
      </c>
      <c r="BA137" s="74"/>
      <c r="BB137" s="74">
        <v>716667</v>
      </c>
      <c r="BC137" s="76">
        <f t="shared" si="18"/>
        <v>0</v>
      </c>
      <c r="BD137" s="76">
        <f t="shared" si="19"/>
        <v>8600004</v>
      </c>
      <c r="BE137" s="76">
        <f t="shared" si="14"/>
        <v>24366658</v>
      </c>
    </row>
    <row r="138" spans="1:57" ht="14" x14ac:dyDescent="0.25">
      <c r="A138" s="64">
        <f t="shared" si="20"/>
        <v>134</v>
      </c>
      <c r="B138" s="63" t="s">
        <v>247</v>
      </c>
      <c r="C138" s="59">
        <v>79999994</v>
      </c>
      <c r="D138" s="56"/>
      <c r="E138" s="56">
        <v>1666667</v>
      </c>
      <c r="F138" s="56"/>
      <c r="G138" s="56">
        <v>1666667</v>
      </c>
      <c r="H138" s="56"/>
      <c r="I138" s="56">
        <v>1666667</v>
      </c>
      <c r="J138" s="56"/>
      <c r="K138" s="56">
        <v>1666667</v>
      </c>
      <c r="L138" s="56"/>
      <c r="M138" s="56">
        <v>1666667</v>
      </c>
      <c r="N138" s="56"/>
      <c r="O138" s="56">
        <v>1666667</v>
      </c>
      <c r="P138" s="66"/>
      <c r="Q138" s="56">
        <v>1666667</v>
      </c>
      <c r="R138" s="66"/>
      <c r="S138" s="56">
        <v>1666667</v>
      </c>
      <c r="T138" s="66"/>
      <c r="U138" s="56">
        <v>1666667</v>
      </c>
      <c r="V138" s="66"/>
      <c r="W138" s="56">
        <v>1666667</v>
      </c>
      <c r="X138" s="66"/>
      <c r="Y138" s="56">
        <v>1666667</v>
      </c>
      <c r="Z138" s="66"/>
      <c r="AA138" s="56">
        <v>1666667</v>
      </c>
      <c r="AB138" s="56">
        <f t="shared" si="15"/>
        <v>0</v>
      </c>
      <c r="AC138" s="56">
        <f t="shared" si="16"/>
        <v>20000004</v>
      </c>
      <c r="AD138" s="66">
        <f t="shared" si="17"/>
        <v>59999990</v>
      </c>
      <c r="AE138" s="74"/>
      <c r="AF138" s="74">
        <v>1666667</v>
      </c>
      <c r="AG138" s="74"/>
      <c r="AH138" s="74">
        <v>1666667</v>
      </c>
      <c r="AI138" s="74"/>
      <c r="AJ138" s="92">
        <v>1666667</v>
      </c>
      <c r="AK138" s="74"/>
      <c r="AL138" s="74">
        <v>1666667</v>
      </c>
      <c r="AM138" s="74"/>
      <c r="AN138" s="74">
        <v>1666667</v>
      </c>
      <c r="AO138" s="91"/>
      <c r="AP138" s="91">
        <v>1666667</v>
      </c>
      <c r="AQ138" s="91"/>
      <c r="AR138" s="92">
        <v>1666667</v>
      </c>
      <c r="AS138" s="92"/>
      <c r="AT138" s="92">
        <v>1666667</v>
      </c>
      <c r="AU138" s="92"/>
      <c r="AV138" s="92">
        <v>1666667</v>
      </c>
      <c r="AW138" s="92"/>
      <c r="AX138" s="92">
        <v>1666667</v>
      </c>
      <c r="AY138" s="92"/>
      <c r="AZ138" s="92">
        <v>1666667</v>
      </c>
      <c r="BA138" s="92"/>
      <c r="BB138" s="92">
        <f>VLOOKUP(B138,'[1]Reguler &amp; Khusus'!$B$8:$D$57,3,0)</f>
        <v>1666667</v>
      </c>
      <c r="BC138" s="76">
        <f t="shared" si="18"/>
        <v>0</v>
      </c>
      <c r="BD138" s="76">
        <f t="shared" si="19"/>
        <v>20000004</v>
      </c>
      <c r="BE138" s="76">
        <f t="shared" si="14"/>
        <v>39999986</v>
      </c>
    </row>
    <row r="139" spans="1:57" ht="14" x14ac:dyDescent="0.25">
      <c r="A139" s="64">
        <f t="shared" si="20"/>
        <v>135</v>
      </c>
      <c r="B139" s="63" t="s">
        <v>193</v>
      </c>
      <c r="C139" s="59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66"/>
      <c r="Q139" s="56"/>
      <c r="R139" s="66">
        <v>50000000</v>
      </c>
      <c r="S139" s="56"/>
      <c r="T139" s="66"/>
      <c r="U139" s="56">
        <v>2083333</v>
      </c>
      <c r="V139" s="66"/>
      <c r="W139" s="56">
        <v>2083333</v>
      </c>
      <c r="X139" s="66"/>
      <c r="Y139" s="56">
        <v>2083333</v>
      </c>
      <c r="Z139" s="66"/>
      <c r="AA139" s="56">
        <v>2083333</v>
      </c>
      <c r="AB139" s="56">
        <f t="shared" si="15"/>
        <v>50000000</v>
      </c>
      <c r="AC139" s="56">
        <f t="shared" si="16"/>
        <v>8333332</v>
      </c>
      <c r="AD139" s="66">
        <f t="shared" si="17"/>
        <v>41666668</v>
      </c>
      <c r="AE139" s="74"/>
      <c r="AF139" s="74">
        <v>2083333</v>
      </c>
      <c r="AG139" s="74"/>
      <c r="AH139" s="74">
        <v>2083333</v>
      </c>
      <c r="AI139" s="74"/>
      <c r="AJ139" s="92">
        <v>2083333</v>
      </c>
      <c r="AK139" s="74"/>
      <c r="AL139" s="74">
        <v>2083333</v>
      </c>
      <c r="AM139" s="74"/>
      <c r="AN139" s="74">
        <v>2083333</v>
      </c>
      <c r="AO139" s="91"/>
      <c r="AP139" s="91">
        <v>2083333</v>
      </c>
      <c r="AQ139" s="91"/>
      <c r="AR139" s="92">
        <v>2083333</v>
      </c>
      <c r="AS139" s="92"/>
      <c r="AT139" s="92">
        <v>2083333</v>
      </c>
      <c r="AU139" s="92"/>
      <c r="AV139" s="92">
        <v>2083333</v>
      </c>
      <c r="AW139" s="92"/>
      <c r="AX139" s="92">
        <v>2083333</v>
      </c>
      <c r="AY139" s="92"/>
      <c r="AZ139" s="92">
        <v>2083333</v>
      </c>
      <c r="BA139" s="92"/>
      <c r="BB139" s="92">
        <f>VLOOKUP(B139,'[1]Reguler &amp; Khusus'!$B$8:$D$57,3,0)</f>
        <v>2083333</v>
      </c>
      <c r="BC139" s="76">
        <f t="shared" si="18"/>
        <v>0</v>
      </c>
      <c r="BD139" s="76">
        <f t="shared" si="19"/>
        <v>24999996</v>
      </c>
      <c r="BE139" s="76">
        <f t="shared" si="14"/>
        <v>16666672</v>
      </c>
    </row>
    <row r="140" spans="1:57" ht="14" x14ac:dyDescent="0.25">
      <c r="A140" s="64">
        <f t="shared" si="20"/>
        <v>136</v>
      </c>
      <c r="B140" s="119" t="s">
        <v>148</v>
      </c>
      <c r="C140" s="120">
        <v>38249992</v>
      </c>
      <c r="D140" s="121"/>
      <c r="E140" s="121">
        <v>1416667</v>
      </c>
      <c r="F140" s="121"/>
      <c r="G140" s="121"/>
      <c r="H140" s="121"/>
      <c r="I140" s="121">
        <f>1416667+1416667</f>
        <v>2833334</v>
      </c>
      <c r="J140" s="121"/>
      <c r="K140" s="121"/>
      <c r="L140" s="121"/>
      <c r="M140" s="121"/>
      <c r="N140" s="121"/>
      <c r="O140" s="121">
        <f>1416667*3</f>
        <v>4250001</v>
      </c>
      <c r="P140" s="122"/>
      <c r="Q140" s="122">
        <f>1416667*2</f>
        <v>2833334</v>
      </c>
      <c r="R140" s="122"/>
      <c r="S140" s="122"/>
      <c r="T140" s="122"/>
      <c r="U140" s="122">
        <v>1416667</v>
      </c>
      <c r="V140" s="122"/>
      <c r="W140" s="122">
        <v>1416667</v>
      </c>
      <c r="X140" s="122"/>
      <c r="Y140" s="122">
        <v>1416667</v>
      </c>
      <c r="Z140" s="122"/>
      <c r="AA140" s="122">
        <v>1416667</v>
      </c>
      <c r="AB140" s="121">
        <f t="shared" si="15"/>
        <v>0</v>
      </c>
      <c r="AC140" s="121">
        <f t="shared" si="16"/>
        <v>17000004</v>
      </c>
      <c r="AD140" s="122">
        <f t="shared" si="17"/>
        <v>21249988</v>
      </c>
      <c r="AE140" s="123"/>
      <c r="AF140" s="123">
        <v>1416667</v>
      </c>
      <c r="AG140" s="123"/>
      <c r="AH140" s="123">
        <v>0</v>
      </c>
      <c r="AI140" s="123"/>
      <c r="AJ140" s="123">
        <v>1416667</v>
      </c>
      <c r="AK140" s="123"/>
      <c r="AL140" s="123">
        <v>1416667</v>
      </c>
      <c r="AM140" s="123"/>
      <c r="AN140" s="123">
        <v>0</v>
      </c>
      <c r="AO140" s="123"/>
      <c r="AP140" s="123">
        <f>1416667+11333333</f>
        <v>12750000</v>
      </c>
      <c r="AQ140" s="123"/>
      <c r="AR140" s="123">
        <f>1416667+1416667</f>
        <v>2833334</v>
      </c>
      <c r="AS140" s="123"/>
      <c r="AT140" s="123">
        <v>1416667</v>
      </c>
      <c r="AU140" s="123"/>
      <c r="AV140" s="123"/>
      <c r="AW140" s="123"/>
      <c r="AX140" s="123"/>
      <c r="AY140" s="123"/>
      <c r="AZ140" s="123"/>
      <c r="BA140" s="123"/>
      <c r="BB140" s="123"/>
      <c r="BC140" s="76">
        <f t="shared" si="18"/>
        <v>0</v>
      </c>
      <c r="BD140" s="76">
        <f t="shared" si="19"/>
        <v>21250002</v>
      </c>
      <c r="BE140" s="76">
        <f t="shared" si="14"/>
        <v>-14</v>
      </c>
    </row>
    <row r="141" spans="1:57" ht="14" x14ac:dyDescent="0.25">
      <c r="A141" s="64">
        <f t="shared" si="20"/>
        <v>137</v>
      </c>
      <c r="B141" s="124" t="s">
        <v>149</v>
      </c>
      <c r="C141" s="125">
        <v>8333341</v>
      </c>
      <c r="D141" s="126"/>
      <c r="E141" s="126">
        <v>833333</v>
      </c>
      <c r="F141" s="126"/>
      <c r="G141" s="126">
        <v>833333</v>
      </c>
      <c r="H141" s="126"/>
      <c r="I141" s="126">
        <v>833333</v>
      </c>
      <c r="J141" s="126"/>
      <c r="K141" s="126">
        <v>833333</v>
      </c>
      <c r="L141" s="126"/>
      <c r="M141" s="126">
        <v>833333</v>
      </c>
      <c r="N141" s="126"/>
      <c r="O141" s="126">
        <v>833333</v>
      </c>
      <c r="P141" s="127"/>
      <c r="Q141" s="126">
        <v>833333</v>
      </c>
      <c r="R141" s="127"/>
      <c r="S141" s="126">
        <v>833333</v>
      </c>
      <c r="T141" s="127"/>
      <c r="U141" s="126">
        <v>833333</v>
      </c>
      <c r="V141" s="127">
        <v>40000000</v>
      </c>
      <c r="W141" s="126">
        <v>833333</v>
      </c>
      <c r="X141" s="127"/>
      <c r="Y141" s="126">
        <v>1111111</v>
      </c>
      <c r="Z141" s="127"/>
      <c r="AA141" s="126">
        <v>1111111</v>
      </c>
      <c r="AB141" s="126">
        <f t="shared" si="15"/>
        <v>40000000</v>
      </c>
      <c r="AC141" s="126">
        <f t="shared" si="16"/>
        <v>10555552</v>
      </c>
      <c r="AD141" s="127">
        <f t="shared" si="17"/>
        <v>37777789</v>
      </c>
      <c r="AE141" s="128"/>
      <c r="AF141" s="128">
        <v>1111111</v>
      </c>
      <c r="AG141" s="128"/>
      <c r="AH141" s="128">
        <v>1111111</v>
      </c>
      <c r="AI141" s="128"/>
      <c r="AJ141" s="128">
        <v>1111111</v>
      </c>
      <c r="AK141" s="128"/>
      <c r="AL141" s="128">
        <v>1111111</v>
      </c>
      <c r="AM141" s="128"/>
      <c r="AN141" s="128">
        <v>1111111</v>
      </c>
      <c r="AO141" s="128"/>
      <c r="AP141" s="128">
        <v>1111111</v>
      </c>
      <c r="AQ141" s="128"/>
      <c r="AR141" s="128">
        <v>1111111</v>
      </c>
      <c r="AS141" s="128"/>
      <c r="AT141" s="128">
        <v>1111111</v>
      </c>
      <c r="AU141" s="128"/>
      <c r="AV141" s="128">
        <v>1111111</v>
      </c>
      <c r="AW141" s="128"/>
      <c r="AX141" s="128">
        <v>1111111</v>
      </c>
      <c r="AY141" s="128"/>
      <c r="AZ141" s="128">
        <v>1111111</v>
      </c>
      <c r="BA141" s="128"/>
      <c r="BB141" s="128">
        <v>1111111</v>
      </c>
      <c r="BC141" s="76">
        <f t="shared" si="18"/>
        <v>0</v>
      </c>
      <c r="BD141" s="76">
        <f t="shared" si="19"/>
        <v>13333332</v>
      </c>
      <c r="BE141" s="76">
        <f t="shared" si="14"/>
        <v>24444457</v>
      </c>
    </row>
    <row r="142" spans="1:57" ht="14" x14ac:dyDescent="0.25">
      <c r="A142" s="64">
        <f t="shared" si="20"/>
        <v>138</v>
      </c>
      <c r="B142" s="63" t="s">
        <v>163</v>
      </c>
      <c r="C142" s="59"/>
      <c r="D142" s="56">
        <v>50000000</v>
      </c>
      <c r="E142" s="56"/>
      <c r="F142" s="56">
        <f>100000000+100000000</f>
        <v>200000000</v>
      </c>
      <c r="G142" s="56">
        <f>33000000+17000000+100000000</f>
        <v>150000000</v>
      </c>
      <c r="H142" s="56"/>
      <c r="I142" s="56">
        <v>100000000</v>
      </c>
      <c r="J142" s="56">
        <v>50000000</v>
      </c>
      <c r="K142" s="56"/>
      <c r="L142" s="56">
        <v>50000000</v>
      </c>
      <c r="M142" s="56">
        <v>50000000</v>
      </c>
      <c r="N142" s="56"/>
      <c r="O142" s="56"/>
      <c r="P142" s="66"/>
      <c r="Q142" s="56">
        <v>50000000</v>
      </c>
      <c r="R142" s="66"/>
      <c r="S142" s="56"/>
      <c r="T142" s="66"/>
      <c r="U142" s="56"/>
      <c r="V142" s="66"/>
      <c r="W142" s="56"/>
      <c r="X142" s="66"/>
      <c r="Y142" s="56"/>
      <c r="Z142" s="66"/>
      <c r="AA142" s="56"/>
      <c r="AB142" s="56">
        <f t="shared" si="15"/>
        <v>350000000</v>
      </c>
      <c r="AC142" s="56">
        <f t="shared" si="16"/>
        <v>350000000</v>
      </c>
      <c r="AD142" s="66">
        <f t="shared" si="17"/>
        <v>0</v>
      </c>
      <c r="AE142" s="74"/>
      <c r="AF142" s="74">
        <v>0</v>
      </c>
      <c r="AG142" s="74"/>
      <c r="AH142" s="74">
        <v>0</v>
      </c>
      <c r="AI142" s="74"/>
      <c r="AJ142" s="74">
        <v>0</v>
      </c>
      <c r="AK142" s="74"/>
      <c r="AL142" s="74">
        <v>0</v>
      </c>
      <c r="AM142" s="74"/>
      <c r="AN142" s="74">
        <v>0</v>
      </c>
      <c r="AO142" s="91"/>
      <c r="AP142" s="91">
        <v>0</v>
      </c>
      <c r="AQ142" s="91"/>
      <c r="AR142" s="91">
        <v>0</v>
      </c>
      <c r="AS142" s="91"/>
      <c r="AT142" s="91">
        <v>0</v>
      </c>
      <c r="AU142" s="91"/>
      <c r="AV142" s="91"/>
      <c r="AW142" s="91"/>
      <c r="AX142" s="91"/>
      <c r="AY142" s="91"/>
      <c r="AZ142" s="91"/>
      <c r="BA142" s="91"/>
      <c r="BB142" s="91"/>
      <c r="BC142" s="76">
        <f t="shared" si="18"/>
        <v>0</v>
      </c>
      <c r="BD142" s="76">
        <f t="shared" si="19"/>
        <v>0</v>
      </c>
      <c r="BE142" s="76">
        <f t="shared" si="14"/>
        <v>0</v>
      </c>
    </row>
    <row r="143" spans="1:57" ht="14" x14ac:dyDescent="0.25">
      <c r="A143" s="64">
        <f t="shared" si="20"/>
        <v>139</v>
      </c>
      <c r="B143" s="63" t="s">
        <v>150</v>
      </c>
      <c r="C143" s="59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56">
        <f t="shared" si="15"/>
        <v>0</v>
      </c>
      <c r="AC143" s="56">
        <f t="shared" si="16"/>
        <v>0</v>
      </c>
      <c r="AD143" s="66">
        <f t="shared" si="17"/>
        <v>0</v>
      </c>
      <c r="AE143" s="74"/>
      <c r="AF143" s="74">
        <v>0</v>
      </c>
      <c r="AG143" s="74"/>
      <c r="AH143" s="74">
        <v>0</v>
      </c>
      <c r="AI143" s="74"/>
      <c r="AJ143" s="74">
        <v>0</v>
      </c>
      <c r="AK143" s="74"/>
      <c r="AL143" s="74">
        <v>0</v>
      </c>
      <c r="AM143" s="74"/>
      <c r="AN143" s="74">
        <v>0</v>
      </c>
      <c r="AO143" s="91"/>
      <c r="AP143" s="91">
        <v>0</v>
      </c>
      <c r="AQ143" s="91"/>
      <c r="AR143" s="91">
        <v>0</v>
      </c>
      <c r="AS143" s="91"/>
      <c r="AT143" s="91">
        <v>0</v>
      </c>
      <c r="AU143" s="91"/>
      <c r="AV143" s="91"/>
      <c r="AW143" s="91"/>
      <c r="AX143" s="91"/>
      <c r="AY143" s="91"/>
      <c r="AZ143" s="91"/>
      <c r="BA143" s="91"/>
      <c r="BB143" s="91"/>
      <c r="BC143" s="76">
        <f t="shared" si="18"/>
        <v>0</v>
      </c>
      <c r="BD143" s="76">
        <f t="shared" si="19"/>
        <v>0</v>
      </c>
      <c r="BE143" s="76">
        <f t="shared" ref="BE143:BE163" si="22">AD143+BC143-BD143</f>
        <v>0</v>
      </c>
    </row>
    <row r="144" spans="1:57" ht="14" x14ac:dyDescent="0.25">
      <c r="A144" s="64">
        <f t="shared" si="20"/>
        <v>140</v>
      </c>
      <c r="B144" s="63" t="s">
        <v>151</v>
      </c>
      <c r="C144" s="59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56">
        <f t="shared" ref="AB144:AB156" si="23">D144+F144+H144+J144+L144+N144+P144+R144+T144+V144+X144+Z144</f>
        <v>0</v>
      </c>
      <c r="AC144" s="56">
        <f t="shared" ref="AC144:AC156" si="24">E144+G144+I144+K144+M144+O144+Q144+S144+U144+W144+Y144+AA144</f>
        <v>0</v>
      </c>
      <c r="AD144" s="66">
        <f t="shared" ref="AD144:AD156" si="25">C144+AB144-AC144</f>
        <v>0</v>
      </c>
      <c r="AE144" s="74"/>
      <c r="AF144" s="74">
        <v>0</v>
      </c>
      <c r="AG144" s="74"/>
      <c r="AH144" s="74">
        <v>0</v>
      </c>
      <c r="AI144" s="74"/>
      <c r="AJ144" s="74">
        <v>0</v>
      </c>
      <c r="AK144" s="74"/>
      <c r="AL144" s="74">
        <v>0</v>
      </c>
      <c r="AM144" s="74"/>
      <c r="AN144" s="74">
        <v>0</v>
      </c>
      <c r="AO144" s="91"/>
      <c r="AP144" s="91">
        <v>0</v>
      </c>
      <c r="AQ144" s="91"/>
      <c r="AR144" s="91">
        <v>0</v>
      </c>
      <c r="AS144" s="91"/>
      <c r="AT144" s="91">
        <v>0</v>
      </c>
      <c r="AU144" s="91"/>
      <c r="AV144" s="91"/>
      <c r="AW144" s="91"/>
      <c r="AX144" s="91"/>
      <c r="AY144" s="91"/>
      <c r="AZ144" s="91"/>
      <c r="BA144" s="91"/>
      <c r="BB144" s="91"/>
      <c r="BC144" s="76">
        <f t="shared" ref="BC144:BC163" si="26">AE144+AG144+AI144+AK144+AM144+AO144+AQ144+AS144+AU144+AW144+AY144+BA144</f>
        <v>0</v>
      </c>
      <c r="BD144" s="76">
        <f t="shared" ref="BD144:BD163" si="27">AF144+AH144+AJ144+AL144+AN144+AP144+AR144+AT144+AV144+AX144+AZ144+BB144</f>
        <v>0</v>
      </c>
      <c r="BE144" s="76">
        <f t="shared" si="22"/>
        <v>0</v>
      </c>
    </row>
    <row r="145" spans="1:57" ht="14" x14ac:dyDescent="0.25">
      <c r="A145" s="64">
        <f t="shared" si="20"/>
        <v>141</v>
      </c>
      <c r="B145" s="119" t="s">
        <v>152</v>
      </c>
      <c r="C145" s="120">
        <v>61666658</v>
      </c>
      <c r="D145" s="121"/>
      <c r="E145" s="121">
        <v>1666667</v>
      </c>
      <c r="F145" s="121"/>
      <c r="G145" s="121"/>
      <c r="H145" s="121"/>
      <c r="I145" s="121">
        <f>1666667*2</f>
        <v>3333334</v>
      </c>
      <c r="J145" s="121"/>
      <c r="K145" s="121"/>
      <c r="L145" s="121"/>
      <c r="M145" s="121"/>
      <c r="N145" s="121"/>
      <c r="O145" s="121">
        <f>1666667*3</f>
        <v>5000001</v>
      </c>
      <c r="P145" s="122"/>
      <c r="Q145" s="122">
        <f>1666667*2</f>
        <v>3333334</v>
      </c>
      <c r="R145" s="122"/>
      <c r="S145" s="122"/>
      <c r="T145" s="122"/>
      <c r="U145" s="122">
        <v>1666667</v>
      </c>
      <c r="V145" s="122"/>
      <c r="W145" s="122">
        <v>1666667</v>
      </c>
      <c r="X145" s="122"/>
      <c r="Y145" s="122">
        <v>1666667</v>
      </c>
      <c r="Z145" s="122"/>
      <c r="AA145" s="122">
        <v>1666667</v>
      </c>
      <c r="AB145" s="121">
        <f t="shared" si="23"/>
        <v>0</v>
      </c>
      <c r="AC145" s="121">
        <f t="shared" si="24"/>
        <v>20000004</v>
      </c>
      <c r="AD145" s="122">
        <f t="shared" si="25"/>
        <v>41666654</v>
      </c>
      <c r="AE145" s="123"/>
      <c r="AF145" s="123">
        <v>1666667</v>
      </c>
      <c r="AG145" s="123">
        <v>80000000</v>
      </c>
      <c r="AH145" s="123">
        <v>38333333</v>
      </c>
      <c r="AI145" s="123"/>
      <c r="AJ145" s="123">
        <v>0</v>
      </c>
      <c r="AK145" s="123"/>
      <c r="AL145" s="123">
        <v>1666667</v>
      </c>
      <c r="AM145" s="123"/>
      <c r="AN145" s="123">
        <v>0</v>
      </c>
      <c r="AO145" s="123"/>
      <c r="AP145" s="123">
        <v>2222222</v>
      </c>
      <c r="AQ145" s="123"/>
      <c r="AR145" s="123">
        <f>2222222+2222222</f>
        <v>4444444</v>
      </c>
      <c r="AS145" s="123"/>
      <c r="AT145" s="123">
        <f>2222222+2222222</f>
        <v>4444444</v>
      </c>
      <c r="AU145" s="123"/>
      <c r="AV145" s="123"/>
      <c r="AW145" s="123"/>
      <c r="AX145" s="123"/>
      <c r="AY145" s="123"/>
      <c r="AZ145" s="123">
        <f>2222222+2222222</f>
        <v>4444444</v>
      </c>
      <c r="BA145" s="123"/>
      <c r="BB145" s="123">
        <f>2222222+2222222+2222222</f>
        <v>6666666</v>
      </c>
      <c r="BC145" s="76">
        <f t="shared" si="26"/>
        <v>80000000</v>
      </c>
      <c r="BD145" s="76">
        <f t="shared" si="27"/>
        <v>63888887</v>
      </c>
      <c r="BE145" s="76">
        <f t="shared" si="22"/>
        <v>57777767</v>
      </c>
    </row>
    <row r="146" spans="1:57" s="99" customFormat="1" ht="14" x14ac:dyDescent="0.25">
      <c r="A146" s="94">
        <f t="shared" si="20"/>
        <v>142</v>
      </c>
      <c r="B146" s="95" t="s">
        <v>255</v>
      </c>
      <c r="C146" s="96">
        <v>44166669</v>
      </c>
      <c r="D146" s="97"/>
      <c r="E146" s="97">
        <v>833333</v>
      </c>
      <c r="F146" s="97"/>
      <c r="G146" s="97">
        <v>833333</v>
      </c>
      <c r="H146" s="97"/>
      <c r="I146" s="97">
        <v>833333</v>
      </c>
      <c r="J146" s="97"/>
      <c r="K146" s="97">
        <v>833333</v>
      </c>
      <c r="L146" s="97"/>
      <c r="M146" s="97">
        <v>833333</v>
      </c>
      <c r="N146" s="97"/>
      <c r="O146" s="97">
        <v>833333</v>
      </c>
      <c r="P146" s="98"/>
      <c r="Q146" s="97">
        <v>833333</v>
      </c>
      <c r="R146" s="98"/>
      <c r="S146" s="97">
        <v>833333</v>
      </c>
      <c r="T146" s="98"/>
      <c r="U146" s="97">
        <v>833333</v>
      </c>
      <c r="V146" s="98"/>
      <c r="W146" s="97">
        <v>833333</v>
      </c>
      <c r="X146" s="98"/>
      <c r="Y146" s="97">
        <v>833333</v>
      </c>
      <c r="Z146" s="98"/>
      <c r="AA146" s="97"/>
      <c r="AB146" s="97">
        <f t="shared" si="23"/>
        <v>0</v>
      </c>
      <c r="AC146" s="97">
        <f t="shared" si="24"/>
        <v>9166663</v>
      </c>
      <c r="AD146" s="98">
        <f t="shared" si="25"/>
        <v>35000006</v>
      </c>
      <c r="AE146" s="92"/>
      <c r="AF146" s="92">
        <v>833333</v>
      </c>
      <c r="AG146" s="92"/>
      <c r="AH146" s="92">
        <v>833333</v>
      </c>
      <c r="AI146" s="92"/>
      <c r="AJ146" s="92">
        <v>833333</v>
      </c>
      <c r="AK146" s="92"/>
      <c r="AL146" s="92">
        <v>833333</v>
      </c>
      <c r="AM146" s="92"/>
      <c r="AN146" s="92">
        <v>833333</v>
      </c>
      <c r="AO146" s="92"/>
      <c r="AP146" s="92">
        <v>833333</v>
      </c>
      <c r="AQ146" s="92"/>
      <c r="AR146" s="92">
        <v>833333</v>
      </c>
      <c r="AS146" s="92">
        <v>100000000</v>
      </c>
      <c r="AT146" s="92">
        <f>28333333+833333</f>
        <v>29166666</v>
      </c>
      <c r="AU146" s="92"/>
      <c r="AV146" s="92">
        <v>1666667</v>
      </c>
      <c r="AW146" s="92"/>
      <c r="AX146" s="92">
        <v>1666667</v>
      </c>
      <c r="AY146" s="92"/>
      <c r="AZ146" s="92">
        <v>1666667</v>
      </c>
      <c r="BA146" s="92"/>
      <c r="BB146" s="92">
        <f>VLOOKUP(B146,'[1]Reguler &amp; Khusus'!$B$8:$D$57,3,0)</f>
        <v>1666667</v>
      </c>
      <c r="BC146" s="76">
        <f t="shared" si="26"/>
        <v>100000000</v>
      </c>
      <c r="BD146" s="76">
        <f t="shared" si="27"/>
        <v>41666665</v>
      </c>
      <c r="BE146" s="76">
        <f t="shared" si="22"/>
        <v>93333341</v>
      </c>
    </row>
    <row r="147" spans="1:57" ht="14" x14ac:dyDescent="0.25">
      <c r="A147" s="64">
        <f t="shared" si="20"/>
        <v>143</v>
      </c>
      <c r="B147" s="63" t="s">
        <v>154</v>
      </c>
      <c r="C147" s="59">
        <v>-2000000</v>
      </c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56">
        <f t="shared" si="23"/>
        <v>0</v>
      </c>
      <c r="AC147" s="56">
        <f t="shared" si="24"/>
        <v>0</v>
      </c>
      <c r="AD147" s="66">
        <f t="shared" si="25"/>
        <v>-2000000</v>
      </c>
      <c r="AE147" s="74"/>
      <c r="AF147" s="74">
        <v>0</v>
      </c>
      <c r="AG147" s="74"/>
      <c r="AH147" s="74">
        <v>0</v>
      </c>
      <c r="AI147" s="74"/>
      <c r="AJ147" s="74">
        <v>0</v>
      </c>
      <c r="AK147" s="74"/>
      <c r="AL147" s="74">
        <v>0</v>
      </c>
      <c r="AM147" s="74"/>
      <c r="AN147" s="74">
        <v>0</v>
      </c>
      <c r="AO147" s="91"/>
      <c r="AP147" s="91">
        <v>0</v>
      </c>
      <c r="AQ147" s="91"/>
      <c r="AR147" s="91">
        <v>0</v>
      </c>
      <c r="AS147" s="91"/>
      <c r="AT147" s="91">
        <v>0</v>
      </c>
      <c r="AU147" s="91"/>
      <c r="AV147" s="91"/>
      <c r="AW147" s="91"/>
      <c r="AX147" s="91"/>
      <c r="AY147" s="91"/>
      <c r="AZ147" s="91"/>
      <c r="BA147" s="91"/>
      <c r="BB147" s="91"/>
      <c r="BC147" s="76">
        <f t="shared" si="26"/>
        <v>0</v>
      </c>
      <c r="BD147" s="76">
        <f t="shared" si="27"/>
        <v>0</v>
      </c>
      <c r="BE147" s="76">
        <f t="shared" si="22"/>
        <v>-2000000</v>
      </c>
    </row>
    <row r="148" spans="1:57" ht="14" x14ac:dyDescent="0.25">
      <c r="A148" s="64">
        <f t="shared" si="20"/>
        <v>144</v>
      </c>
      <c r="B148" s="63" t="s">
        <v>155</v>
      </c>
      <c r="C148" s="59">
        <v>47916666</v>
      </c>
      <c r="D148" s="56"/>
      <c r="E148" s="56">
        <v>1041667</v>
      </c>
      <c r="F148" s="56"/>
      <c r="G148" s="56">
        <v>1041667</v>
      </c>
      <c r="H148" s="56"/>
      <c r="I148" s="56">
        <v>1041667</v>
      </c>
      <c r="J148" s="56"/>
      <c r="K148" s="56">
        <v>1041667</v>
      </c>
      <c r="L148" s="56"/>
      <c r="M148" s="56">
        <v>1041667</v>
      </c>
      <c r="N148" s="56"/>
      <c r="O148" s="56">
        <v>1041667</v>
      </c>
      <c r="P148" s="66"/>
      <c r="Q148" s="56">
        <v>1041667</v>
      </c>
      <c r="R148" s="66"/>
      <c r="S148" s="56">
        <v>1041667</v>
      </c>
      <c r="T148" s="66"/>
      <c r="U148" s="56">
        <v>1041667</v>
      </c>
      <c r="V148" s="66"/>
      <c r="W148" s="56">
        <v>1041667</v>
      </c>
      <c r="X148" s="66"/>
      <c r="Y148" s="56">
        <v>1041667</v>
      </c>
      <c r="Z148" s="66"/>
      <c r="AA148" s="56">
        <v>1041667</v>
      </c>
      <c r="AB148" s="56">
        <f t="shared" si="23"/>
        <v>0</v>
      </c>
      <c r="AC148" s="56">
        <f t="shared" si="24"/>
        <v>12500004</v>
      </c>
      <c r="AD148" s="66">
        <f t="shared" si="25"/>
        <v>35416662</v>
      </c>
      <c r="AE148" s="74"/>
      <c r="AF148" s="74">
        <v>1041667</v>
      </c>
      <c r="AG148" s="74"/>
      <c r="AH148" s="74">
        <v>1041667</v>
      </c>
      <c r="AI148" s="74"/>
      <c r="AJ148" s="92">
        <v>1041667</v>
      </c>
      <c r="AK148" s="74"/>
      <c r="AL148" s="74">
        <v>1041667</v>
      </c>
      <c r="AM148" s="74"/>
      <c r="AN148" s="74">
        <v>1041667</v>
      </c>
      <c r="AO148" s="91"/>
      <c r="AP148" s="91">
        <v>1041667</v>
      </c>
      <c r="AQ148" s="91"/>
      <c r="AR148" s="92">
        <v>1041667</v>
      </c>
      <c r="AS148" s="92"/>
      <c r="AT148" s="92">
        <v>1041667</v>
      </c>
      <c r="AU148" s="92"/>
      <c r="AV148" s="92">
        <v>1041667</v>
      </c>
      <c r="AW148" s="92"/>
      <c r="AX148" s="92">
        <v>1041667</v>
      </c>
      <c r="AY148" s="92"/>
      <c r="AZ148" s="92">
        <v>1041667</v>
      </c>
      <c r="BA148" s="92"/>
      <c r="BB148" s="92">
        <f>VLOOKUP(B148,'[1]Reguler &amp; Khusus'!$B$8:$D$57,3,0)</f>
        <v>1041667</v>
      </c>
      <c r="BC148" s="76">
        <f t="shared" si="26"/>
        <v>0</v>
      </c>
      <c r="BD148" s="76">
        <f t="shared" si="27"/>
        <v>12500004</v>
      </c>
      <c r="BE148" s="76">
        <f t="shared" si="22"/>
        <v>22916658</v>
      </c>
    </row>
    <row r="149" spans="1:57" ht="14" x14ac:dyDescent="0.25">
      <c r="A149" s="64">
        <f t="shared" si="20"/>
        <v>145</v>
      </c>
      <c r="B149" s="63" t="s">
        <v>208</v>
      </c>
      <c r="C149" s="59">
        <v>43750000</v>
      </c>
      <c r="D149" s="56"/>
      <c r="E149" s="56">
        <v>1250000</v>
      </c>
      <c r="F149" s="56"/>
      <c r="G149" s="56">
        <v>1250000</v>
      </c>
      <c r="H149" s="56"/>
      <c r="I149" s="56">
        <v>1250000</v>
      </c>
      <c r="J149" s="56"/>
      <c r="K149" s="56">
        <v>1250000</v>
      </c>
      <c r="L149" s="56"/>
      <c r="M149" s="56">
        <v>1250000</v>
      </c>
      <c r="N149" s="56"/>
      <c r="O149" s="56">
        <v>1250000</v>
      </c>
      <c r="P149" s="66"/>
      <c r="Q149" s="56">
        <v>1250000</v>
      </c>
      <c r="R149" s="66"/>
      <c r="S149" s="56">
        <v>1250000</v>
      </c>
      <c r="T149" s="66"/>
      <c r="U149" s="56">
        <v>1250000</v>
      </c>
      <c r="V149" s="66"/>
      <c r="W149" s="56">
        <v>1250000</v>
      </c>
      <c r="X149" s="66"/>
      <c r="Y149" s="56">
        <v>1250000</v>
      </c>
      <c r="Z149" s="66"/>
      <c r="AA149" s="56"/>
      <c r="AB149" s="56">
        <f t="shared" si="23"/>
        <v>0</v>
      </c>
      <c r="AC149" s="56">
        <f t="shared" si="24"/>
        <v>13750000</v>
      </c>
      <c r="AD149" s="66">
        <f t="shared" si="25"/>
        <v>30000000</v>
      </c>
      <c r="AE149" s="74"/>
      <c r="AF149" s="74">
        <v>1250000</v>
      </c>
      <c r="AG149" s="74"/>
      <c r="AH149" s="74">
        <v>1250000</v>
      </c>
      <c r="AI149" s="74"/>
      <c r="AJ149" s="92">
        <v>1250000</v>
      </c>
      <c r="AK149" s="74"/>
      <c r="AL149" s="74">
        <v>1250000</v>
      </c>
      <c r="AM149" s="74"/>
      <c r="AN149" s="74">
        <v>1250000</v>
      </c>
      <c r="AO149" s="91"/>
      <c r="AP149" s="91">
        <v>1250000</v>
      </c>
      <c r="AQ149" s="91"/>
      <c r="AR149" s="92">
        <v>1250000</v>
      </c>
      <c r="AS149" s="92"/>
      <c r="AT149" s="92">
        <v>1250000</v>
      </c>
      <c r="AU149" s="92"/>
      <c r="AV149" s="92">
        <v>1250000</v>
      </c>
      <c r="AW149" s="92"/>
      <c r="AX149" s="92">
        <v>1250000</v>
      </c>
      <c r="AY149" s="92"/>
      <c r="AZ149" s="92">
        <v>1250000</v>
      </c>
      <c r="BA149" s="92"/>
      <c r="BB149" s="92">
        <f>VLOOKUP(B149,'[1]Reguler &amp; Khusus'!$B$8:$D$57,3,0)</f>
        <v>1250000</v>
      </c>
      <c r="BC149" s="76">
        <f t="shared" si="26"/>
        <v>0</v>
      </c>
      <c r="BD149" s="76">
        <f t="shared" si="27"/>
        <v>15000000</v>
      </c>
      <c r="BE149" s="76">
        <f t="shared" si="22"/>
        <v>15000000</v>
      </c>
    </row>
    <row r="150" spans="1:57" ht="14" x14ac:dyDescent="0.25">
      <c r="A150" s="64">
        <f t="shared" si="20"/>
        <v>146</v>
      </c>
      <c r="B150" s="124" t="s">
        <v>157</v>
      </c>
      <c r="C150" s="125">
        <v>13750000</v>
      </c>
      <c r="D150" s="126"/>
      <c r="E150" s="126">
        <v>625000</v>
      </c>
      <c r="F150" s="126"/>
      <c r="G150" s="126">
        <v>625000</v>
      </c>
      <c r="H150" s="126"/>
      <c r="I150" s="126">
        <v>625000</v>
      </c>
      <c r="J150" s="126"/>
      <c r="K150" s="126">
        <v>625000</v>
      </c>
      <c r="L150" s="126"/>
      <c r="M150" s="126">
        <v>625000</v>
      </c>
      <c r="N150" s="126"/>
      <c r="O150" s="126">
        <v>625000</v>
      </c>
      <c r="P150" s="127"/>
      <c r="Q150" s="126">
        <v>625000</v>
      </c>
      <c r="R150" s="127"/>
      <c r="S150" s="126">
        <v>625000</v>
      </c>
      <c r="T150" s="127"/>
      <c r="U150" s="126">
        <v>625000</v>
      </c>
      <c r="V150" s="127"/>
      <c r="W150" s="126">
        <v>625000</v>
      </c>
      <c r="X150" s="127"/>
      <c r="Y150" s="126">
        <v>625000</v>
      </c>
      <c r="Z150" s="127"/>
      <c r="AA150" s="126">
        <v>625000</v>
      </c>
      <c r="AB150" s="126">
        <f t="shared" si="23"/>
        <v>0</v>
      </c>
      <c r="AC150" s="126">
        <f t="shared" si="24"/>
        <v>7500000</v>
      </c>
      <c r="AD150" s="127">
        <f t="shared" si="25"/>
        <v>6250000</v>
      </c>
      <c r="AE150" s="128"/>
      <c r="AF150" s="128">
        <v>625000</v>
      </c>
      <c r="AG150" s="128"/>
      <c r="AH150" s="128">
        <v>625000</v>
      </c>
      <c r="AI150" s="128"/>
      <c r="AJ150" s="128">
        <v>625000</v>
      </c>
      <c r="AK150" s="128"/>
      <c r="AL150" s="128">
        <v>625000</v>
      </c>
      <c r="AM150" s="128"/>
      <c r="AN150" s="128">
        <v>625000</v>
      </c>
      <c r="AO150" s="128"/>
      <c r="AP150" s="128">
        <v>625000</v>
      </c>
      <c r="AQ150" s="128"/>
      <c r="AR150" s="128">
        <v>625000</v>
      </c>
      <c r="AS150" s="128"/>
      <c r="AT150" s="128">
        <v>625000</v>
      </c>
      <c r="AU150" s="128"/>
      <c r="AV150" s="128">
        <v>625000</v>
      </c>
      <c r="AW150" s="128"/>
      <c r="AX150" s="128">
        <v>625000</v>
      </c>
      <c r="AY150" s="128"/>
      <c r="AZ150" s="128"/>
      <c r="BA150" s="128"/>
      <c r="BB150" s="128"/>
      <c r="BC150" s="76">
        <f t="shared" si="26"/>
        <v>0</v>
      </c>
      <c r="BD150" s="76">
        <f t="shared" si="27"/>
        <v>6250000</v>
      </c>
      <c r="BE150" s="76">
        <f t="shared" si="22"/>
        <v>0</v>
      </c>
    </row>
    <row r="151" spans="1:57" ht="14" x14ac:dyDescent="0.25">
      <c r="A151" s="64">
        <f t="shared" si="20"/>
        <v>147</v>
      </c>
      <c r="B151" s="63" t="s">
        <v>246</v>
      </c>
      <c r="C151" s="59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66"/>
      <c r="Q151" s="56"/>
      <c r="R151" s="66"/>
      <c r="S151" s="56"/>
      <c r="T151" s="66"/>
      <c r="U151" s="56"/>
      <c r="V151" s="66"/>
      <c r="W151" s="56"/>
      <c r="X151" s="66">
        <v>100000000</v>
      </c>
      <c r="Y151" s="56"/>
      <c r="Z151" s="66"/>
      <c r="AA151" s="56">
        <v>1666667</v>
      </c>
      <c r="AB151" s="56">
        <f t="shared" si="23"/>
        <v>100000000</v>
      </c>
      <c r="AC151" s="56">
        <f t="shared" si="24"/>
        <v>1666667</v>
      </c>
      <c r="AD151" s="66">
        <f t="shared" si="25"/>
        <v>98333333</v>
      </c>
      <c r="AE151" s="74"/>
      <c r="AF151" s="74">
        <v>1666667</v>
      </c>
      <c r="AG151" s="74"/>
      <c r="AH151" s="74">
        <v>1666667</v>
      </c>
      <c r="AI151" s="74"/>
      <c r="AJ151" s="92">
        <v>1666667</v>
      </c>
      <c r="AK151" s="74"/>
      <c r="AL151" s="74">
        <v>1666667</v>
      </c>
      <c r="AM151" s="74"/>
      <c r="AN151" s="74">
        <v>1666667</v>
      </c>
      <c r="AO151" s="91"/>
      <c r="AP151" s="91">
        <v>1666667</v>
      </c>
      <c r="AQ151" s="91"/>
      <c r="AR151" s="92">
        <v>1666667</v>
      </c>
      <c r="AS151" s="92"/>
      <c r="AT151" s="92">
        <v>1666667</v>
      </c>
      <c r="AU151" s="92"/>
      <c r="AV151" s="92">
        <v>1666667</v>
      </c>
      <c r="AW151" s="92"/>
      <c r="AX151" s="92">
        <v>1666667</v>
      </c>
      <c r="AY151" s="92"/>
      <c r="AZ151" s="92">
        <v>1666667</v>
      </c>
      <c r="BA151" s="92"/>
      <c r="BB151" s="92">
        <f>VLOOKUP(B151,'[1]Reguler &amp; Khusus'!$B$8:$D$57,3,0)</f>
        <v>1666667</v>
      </c>
      <c r="BC151" s="76">
        <f t="shared" si="26"/>
        <v>0</v>
      </c>
      <c r="BD151" s="76">
        <f t="shared" si="27"/>
        <v>20000004</v>
      </c>
      <c r="BE151" s="76">
        <f t="shared" si="22"/>
        <v>78333329</v>
      </c>
    </row>
    <row r="152" spans="1:57" ht="14" x14ac:dyDescent="0.25">
      <c r="A152" s="64">
        <f t="shared" si="20"/>
        <v>148</v>
      </c>
      <c r="B152" s="63" t="s">
        <v>164</v>
      </c>
      <c r="C152" s="59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66"/>
      <c r="Q152" s="56"/>
      <c r="R152" s="66"/>
      <c r="S152" s="56"/>
      <c r="T152" s="66"/>
      <c r="U152" s="56"/>
      <c r="V152" s="66"/>
      <c r="W152" s="56"/>
      <c r="X152" s="66">
        <v>90000000</v>
      </c>
      <c r="Y152" s="56"/>
      <c r="Z152" s="66"/>
      <c r="AA152" s="56">
        <v>1500000</v>
      </c>
      <c r="AB152" s="56">
        <f t="shared" si="23"/>
        <v>90000000</v>
      </c>
      <c r="AC152" s="56">
        <f t="shared" si="24"/>
        <v>1500000</v>
      </c>
      <c r="AD152" s="66">
        <f t="shared" si="25"/>
        <v>88500000</v>
      </c>
      <c r="AE152" s="74"/>
      <c r="AF152" s="74">
        <v>1500000</v>
      </c>
      <c r="AG152" s="74"/>
      <c r="AH152" s="74">
        <v>1500000</v>
      </c>
      <c r="AI152" s="74"/>
      <c r="AJ152" s="92">
        <v>1500000</v>
      </c>
      <c r="AK152" s="74"/>
      <c r="AL152" s="74">
        <v>1500000</v>
      </c>
      <c r="AM152" s="74"/>
      <c r="AN152" s="74">
        <v>1500000</v>
      </c>
      <c r="AO152" s="91"/>
      <c r="AP152" s="91">
        <v>1500000</v>
      </c>
      <c r="AQ152" s="91"/>
      <c r="AR152" s="92">
        <v>1500000</v>
      </c>
      <c r="AS152" s="92"/>
      <c r="AT152" s="92">
        <v>1500000</v>
      </c>
      <c r="AU152" s="92"/>
      <c r="AV152" s="92">
        <f>75000000+1500000</f>
        <v>76500000</v>
      </c>
      <c r="AW152" s="92"/>
      <c r="AX152" s="92">
        <v>0</v>
      </c>
      <c r="AY152" s="92"/>
      <c r="AZ152" s="92">
        <v>0</v>
      </c>
      <c r="BA152" s="92"/>
      <c r="BB152" s="92">
        <v>0</v>
      </c>
      <c r="BC152" s="76">
        <f t="shared" si="26"/>
        <v>0</v>
      </c>
      <c r="BD152" s="76">
        <f t="shared" si="27"/>
        <v>88500000</v>
      </c>
      <c r="BE152" s="76">
        <f t="shared" si="22"/>
        <v>0</v>
      </c>
    </row>
    <row r="153" spans="1:57" ht="14" x14ac:dyDescent="0.25">
      <c r="A153" s="64">
        <f t="shared" si="20"/>
        <v>149</v>
      </c>
      <c r="B153" s="63" t="s">
        <v>165</v>
      </c>
      <c r="C153" s="59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66"/>
      <c r="Q153" s="56"/>
      <c r="R153" s="66"/>
      <c r="S153" s="56"/>
      <c r="T153" s="66"/>
      <c r="U153" s="56"/>
      <c r="V153" s="66"/>
      <c r="W153" s="56"/>
      <c r="X153" s="66"/>
      <c r="Y153" s="56"/>
      <c r="Z153" s="66">
        <v>100000000</v>
      </c>
      <c r="AA153" s="56">
        <v>2777778</v>
      </c>
      <c r="AB153" s="56">
        <f t="shared" si="23"/>
        <v>100000000</v>
      </c>
      <c r="AC153" s="56">
        <f t="shared" si="24"/>
        <v>2777778</v>
      </c>
      <c r="AD153" s="66">
        <f t="shared" si="25"/>
        <v>97222222</v>
      </c>
      <c r="AE153" s="74"/>
      <c r="AF153" s="74">
        <v>2777778</v>
      </c>
      <c r="AG153" s="74"/>
      <c r="AH153" s="74">
        <v>2777778</v>
      </c>
      <c r="AI153" s="74"/>
      <c r="AJ153" s="74">
        <v>2777778</v>
      </c>
      <c r="AK153" s="74"/>
      <c r="AL153" s="74">
        <v>2777778</v>
      </c>
      <c r="AM153" s="74"/>
      <c r="AN153" s="74">
        <v>2777778</v>
      </c>
      <c r="AO153" s="74"/>
      <c r="AP153" s="91">
        <v>2777778</v>
      </c>
      <c r="AQ153" s="91"/>
      <c r="AR153" s="93">
        <v>2777778</v>
      </c>
      <c r="AS153" s="93"/>
      <c r="AT153" s="91">
        <v>2777778</v>
      </c>
      <c r="AU153" s="91"/>
      <c r="AV153" s="91">
        <v>2777778</v>
      </c>
      <c r="AW153" s="91"/>
      <c r="AX153" s="91">
        <v>2777778</v>
      </c>
      <c r="AY153" s="91"/>
      <c r="AZ153" s="91">
        <v>2777778</v>
      </c>
      <c r="BA153" s="91"/>
      <c r="BB153" s="91">
        <v>2777778</v>
      </c>
      <c r="BC153" s="76">
        <f t="shared" si="26"/>
        <v>0</v>
      </c>
      <c r="BD153" s="76">
        <f t="shared" si="27"/>
        <v>33333336</v>
      </c>
      <c r="BE153" s="76">
        <f t="shared" si="22"/>
        <v>63888886</v>
      </c>
    </row>
    <row r="154" spans="1:57" ht="14" x14ac:dyDescent="0.25">
      <c r="A154" s="64">
        <f t="shared" si="20"/>
        <v>150</v>
      </c>
      <c r="B154" s="63" t="s">
        <v>166</v>
      </c>
      <c r="C154" s="59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66"/>
      <c r="Q154" s="56"/>
      <c r="R154" s="66"/>
      <c r="S154" s="56"/>
      <c r="T154" s="66"/>
      <c r="U154" s="56"/>
      <c r="V154" s="66"/>
      <c r="W154" s="56"/>
      <c r="X154" s="66"/>
      <c r="Y154" s="56"/>
      <c r="Z154" s="66">
        <v>50000000</v>
      </c>
      <c r="AA154" s="56">
        <v>2083333</v>
      </c>
      <c r="AB154" s="56">
        <f t="shared" si="23"/>
        <v>50000000</v>
      </c>
      <c r="AC154" s="56">
        <f t="shared" si="24"/>
        <v>2083333</v>
      </c>
      <c r="AD154" s="66">
        <f t="shared" si="25"/>
        <v>47916667</v>
      </c>
      <c r="AE154" s="74"/>
      <c r="AF154" s="74">
        <v>2083333</v>
      </c>
      <c r="AG154" s="74"/>
      <c r="AH154" s="74">
        <v>2083333</v>
      </c>
      <c r="AI154" s="74"/>
      <c r="AJ154" s="92">
        <v>2083333</v>
      </c>
      <c r="AK154" s="74"/>
      <c r="AL154" s="74">
        <v>2083333</v>
      </c>
      <c r="AM154" s="74"/>
      <c r="AN154" s="74">
        <v>2083333</v>
      </c>
      <c r="AO154" s="91">
        <v>88312500</v>
      </c>
      <c r="AP154" s="91">
        <v>41179688</v>
      </c>
      <c r="AQ154" s="91"/>
      <c r="AR154" s="92">
        <v>3679688</v>
      </c>
      <c r="AS154" s="92"/>
      <c r="AT154" s="92">
        <v>3679688</v>
      </c>
      <c r="AU154" s="92"/>
      <c r="AV154" s="92">
        <v>3679688</v>
      </c>
      <c r="AW154" s="92"/>
      <c r="AX154" s="92">
        <v>3679688</v>
      </c>
      <c r="AY154" s="92"/>
      <c r="AZ154" s="92">
        <v>69914063</v>
      </c>
      <c r="BA154" s="92"/>
      <c r="BB154" s="92">
        <v>0</v>
      </c>
      <c r="BC154" s="76">
        <f t="shared" si="26"/>
        <v>88312500</v>
      </c>
      <c r="BD154" s="76">
        <f t="shared" si="27"/>
        <v>136229168</v>
      </c>
      <c r="BE154" s="76">
        <f t="shared" si="22"/>
        <v>-1</v>
      </c>
    </row>
    <row r="155" spans="1:57" ht="14" customHeight="1" x14ac:dyDescent="0.25">
      <c r="A155" s="64">
        <f t="shared" si="20"/>
        <v>151</v>
      </c>
      <c r="B155" s="63" t="s">
        <v>168</v>
      </c>
      <c r="C155" s="59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66"/>
      <c r="Q155" s="56"/>
      <c r="R155" s="66"/>
      <c r="S155" s="56"/>
      <c r="T155" s="66"/>
      <c r="U155" s="56"/>
      <c r="V155" s="66">
        <v>14000000</v>
      </c>
      <c r="W155" s="56"/>
      <c r="X155" s="66"/>
      <c r="Y155" s="56">
        <v>1166667</v>
      </c>
      <c r="Z155" s="66"/>
      <c r="AA155" s="56">
        <v>1166667</v>
      </c>
      <c r="AB155" s="56">
        <f t="shared" si="23"/>
        <v>14000000</v>
      </c>
      <c r="AC155" s="56">
        <f t="shared" si="24"/>
        <v>2333334</v>
      </c>
      <c r="AD155" s="66">
        <f t="shared" si="25"/>
        <v>11666666</v>
      </c>
      <c r="AE155" s="74"/>
      <c r="AF155" s="74">
        <v>1166667</v>
      </c>
      <c r="AG155" s="74"/>
      <c r="AH155" s="74">
        <v>1166667</v>
      </c>
      <c r="AI155" s="74"/>
      <c r="AJ155" s="92">
        <v>1166667</v>
      </c>
      <c r="AK155" s="74"/>
      <c r="AL155" s="74">
        <v>1166667</v>
      </c>
      <c r="AM155" s="74"/>
      <c r="AN155" s="74">
        <v>1166667</v>
      </c>
      <c r="AO155" s="91"/>
      <c r="AP155" s="91">
        <v>1166667</v>
      </c>
      <c r="AQ155" s="91"/>
      <c r="AR155" s="92">
        <v>1166667</v>
      </c>
      <c r="AS155" s="92"/>
      <c r="AT155" s="92">
        <v>3500000</v>
      </c>
      <c r="AU155" s="92"/>
      <c r="AV155" s="92">
        <v>0</v>
      </c>
      <c r="AW155" s="92"/>
      <c r="AX155" s="92">
        <v>0</v>
      </c>
      <c r="AY155" s="92"/>
      <c r="AZ155" s="92">
        <v>0</v>
      </c>
      <c r="BA155" s="92"/>
      <c r="BB155" s="92">
        <v>0</v>
      </c>
      <c r="BC155" s="76">
        <f t="shared" si="26"/>
        <v>0</v>
      </c>
      <c r="BD155" s="76">
        <f t="shared" si="27"/>
        <v>11666669</v>
      </c>
      <c r="BE155" s="76">
        <f t="shared" si="22"/>
        <v>-3</v>
      </c>
    </row>
    <row r="156" spans="1:57" ht="14" customHeight="1" x14ac:dyDescent="0.25">
      <c r="A156" s="64">
        <f t="shared" si="20"/>
        <v>152</v>
      </c>
      <c r="B156" s="124" t="s">
        <v>217</v>
      </c>
      <c r="C156" s="125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7"/>
      <c r="Q156" s="126"/>
      <c r="R156" s="127"/>
      <c r="S156" s="126"/>
      <c r="T156" s="127"/>
      <c r="U156" s="126"/>
      <c r="V156" s="127"/>
      <c r="W156" s="126"/>
      <c r="X156" s="127"/>
      <c r="Y156" s="126"/>
      <c r="Z156" s="127">
        <v>15000000</v>
      </c>
      <c r="AA156" s="126"/>
      <c r="AB156" s="126">
        <f t="shared" si="23"/>
        <v>15000000</v>
      </c>
      <c r="AC156" s="126">
        <f t="shared" si="24"/>
        <v>0</v>
      </c>
      <c r="AD156" s="127">
        <f t="shared" si="25"/>
        <v>15000000</v>
      </c>
      <c r="AE156" s="128"/>
      <c r="AF156" s="128">
        <v>1000000</v>
      </c>
      <c r="AG156" s="128"/>
      <c r="AH156" s="128">
        <v>1000000</v>
      </c>
      <c r="AI156" s="128"/>
      <c r="AJ156" s="128">
        <v>1000000</v>
      </c>
      <c r="AK156" s="128"/>
      <c r="AL156" s="128">
        <v>1000000</v>
      </c>
      <c r="AM156" s="128"/>
      <c r="AN156" s="128">
        <v>1000000</v>
      </c>
      <c r="AO156" s="128"/>
      <c r="AP156" s="128">
        <v>1000000</v>
      </c>
      <c r="AQ156" s="128"/>
      <c r="AR156" s="128">
        <v>1000000</v>
      </c>
      <c r="AS156" s="128"/>
      <c r="AT156" s="128">
        <v>1000000</v>
      </c>
      <c r="AU156" s="128"/>
      <c r="AV156" s="128">
        <v>1000000</v>
      </c>
      <c r="AW156" s="128"/>
      <c r="AX156" s="128">
        <v>1000000</v>
      </c>
      <c r="AY156" s="128"/>
      <c r="AZ156" s="128">
        <v>1000000</v>
      </c>
      <c r="BA156" s="128"/>
      <c r="BB156" s="128">
        <v>1000000</v>
      </c>
      <c r="BC156" s="76">
        <f t="shared" si="26"/>
        <v>0</v>
      </c>
      <c r="BD156" s="76">
        <f t="shared" si="27"/>
        <v>12000000</v>
      </c>
      <c r="BE156" s="76">
        <f t="shared" si="22"/>
        <v>3000000</v>
      </c>
    </row>
    <row r="157" spans="1:57" ht="14" customHeight="1" x14ac:dyDescent="0.25">
      <c r="A157" s="64">
        <v>153</v>
      </c>
      <c r="B157" s="63" t="s">
        <v>245</v>
      </c>
      <c r="C157" s="59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66"/>
      <c r="Q157" s="56"/>
      <c r="R157" s="66"/>
      <c r="S157" s="56"/>
      <c r="T157" s="66"/>
      <c r="U157" s="56"/>
      <c r="V157" s="66"/>
      <c r="W157" s="56"/>
      <c r="X157" s="66"/>
      <c r="Y157" s="56"/>
      <c r="Z157" s="66"/>
      <c r="AA157" s="56"/>
      <c r="AB157" s="56"/>
      <c r="AC157" s="56"/>
      <c r="AD157" s="66"/>
      <c r="AE157" s="74">
        <v>52000000</v>
      </c>
      <c r="AF157" s="74"/>
      <c r="AG157" s="74"/>
      <c r="AH157" s="74">
        <v>0</v>
      </c>
      <c r="AI157" s="74"/>
      <c r="AJ157" s="74">
        <v>0</v>
      </c>
      <c r="AK157" s="74"/>
      <c r="AL157" s="74">
        <v>0</v>
      </c>
      <c r="AM157" s="74"/>
      <c r="AN157" s="74">
        <v>0</v>
      </c>
      <c r="AO157" s="91"/>
      <c r="AP157" s="91">
        <v>0</v>
      </c>
      <c r="AQ157" s="91"/>
      <c r="AR157" s="91">
        <v>0</v>
      </c>
      <c r="AS157" s="91"/>
      <c r="AT157" s="91">
        <v>0</v>
      </c>
      <c r="AU157" s="91"/>
      <c r="AV157" s="91"/>
      <c r="AW157" s="91"/>
      <c r="AX157" s="91"/>
      <c r="AY157" s="91"/>
      <c r="AZ157" s="91"/>
      <c r="BA157" s="91"/>
      <c r="BB157" s="91"/>
      <c r="BC157" s="76">
        <f t="shared" si="26"/>
        <v>52000000</v>
      </c>
      <c r="BD157" s="76">
        <f t="shared" si="27"/>
        <v>0</v>
      </c>
      <c r="BE157" s="76">
        <f t="shared" si="22"/>
        <v>52000000</v>
      </c>
    </row>
    <row r="158" spans="1:57" ht="14" customHeight="1" x14ac:dyDescent="0.25">
      <c r="A158" s="64">
        <v>154</v>
      </c>
      <c r="B158" s="63" t="s">
        <v>258</v>
      </c>
      <c r="C158" s="59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66"/>
      <c r="Q158" s="56"/>
      <c r="R158" s="66"/>
      <c r="S158" s="56"/>
      <c r="T158" s="66"/>
      <c r="U158" s="56"/>
      <c r="V158" s="66"/>
      <c r="W158" s="56"/>
      <c r="X158" s="66"/>
      <c r="Y158" s="56"/>
      <c r="Z158" s="66"/>
      <c r="AA158" s="56"/>
      <c r="AB158" s="56"/>
      <c r="AC158" s="56"/>
      <c r="AD158" s="66"/>
      <c r="AE158" s="74"/>
      <c r="AF158" s="74"/>
      <c r="AG158" s="74"/>
      <c r="AH158" s="74"/>
      <c r="AI158" s="74"/>
      <c r="AJ158" s="74"/>
      <c r="AK158" s="74">
        <v>40000000</v>
      </c>
      <c r="AL158" s="74">
        <v>5000000</v>
      </c>
      <c r="AM158" s="74"/>
      <c r="AN158" s="74">
        <v>5000000</v>
      </c>
      <c r="AO158" s="91"/>
      <c r="AP158" s="91">
        <v>5000000</v>
      </c>
      <c r="AQ158" s="91"/>
      <c r="AR158" s="93">
        <v>5000000</v>
      </c>
      <c r="AS158" s="93"/>
      <c r="AT158" s="91">
        <v>5000000</v>
      </c>
      <c r="AU158" s="91"/>
      <c r="AV158" s="91">
        <v>5000000</v>
      </c>
      <c r="AW158" s="91"/>
      <c r="AX158" s="91">
        <v>5000000</v>
      </c>
      <c r="AY158" s="91"/>
      <c r="AZ158" s="91"/>
      <c r="BA158" s="91"/>
      <c r="BB158" s="91"/>
      <c r="BC158" s="76">
        <f t="shared" si="26"/>
        <v>40000000</v>
      </c>
      <c r="BD158" s="76">
        <f t="shared" si="27"/>
        <v>35000000</v>
      </c>
      <c r="BE158" s="76">
        <f t="shared" si="22"/>
        <v>5000000</v>
      </c>
    </row>
    <row r="159" spans="1:57" ht="14" customHeight="1" x14ac:dyDescent="0.25">
      <c r="A159" s="64">
        <v>155</v>
      </c>
      <c r="B159" s="63" t="s">
        <v>259</v>
      </c>
      <c r="C159" s="59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66"/>
      <c r="Q159" s="56"/>
      <c r="R159" s="66"/>
      <c r="S159" s="56"/>
      <c r="T159" s="66"/>
      <c r="U159" s="56"/>
      <c r="V159" s="66"/>
      <c r="W159" s="56"/>
      <c r="X159" s="66"/>
      <c r="Y159" s="56"/>
      <c r="Z159" s="66"/>
      <c r="AA159" s="56"/>
      <c r="AB159" s="56"/>
      <c r="AC159" s="56"/>
      <c r="AD159" s="66"/>
      <c r="AE159" s="74"/>
      <c r="AF159" s="74"/>
      <c r="AG159" s="74"/>
      <c r="AH159" s="74"/>
      <c r="AI159" s="74"/>
      <c r="AJ159" s="74"/>
      <c r="AK159" s="74">
        <v>50000000</v>
      </c>
      <c r="AL159" s="74"/>
      <c r="AM159" s="74"/>
      <c r="AN159" s="74">
        <v>1041667</v>
      </c>
      <c r="AO159" s="91"/>
      <c r="AP159" s="91">
        <v>1041667</v>
      </c>
      <c r="AQ159" s="91"/>
      <c r="AR159" s="93">
        <v>1041667</v>
      </c>
      <c r="AS159" s="93"/>
      <c r="AT159" s="91">
        <v>1041667</v>
      </c>
      <c r="AU159" s="91"/>
      <c r="AV159" s="91">
        <v>1041667</v>
      </c>
      <c r="AW159" s="91"/>
      <c r="AX159" s="91">
        <v>1041667</v>
      </c>
      <c r="AY159" s="91"/>
      <c r="AZ159" s="91">
        <v>1041667</v>
      </c>
      <c r="BA159" s="91"/>
      <c r="BB159" s="91">
        <v>1041667</v>
      </c>
      <c r="BC159" s="76">
        <f t="shared" si="26"/>
        <v>50000000</v>
      </c>
      <c r="BD159" s="76">
        <f t="shared" si="27"/>
        <v>8333336</v>
      </c>
      <c r="BE159" s="76">
        <f t="shared" si="22"/>
        <v>41666664</v>
      </c>
    </row>
    <row r="160" spans="1:57" ht="14" customHeight="1" x14ac:dyDescent="0.25">
      <c r="A160" s="64">
        <v>156</v>
      </c>
      <c r="B160" s="124" t="s">
        <v>260</v>
      </c>
      <c r="C160" s="125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7"/>
      <c r="Q160" s="126"/>
      <c r="R160" s="127"/>
      <c r="S160" s="126"/>
      <c r="T160" s="127"/>
      <c r="U160" s="126"/>
      <c r="V160" s="127"/>
      <c r="W160" s="126"/>
      <c r="X160" s="127"/>
      <c r="Y160" s="126"/>
      <c r="Z160" s="127"/>
      <c r="AA160" s="126"/>
      <c r="AB160" s="126"/>
      <c r="AC160" s="126"/>
      <c r="AD160" s="127"/>
      <c r="AE160" s="128"/>
      <c r="AF160" s="128"/>
      <c r="AG160" s="128"/>
      <c r="AH160" s="128"/>
      <c r="AI160" s="128"/>
      <c r="AJ160" s="128"/>
      <c r="AK160" s="128"/>
      <c r="AL160" s="128"/>
      <c r="AM160" s="128">
        <v>15000000</v>
      </c>
      <c r="AN160" s="128">
        <v>0</v>
      </c>
      <c r="AO160" s="128"/>
      <c r="AP160" s="128">
        <v>1000000</v>
      </c>
      <c r="AQ160" s="128"/>
      <c r="AR160" s="128">
        <v>1000000</v>
      </c>
      <c r="AS160" s="128"/>
      <c r="AT160" s="128">
        <v>1000000</v>
      </c>
      <c r="AU160" s="128"/>
      <c r="AV160" s="128">
        <v>1000000</v>
      </c>
      <c r="AW160" s="128"/>
      <c r="AX160" s="128">
        <v>1000000</v>
      </c>
      <c r="AY160" s="128"/>
      <c r="AZ160" s="128">
        <v>1000000</v>
      </c>
      <c r="BA160" s="128"/>
      <c r="BB160" s="128">
        <v>1000000</v>
      </c>
      <c r="BC160" s="76">
        <f t="shared" si="26"/>
        <v>15000000</v>
      </c>
      <c r="BD160" s="76">
        <f t="shared" si="27"/>
        <v>7000000</v>
      </c>
      <c r="BE160" s="76">
        <f t="shared" si="22"/>
        <v>8000000</v>
      </c>
    </row>
    <row r="161" spans="1:57" ht="14" customHeight="1" x14ac:dyDescent="0.25">
      <c r="A161" s="64">
        <v>157</v>
      </c>
      <c r="B161" s="124" t="s">
        <v>270</v>
      </c>
      <c r="C161" s="125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7"/>
      <c r="Q161" s="126"/>
      <c r="R161" s="127"/>
      <c r="S161" s="126"/>
      <c r="T161" s="127"/>
      <c r="U161" s="126"/>
      <c r="V161" s="127"/>
      <c r="W161" s="126"/>
      <c r="X161" s="127"/>
      <c r="Y161" s="126"/>
      <c r="Z161" s="127"/>
      <c r="AA161" s="126"/>
      <c r="AB161" s="126"/>
      <c r="AC161" s="126"/>
      <c r="AD161" s="127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>
        <v>0</v>
      </c>
      <c r="AO161" s="128">
        <v>35000000</v>
      </c>
      <c r="AP161" s="128">
        <v>3500000</v>
      </c>
      <c r="AQ161" s="128"/>
      <c r="AR161" s="128">
        <v>3500000</v>
      </c>
      <c r="AS161" s="128"/>
      <c r="AT161" s="128">
        <v>3500000</v>
      </c>
      <c r="AU161" s="128"/>
      <c r="AV161" s="128">
        <v>3500000</v>
      </c>
      <c r="AW161" s="128"/>
      <c r="AX161" s="128">
        <v>3500000</v>
      </c>
      <c r="AY161" s="128"/>
      <c r="AZ161" s="128">
        <v>3500000</v>
      </c>
      <c r="BA161" s="128"/>
      <c r="BB161" s="128">
        <v>3500000</v>
      </c>
      <c r="BC161" s="76">
        <f t="shared" si="26"/>
        <v>35000000</v>
      </c>
      <c r="BD161" s="76">
        <f t="shared" si="27"/>
        <v>24500000</v>
      </c>
      <c r="BE161" s="76">
        <f t="shared" si="22"/>
        <v>10500000</v>
      </c>
    </row>
    <row r="162" spans="1:57" ht="14" customHeight="1" x14ac:dyDescent="0.25">
      <c r="A162" s="64">
        <v>158</v>
      </c>
      <c r="B162" s="63" t="s">
        <v>272</v>
      </c>
      <c r="C162" s="59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66"/>
      <c r="Q162" s="56"/>
      <c r="R162" s="66"/>
      <c r="S162" s="56"/>
      <c r="T162" s="66"/>
      <c r="U162" s="56"/>
      <c r="V162" s="66"/>
      <c r="W162" s="56"/>
      <c r="X162" s="66"/>
      <c r="Y162" s="56"/>
      <c r="Z162" s="66"/>
      <c r="AA162" s="56"/>
      <c r="AB162" s="56"/>
      <c r="AC162" s="56"/>
      <c r="AD162" s="66"/>
      <c r="AE162" s="74"/>
      <c r="AF162" s="74"/>
      <c r="AG162" s="74"/>
      <c r="AH162" s="74"/>
      <c r="AI162" s="74"/>
      <c r="AJ162" s="74"/>
      <c r="AK162" s="74"/>
      <c r="AL162" s="74"/>
      <c r="AM162" s="74">
        <v>50500000</v>
      </c>
      <c r="AN162" s="74"/>
      <c r="AO162" s="91"/>
      <c r="AP162" s="91"/>
      <c r="AQ162" s="91"/>
      <c r="AR162" s="91">
        <v>25250000</v>
      </c>
      <c r="AS162" s="91"/>
      <c r="AT162" s="91">
        <v>0</v>
      </c>
      <c r="AU162" s="91"/>
      <c r="AV162" s="91"/>
      <c r="AW162" s="91"/>
      <c r="AX162" s="91"/>
      <c r="AY162" s="91"/>
      <c r="AZ162" s="91">
        <v>25250000</v>
      </c>
      <c r="BA162" s="91"/>
      <c r="BB162" s="91"/>
      <c r="BC162" s="76">
        <f t="shared" si="26"/>
        <v>50500000</v>
      </c>
      <c r="BD162" s="76">
        <f t="shared" si="27"/>
        <v>50500000</v>
      </c>
      <c r="BE162" s="76">
        <f t="shared" si="22"/>
        <v>0</v>
      </c>
    </row>
    <row r="163" spans="1:57" ht="14" customHeight="1" x14ac:dyDescent="0.25">
      <c r="A163" s="64">
        <v>159</v>
      </c>
      <c r="B163" s="63" t="s">
        <v>273</v>
      </c>
      <c r="C163" s="59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66"/>
      <c r="Q163" s="56"/>
      <c r="R163" s="66"/>
      <c r="S163" s="56"/>
      <c r="T163" s="66"/>
      <c r="U163" s="56"/>
      <c r="V163" s="66"/>
      <c r="W163" s="56"/>
      <c r="X163" s="66"/>
      <c r="Y163" s="56"/>
      <c r="Z163" s="66"/>
      <c r="AA163" s="56"/>
      <c r="AB163" s="56"/>
      <c r="AC163" s="56"/>
      <c r="AD163" s="66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91"/>
      <c r="AP163" s="91"/>
      <c r="AQ163" s="91"/>
      <c r="AR163" s="91"/>
      <c r="AS163" s="91">
        <v>50000000</v>
      </c>
      <c r="AT163" s="91">
        <v>0</v>
      </c>
      <c r="AU163" s="91"/>
      <c r="AV163" s="91">
        <v>2083333</v>
      </c>
      <c r="AW163" s="91"/>
      <c r="AX163" s="91">
        <v>2083333</v>
      </c>
      <c r="AY163" s="91"/>
      <c r="AZ163" s="91">
        <v>2083333</v>
      </c>
      <c r="BA163" s="91"/>
      <c r="BB163" s="91">
        <v>2083333</v>
      </c>
      <c r="BC163" s="76">
        <f t="shared" si="26"/>
        <v>50000000</v>
      </c>
      <c r="BD163" s="76">
        <f t="shared" si="27"/>
        <v>8333332</v>
      </c>
      <c r="BE163" s="76">
        <f t="shared" si="22"/>
        <v>41666668</v>
      </c>
    </row>
    <row r="164" spans="1:57" ht="14" customHeight="1" x14ac:dyDescent="0.25">
      <c r="A164" s="64">
        <v>160</v>
      </c>
      <c r="B164" s="63" t="s">
        <v>276</v>
      </c>
      <c r="C164" s="59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66"/>
      <c r="Q164" s="56"/>
      <c r="R164" s="66"/>
      <c r="S164" s="56"/>
      <c r="T164" s="66"/>
      <c r="U164" s="56"/>
      <c r="V164" s="66"/>
      <c r="W164" s="56"/>
      <c r="X164" s="66"/>
      <c r="Y164" s="56"/>
      <c r="Z164" s="66"/>
      <c r="AA164" s="56"/>
      <c r="AB164" s="56"/>
      <c r="AC164" s="56"/>
      <c r="AD164" s="66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>
        <v>50000000</v>
      </c>
      <c r="BB164" s="91"/>
      <c r="BC164" s="76">
        <f t="shared" ref="BC164" si="28">AE164+AG164+AI164+AK164+AM164+AO164+AQ164+AS164+AU164+AW164+AY164+BA164</f>
        <v>50000000</v>
      </c>
      <c r="BD164" s="76">
        <f t="shared" ref="BD164" si="29">AF164+AH164+AJ164+AL164+AN164+AP164+AR164+AT164+AV164+AX164+AZ164+BB164</f>
        <v>0</v>
      </c>
      <c r="BE164" s="76">
        <f>AD164+BC164-BD164</f>
        <v>50000000</v>
      </c>
    </row>
    <row r="165" spans="1:57" s="57" customFormat="1" ht="14" x14ac:dyDescent="0.25">
      <c r="A165" s="77"/>
      <c r="B165" s="77"/>
      <c r="C165" s="78">
        <f t="shared" ref="C165:AC165" si="30">SUM(C5:C156)</f>
        <v>3101559768.96</v>
      </c>
      <c r="D165" s="78">
        <f t="shared" si="30"/>
        <v>190000000</v>
      </c>
      <c r="E165" s="78">
        <f t="shared" si="30"/>
        <v>188894667</v>
      </c>
      <c r="F165" s="78">
        <f t="shared" si="30"/>
        <v>340400000</v>
      </c>
      <c r="G165" s="78">
        <f t="shared" si="30"/>
        <v>247070415</v>
      </c>
      <c r="H165" s="78">
        <f t="shared" si="30"/>
        <v>0</v>
      </c>
      <c r="I165" s="78">
        <f t="shared" si="30"/>
        <v>234433601</v>
      </c>
      <c r="J165" s="78">
        <f t="shared" si="30"/>
        <v>125000000</v>
      </c>
      <c r="K165" s="78">
        <f t="shared" si="30"/>
        <v>143502217</v>
      </c>
      <c r="L165" s="78">
        <f t="shared" si="30"/>
        <v>275000000</v>
      </c>
      <c r="M165" s="78">
        <f t="shared" si="30"/>
        <v>196441907</v>
      </c>
      <c r="N165" s="78">
        <f t="shared" si="30"/>
        <v>100000000</v>
      </c>
      <c r="O165" s="78">
        <f t="shared" si="30"/>
        <v>121867447</v>
      </c>
      <c r="P165" s="78">
        <f t="shared" si="30"/>
        <v>272000003</v>
      </c>
      <c r="Q165" s="78">
        <f t="shared" si="30"/>
        <v>255337385</v>
      </c>
      <c r="R165" s="78">
        <f t="shared" si="30"/>
        <v>300000000</v>
      </c>
      <c r="S165" s="78">
        <f t="shared" si="30"/>
        <v>201767937</v>
      </c>
      <c r="T165" s="78">
        <f t="shared" si="30"/>
        <v>50000000</v>
      </c>
      <c r="U165" s="78">
        <f t="shared" si="30"/>
        <v>114948940</v>
      </c>
      <c r="V165" s="78">
        <f t="shared" si="30"/>
        <v>276000000</v>
      </c>
      <c r="W165" s="78">
        <f t="shared" si="30"/>
        <v>151816435</v>
      </c>
      <c r="X165" s="78">
        <f t="shared" si="30"/>
        <v>270000000</v>
      </c>
      <c r="Y165" s="78">
        <f t="shared" si="30"/>
        <v>139092820</v>
      </c>
      <c r="Z165" s="78">
        <f t="shared" si="30"/>
        <v>534604167</v>
      </c>
      <c r="AA165" s="78">
        <f t="shared" si="30"/>
        <v>332384173</v>
      </c>
      <c r="AB165" s="78">
        <f t="shared" si="30"/>
        <v>2733004170</v>
      </c>
      <c r="AC165" s="78">
        <f t="shared" si="30"/>
        <v>2327557944</v>
      </c>
      <c r="AD165" s="78">
        <f>SUM(AD5:AD161)</f>
        <v>3507005994.96</v>
      </c>
      <c r="AE165" s="78">
        <f>SUM(AE5:AE157)</f>
        <v>433500000</v>
      </c>
      <c r="AF165" s="78">
        <f>SUM(AF5:AF157)</f>
        <v>318507699</v>
      </c>
      <c r="AG165" s="88">
        <f>SUM(AG5:AG156)</f>
        <v>185000000</v>
      </c>
      <c r="AH165" s="88">
        <f>SUM(AH5:AH156)</f>
        <v>211036437</v>
      </c>
      <c r="AI165" s="88">
        <f>SUM(AI5:AI161)</f>
        <v>121188889</v>
      </c>
      <c r="AJ165" s="88">
        <f>SUM(AJ5:AJ161)</f>
        <v>333011394</v>
      </c>
      <c r="AK165" s="88">
        <f>SUM(AK5:AK159)</f>
        <v>215000000</v>
      </c>
      <c r="AL165" s="88">
        <f>SUM(AL5:AL159)</f>
        <v>167030519</v>
      </c>
      <c r="AM165" s="88">
        <f>SUM(AM5:AM162)</f>
        <v>272875000</v>
      </c>
      <c r="AN165" s="88">
        <f>SUM(AN5:AN160)</f>
        <v>225766724</v>
      </c>
      <c r="AO165" s="88">
        <f>SUM(AO5:AO161)</f>
        <v>123312500</v>
      </c>
      <c r="AP165" s="88">
        <f>SUM(AP5:AP161)</f>
        <v>169491011</v>
      </c>
      <c r="AQ165" s="88">
        <f>SUM(AQ5:AQ162)</f>
        <v>0</v>
      </c>
      <c r="AR165" s="88">
        <f>SUM(AR5:AR163)</f>
        <v>169564431</v>
      </c>
      <c r="AS165" s="88">
        <f>SUM(AS5:AS163)</f>
        <v>352770833</v>
      </c>
      <c r="AT165" s="88">
        <f>SUM(AT5:AT163)</f>
        <v>395236127</v>
      </c>
      <c r="AU165" s="88">
        <f>SUM(AU5:AU163)</f>
        <v>311416667</v>
      </c>
      <c r="AV165" s="88">
        <f>SUM(AV5:AV163)</f>
        <v>333456873</v>
      </c>
      <c r="AW165" s="88">
        <f>SUM(AW5:AW163)</f>
        <v>60812500</v>
      </c>
      <c r="AX165" s="88">
        <f>SUM(AX5:AX163)</f>
        <v>109339052</v>
      </c>
      <c r="AY165" s="88">
        <f t="shared" ref="AY165" si="31">SUM(AY5:AY163)</f>
        <v>70000000</v>
      </c>
      <c r="AZ165" s="88">
        <f>SUM(AZ5:AZ163)</f>
        <v>250997105</v>
      </c>
      <c r="BA165" s="88">
        <f t="shared" ref="BA165:BB165" si="32">SUM(BA5:BA164)</f>
        <v>50000000</v>
      </c>
      <c r="BB165" s="88">
        <f>SUM(BB5:BB164)</f>
        <v>127400410</v>
      </c>
      <c r="BC165" s="88">
        <f>SUM(BC5:BC164)</f>
        <v>2195876389</v>
      </c>
      <c r="BD165" s="88">
        <f t="shared" ref="BD165:BE165" si="33">SUM(BD5:BD164)</f>
        <v>2810837782</v>
      </c>
      <c r="BE165" s="88">
        <f t="shared" si="33"/>
        <v>2892044601.96</v>
      </c>
    </row>
    <row r="166" spans="1:57" ht="14" x14ac:dyDescent="0.25">
      <c r="A166" s="61"/>
      <c r="B166" s="61"/>
      <c r="C166" s="71">
        <v>3101559768.96</v>
      </c>
      <c r="D166" s="65">
        <v>190000000</v>
      </c>
      <c r="E166" s="65">
        <v>189394667</v>
      </c>
      <c r="F166" s="65">
        <v>340400000</v>
      </c>
      <c r="G166" s="65">
        <v>247070415</v>
      </c>
      <c r="H166" s="65"/>
      <c r="I166" s="65">
        <v>234433601</v>
      </c>
      <c r="J166" s="65">
        <v>125000000</v>
      </c>
      <c r="K166" s="65">
        <v>143502217</v>
      </c>
      <c r="L166" s="65">
        <v>275000000</v>
      </c>
      <c r="M166" s="65">
        <v>196441888</v>
      </c>
      <c r="N166" s="65">
        <v>100000000</v>
      </c>
      <c r="O166" s="65">
        <v>121867447</v>
      </c>
      <c r="P166" s="65">
        <v>272000000</v>
      </c>
      <c r="Q166" s="65">
        <v>255337404</v>
      </c>
      <c r="R166" s="65">
        <v>300000000</v>
      </c>
      <c r="S166" s="65">
        <v>201767927</v>
      </c>
      <c r="T166" s="65">
        <v>50000000</v>
      </c>
      <c r="U166" s="65">
        <v>114949040</v>
      </c>
      <c r="V166" s="65">
        <v>276000000</v>
      </c>
      <c r="W166" s="65">
        <v>163328918</v>
      </c>
      <c r="X166" s="65">
        <v>270000000</v>
      </c>
      <c r="Y166" s="65">
        <v>139280320</v>
      </c>
      <c r="Z166" s="65">
        <v>535316667</v>
      </c>
      <c r="AA166" s="65">
        <v>334096667</v>
      </c>
      <c r="AB166" s="65">
        <v>2733716672</v>
      </c>
      <c r="AC166" s="65">
        <v>2341470521</v>
      </c>
      <c r="AD166" s="59">
        <v>3493805919.96</v>
      </c>
      <c r="AE166" s="59">
        <v>433500000</v>
      </c>
      <c r="AF166" s="59">
        <v>318507699</v>
      </c>
      <c r="AG166" s="59">
        <v>185000000</v>
      </c>
      <c r="AH166" s="59">
        <v>211036437</v>
      </c>
      <c r="AI166" s="59">
        <v>121188889</v>
      </c>
      <c r="AJ166" s="59">
        <v>333011394</v>
      </c>
      <c r="AK166" s="59">
        <v>215000000</v>
      </c>
      <c r="AL166" s="59">
        <v>167030519</v>
      </c>
      <c r="AM166" s="59">
        <v>272875000</v>
      </c>
      <c r="AN166" s="59">
        <v>226766724</v>
      </c>
      <c r="AO166" s="59">
        <v>123312500</v>
      </c>
      <c r="AP166" s="59">
        <v>169491011</v>
      </c>
      <c r="AQ166" s="59">
        <v>0</v>
      </c>
      <c r="AR166" s="59">
        <v>169564432</v>
      </c>
      <c r="AS166" s="59">
        <v>352770833</v>
      </c>
      <c r="AT166" s="59">
        <v>395236127</v>
      </c>
      <c r="AU166" s="59">
        <v>311416667</v>
      </c>
      <c r="AV166" s="59">
        <v>333456873</v>
      </c>
      <c r="AW166" s="59">
        <v>60812500</v>
      </c>
      <c r="AX166" s="59">
        <v>109339052</v>
      </c>
      <c r="AY166" s="59">
        <v>70000000</v>
      </c>
      <c r="AZ166" s="59">
        <v>250997105</v>
      </c>
      <c r="BA166" s="118">
        <v>50000000</v>
      </c>
      <c r="BB166" s="118">
        <v>127400410</v>
      </c>
      <c r="BC166" s="89">
        <v>2195876389</v>
      </c>
      <c r="BD166" s="89">
        <v>2811837783</v>
      </c>
      <c r="BE166" s="89">
        <v>2877844525</v>
      </c>
    </row>
    <row r="167" spans="1:57" ht="14" x14ac:dyDescent="0.25">
      <c r="A167" s="61"/>
      <c r="B167" s="61"/>
      <c r="C167" s="65">
        <f>C165-C166</f>
        <v>0</v>
      </c>
      <c r="D167" s="65">
        <f>D165-D166</f>
        <v>0</v>
      </c>
      <c r="E167" s="65">
        <f>E165-E166</f>
        <v>-500000</v>
      </c>
      <c r="F167" s="65">
        <f>F165-F166</f>
        <v>0</v>
      </c>
      <c r="G167" s="65">
        <f>G165-G166</f>
        <v>0</v>
      </c>
      <c r="H167" s="65"/>
      <c r="I167" s="65">
        <f t="shared" ref="I167:O167" si="34">I165-I166</f>
        <v>0</v>
      </c>
      <c r="J167" s="65">
        <f t="shared" si="34"/>
        <v>0</v>
      </c>
      <c r="K167" s="65">
        <f t="shared" si="34"/>
        <v>0</v>
      </c>
      <c r="L167" s="65">
        <f t="shared" si="34"/>
        <v>0</v>
      </c>
      <c r="M167" s="65">
        <f t="shared" si="34"/>
        <v>19</v>
      </c>
      <c r="N167" s="65">
        <f t="shared" si="34"/>
        <v>0</v>
      </c>
      <c r="O167" s="65">
        <f t="shared" si="34"/>
        <v>0</v>
      </c>
      <c r="P167" s="65">
        <f t="shared" ref="P167:AB167" si="35">P165-P166</f>
        <v>3</v>
      </c>
      <c r="Q167" s="65">
        <f t="shared" si="35"/>
        <v>-19</v>
      </c>
      <c r="R167" s="65">
        <f t="shared" si="35"/>
        <v>0</v>
      </c>
      <c r="S167" s="65">
        <f t="shared" si="35"/>
        <v>10</v>
      </c>
      <c r="T167" s="65">
        <f t="shared" si="35"/>
        <v>0</v>
      </c>
      <c r="U167" s="65">
        <f t="shared" si="35"/>
        <v>-100</v>
      </c>
      <c r="V167" s="65">
        <f t="shared" si="35"/>
        <v>0</v>
      </c>
      <c r="W167" s="65">
        <f t="shared" si="35"/>
        <v>-11512483</v>
      </c>
      <c r="X167" s="65">
        <f t="shared" si="35"/>
        <v>0</v>
      </c>
      <c r="Y167" s="65">
        <f t="shared" si="35"/>
        <v>-187500</v>
      </c>
      <c r="Z167" s="65">
        <f t="shared" si="35"/>
        <v>-712500</v>
      </c>
      <c r="AA167" s="65">
        <f t="shared" si="35"/>
        <v>-1712494</v>
      </c>
      <c r="AB167" s="65">
        <f t="shared" si="35"/>
        <v>-712502</v>
      </c>
      <c r="AC167" s="65">
        <f>AC165-AC166</f>
        <v>-13912577</v>
      </c>
      <c r="AD167" s="59">
        <f>AD165-AD166</f>
        <v>13200075</v>
      </c>
      <c r="AE167" s="72">
        <f t="shared" ref="AE167:AL167" si="36">AE165-AE166</f>
        <v>0</v>
      </c>
      <c r="AF167" s="72">
        <f t="shared" si="36"/>
        <v>0</v>
      </c>
      <c r="AG167" s="72">
        <f t="shared" si="36"/>
        <v>0</v>
      </c>
      <c r="AH167" s="72">
        <f t="shared" si="36"/>
        <v>0</v>
      </c>
      <c r="AI167" s="72">
        <f t="shared" si="36"/>
        <v>0</v>
      </c>
      <c r="AJ167" s="72">
        <f t="shared" si="36"/>
        <v>0</v>
      </c>
      <c r="AK167" s="72">
        <f t="shared" si="36"/>
        <v>0</v>
      </c>
      <c r="AL167" s="72">
        <f t="shared" si="36"/>
        <v>0</v>
      </c>
      <c r="AM167" s="72">
        <f t="shared" ref="AM167:AP167" si="37">AM165-AM166</f>
        <v>0</v>
      </c>
      <c r="AN167" s="72">
        <f t="shared" si="37"/>
        <v>-1000000</v>
      </c>
      <c r="AO167" s="89">
        <f t="shared" si="37"/>
        <v>0</v>
      </c>
      <c r="AP167" s="89">
        <f t="shared" si="37"/>
        <v>0</v>
      </c>
      <c r="AQ167" s="89">
        <f t="shared" ref="AQ167:BE167" si="38">AQ165-AQ166</f>
        <v>0</v>
      </c>
      <c r="AR167" s="89">
        <f t="shared" si="38"/>
        <v>-1</v>
      </c>
      <c r="AS167" s="89">
        <f t="shared" si="38"/>
        <v>0</v>
      </c>
      <c r="AT167" s="89">
        <f t="shared" si="38"/>
        <v>0</v>
      </c>
      <c r="AU167" s="89">
        <f>AU165-AU166</f>
        <v>0</v>
      </c>
      <c r="AV167" s="89">
        <f>AV165-AV166</f>
        <v>0</v>
      </c>
      <c r="AW167" s="89">
        <f>AW165-AW166</f>
        <v>0</v>
      </c>
      <c r="AX167" s="89">
        <f>AX165-AX166</f>
        <v>0</v>
      </c>
      <c r="AY167" s="79">
        <f t="shared" si="38"/>
        <v>0</v>
      </c>
      <c r="AZ167" s="79">
        <f t="shared" si="38"/>
        <v>0</v>
      </c>
      <c r="BA167" s="79">
        <f>BA165-BA166</f>
        <v>0</v>
      </c>
      <c r="BB167" s="79">
        <f>BB165-BB166</f>
        <v>0</v>
      </c>
      <c r="BC167" s="79">
        <f t="shared" si="38"/>
        <v>0</v>
      </c>
      <c r="BD167" s="79">
        <f t="shared" si="38"/>
        <v>-1000001</v>
      </c>
      <c r="BE167" s="79">
        <f t="shared" si="38"/>
        <v>14200076.960000038</v>
      </c>
    </row>
    <row r="168" spans="1:57" ht="14" x14ac:dyDescent="0.25">
      <c r="A168" s="61"/>
      <c r="B168" s="61"/>
      <c r="C168" s="71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 t="s">
        <v>84</v>
      </c>
      <c r="AA168" s="65"/>
      <c r="AB168" s="65"/>
      <c r="AC168" s="65"/>
      <c r="AD168" s="65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 t="s">
        <v>261</v>
      </c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D168" s="79">
        <f>AD167+1000001</f>
        <v>14200076</v>
      </c>
    </row>
    <row r="169" spans="1:57" x14ac:dyDescent="0.25">
      <c r="AN169" s="75">
        <v>1000000</v>
      </c>
    </row>
    <row r="170" spans="1:57" x14ac:dyDescent="0.25">
      <c r="AZ170" s="14">
        <v>16634729</v>
      </c>
    </row>
    <row r="171" spans="1:57" x14ac:dyDescent="0.25">
      <c r="AZ171" s="14">
        <v>62766133</v>
      </c>
    </row>
    <row r="172" spans="1:57" x14ac:dyDescent="0.25">
      <c r="AZ172" s="14">
        <v>14611869</v>
      </c>
    </row>
    <row r="173" spans="1:57" x14ac:dyDescent="0.25">
      <c r="AM173" s="75" t="s">
        <v>262</v>
      </c>
      <c r="AN173" s="75">
        <v>10208334</v>
      </c>
      <c r="AO173" s="14">
        <v>7430556</v>
      </c>
      <c r="AP173" s="14">
        <f>AN173-AO173</f>
        <v>2777778</v>
      </c>
    </row>
    <row r="174" spans="1:57" x14ac:dyDescent="0.25">
      <c r="AM174" s="75" t="s">
        <v>263</v>
      </c>
      <c r="AN174" s="75">
        <f>89216724-1000000</f>
        <v>88216724</v>
      </c>
      <c r="AO174" s="14">
        <v>85050057</v>
      </c>
      <c r="AP174" s="14">
        <f>AN174-AO174</f>
        <v>3166667</v>
      </c>
      <c r="BC174" s="79">
        <f>AP173-AP174</f>
        <v>-388889</v>
      </c>
    </row>
    <row r="175" spans="1:57" x14ac:dyDescent="0.25">
      <c r="AM175" s="75" t="s">
        <v>264</v>
      </c>
      <c r="AN175" s="75">
        <v>3333333</v>
      </c>
      <c r="AO175" s="14">
        <v>3333333</v>
      </c>
      <c r="AP175" s="14">
        <f>AN175-AO175</f>
        <v>0</v>
      </c>
    </row>
    <row r="176" spans="1:57" x14ac:dyDescent="0.25">
      <c r="AM176" s="75" t="s">
        <v>265</v>
      </c>
      <c r="AN176" s="75">
        <v>3494445</v>
      </c>
      <c r="AO176" s="14">
        <v>3494445</v>
      </c>
      <c r="AP176" s="14">
        <f>AN176-AO176</f>
        <v>0</v>
      </c>
    </row>
    <row r="177" spans="39:42" x14ac:dyDescent="0.25">
      <c r="AM177" s="75" t="s">
        <v>266</v>
      </c>
      <c r="AN177" s="75">
        <v>2500000</v>
      </c>
      <c r="AO177" s="14">
        <v>2500000</v>
      </c>
      <c r="AP177" s="14">
        <f>AN177-AO177</f>
        <v>0</v>
      </c>
    </row>
    <row r="178" spans="39:42" x14ac:dyDescent="0.25">
      <c r="AM178" s="75" t="s">
        <v>267</v>
      </c>
      <c r="AN178" s="75">
        <v>25000000</v>
      </c>
    </row>
    <row r="179" spans="39:42" x14ac:dyDescent="0.25">
      <c r="AM179" s="75" t="s">
        <v>268</v>
      </c>
      <c r="AN179" s="75">
        <v>94444444</v>
      </c>
    </row>
    <row r="180" spans="39:42" x14ac:dyDescent="0.25">
      <c r="AM180" s="75" t="s">
        <v>269</v>
      </c>
      <c r="AN180" s="75">
        <v>2736111</v>
      </c>
    </row>
    <row r="181" spans="39:42" x14ac:dyDescent="0.25">
      <c r="AN181" s="75">
        <f>SUM(AN173:AN180)</f>
        <v>229933391</v>
      </c>
    </row>
    <row r="182" spans="39:42" x14ac:dyDescent="0.25">
      <c r="AN182" s="75">
        <f>AN181-AN166</f>
        <v>3166667</v>
      </c>
      <c r="AO182" s="14">
        <f>AN182-AO173</f>
        <v>-4263889</v>
      </c>
    </row>
  </sheetData>
  <autoFilter ref="BA3:BB3" xr:uid="{A476E3B1-1EDC-469A-8380-3C424ABC245E}"/>
  <mergeCells count="32">
    <mergeCell ref="A2:A3"/>
    <mergeCell ref="B2:B3"/>
    <mergeCell ref="C2:C3"/>
    <mergeCell ref="D2:Z2"/>
    <mergeCell ref="AD2:AD3"/>
    <mergeCell ref="D3:E3"/>
    <mergeCell ref="F3:G3"/>
    <mergeCell ref="H3:I3"/>
    <mergeCell ref="J3:K3"/>
    <mergeCell ref="L3:M3"/>
    <mergeCell ref="Z3:AA3"/>
    <mergeCell ref="N3:O3"/>
    <mergeCell ref="P3:Q3"/>
    <mergeCell ref="R3:S3"/>
    <mergeCell ref="T3:U3"/>
    <mergeCell ref="V3:W3"/>
    <mergeCell ref="BD2:BD3"/>
    <mergeCell ref="BC2:BC3"/>
    <mergeCell ref="BE2:BE3"/>
    <mergeCell ref="X3:Y3"/>
    <mergeCell ref="AG2:AH2"/>
    <mergeCell ref="AE2:AF2"/>
    <mergeCell ref="AO2:AP2"/>
    <mergeCell ref="AM2:AN2"/>
    <mergeCell ref="AK2:AL2"/>
    <mergeCell ref="AI2:AJ2"/>
    <mergeCell ref="AQ2:AR2"/>
    <mergeCell ref="AS2:AT2"/>
    <mergeCell ref="AU2:AV2"/>
    <mergeCell ref="AW2:AX2"/>
    <mergeCell ref="AY2:AZ2"/>
    <mergeCell ref="BA2:BB2"/>
  </mergeCells>
  <pageMargins left="0.7" right="0.7" top="0.75" bottom="0.75" header="0.3" footer="0.3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BD43-4EEB-4618-A67B-3854AFD1BDFC}">
  <dimension ref="A4:G38"/>
  <sheetViews>
    <sheetView topLeftCell="A25" workbookViewId="0">
      <selection activeCell="E31" sqref="E31"/>
    </sheetView>
  </sheetViews>
  <sheetFormatPr defaultRowHeight="12.5" x14ac:dyDescent="0.25"/>
  <cols>
    <col min="1" max="1" width="20.08984375" customWidth="1"/>
    <col min="2" max="2" width="10.81640625" customWidth="1"/>
    <col min="3" max="3" width="4.81640625" customWidth="1"/>
    <col min="4" max="4" width="14.1796875" customWidth="1"/>
    <col min="5" max="5" width="12.36328125" customWidth="1"/>
    <col min="6" max="6" width="4.6328125" customWidth="1"/>
    <col min="7" max="7" width="11.453125" customWidth="1"/>
  </cols>
  <sheetData>
    <row r="4" spans="1:7" ht="14" x14ac:dyDescent="0.3">
      <c r="A4" s="63" t="s">
        <v>166</v>
      </c>
      <c r="B4" s="92">
        <v>3679688</v>
      </c>
      <c r="D4" s="105" t="s">
        <v>221</v>
      </c>
      <c r="E4" s="34">
        <v>3679688</v>
      </c>
      <c r="G4" s="79">
        <f>B4-E4</f>
        <v>0</v>
      </c>
    </row>
    <row r="5" spans="1:7" ht="14" x14ac:dyDescent="0.3">
      <c r="A5" s="63" t="s">
        <v>30</v>
      </c>
      <c r="B5" s="92">
        <v>833333</v>
      </c>
      <c r="D5" s="104" t="s">
        <v>169</v>
      </c>
      <c r="E5" s="80">
        <v>833333</v>
      </c>
      <c r="G5" s="79">
        <f t="shared" ref="G5:G38" si="0">B5-E5</f>
        <v>0</v>
      </c>
    </row>
    <row r="6" spans="1:7" ht="14" x14ac:dyDescent="0.3">
      <c r="A6" s="63" t="s">
        <v>208</v>
      </c>
      <c r="B6" s="92">
        <v>1250000</v>
      </c>
      <c r="D6" s="105" t="s">
        <v>208</v>
      </c>
      <c r="E6" s="34">
        <v>1250000</v>
      </c>
      <c r="G6" s="79">
        <f t="shared" si="0"/>
        <v>0</v>
      </c>
    </row>
    <row r="7" spans="1:7" ht="14" x14ac:dyDescent="0.3">
      <c r="A7" s="63" t="s">
        <v>32</v>
      </c>
      <c r="B7" s="92">
        <v>4100238</v>
      </c>
      <c r="D7" s="104" t="s">
        <v>170</v>
      </c>
      <c r="E7" s="16">
        <v>4100238</v>
      </c>
      <c r="G7" s="79">
        <f t="shared" si="0"/>
        <v>0</v>
      </c>
    </row>
    <row r="8" spans="1:7" ht="14" x14ac:dyDescent="0.3">
      <c r="A8" s="63" t="s">
        <v>246</v>
      </c>
      <c r="B8" s="92">
        <v>1666667</v>
      </c>
      <c r="D8" s="105" t="s">
        <v>246</v>
      </c>
      <c r="E8" s="18">
        <v>1666667</v>
      </c>
      <c r="G8" s="79">
        <f t="shared" si="0"/>
        <v>0</v>
      </c>
    </row>
    <row r="9" spans="1:7" ht="14" x14ac:dyDescent="0.3">
      <c r="A9" s="63" t="s">
        <v>254</v>
      </c>
      <c r="B9" s="92">
        <v>5833333</v>
      </c>
      <c r="D9" s="105" t="s">
        <v>254</v>
      </c>
      <c r="E9" s="34">
        <v>5833333</v>
      </c>
      <c r="G9" s="79">
        <f t="shared" si="0"/>
        <v>0</v>
      </c>
    </row>
    <row r="10" spans="1:7" ht="14" x14ac:dyDescent="0.3">
      <c r="A10" s="63" t="s">
        <v>253</v>
      </c>
      <c r="B10" s="92">
        <v>1527778</v>
      </c>
      <c r="D10" s="105" t="s">
        <v>253</v>
      </c>
      <c r="E10" s="18">
        <v>1527778</v>
      </c>
      <c r="G10" s="79">
        <f t="shared" si="0"/>
        <v>0</v>
      </c>
    </row>
    <row r="11" spans="1:7" ht="14" x14ac:dyDescent="0.3">
      <c r="A11" s="63" t="s">
        <v>252</v>
      </c>
      <c r="B11" s="92">
        <v>1666667</v>
      </c>
      <c r="D11" s="105" t="s">
        <v>252</v>
      </c>
      <c r="E11" s="18">
        <v>1666667</v>
      </c>
      <c r="G11" s="79">
        <f t="shared" si="0"/>
        <v>0</v>
      </c>
    </row>
    <row r="12" spans="1:7" ht="14" x14ac:dyDescent="0.3">
      <c r="A12" s="63" t="s">
        <v>47</v>
      </c>
      <c r="B12" s="92">
        <v>6944444</v>
      </c>
      <c r="D12" s="105" t="s">
        <v>174</v>
      </c>
      <c r="E12" s="100">
        <v>6944444</v>
      </c>
      <c r="G12" s="79">
        <f t="shared" si="0"/>
        <v>0</v>
      </c>
    </row>
    <row r="13" spans="1:7" ht="14" x14ac:dyDescent="0.3">
      <c r="A13" s="95" t="s">
        <v>175</v>
      </c>
      <c r="B13" s="92">
        <v>2500000</v>
      </c>
      <c r="D13" s="104" t="s">
        <v>175</v>
      </c>
      <c r="E13" s="106">
        <v>2500000</v>
      </c>
      <c r="G13" s="79">
        <f t="shared" si="0"/>
        <v>0</v>
      </c>
    </row>
    <row r="14" spans="1:7" ht="14" x14ac:dyDescent="0.3">
      <c r="A14" s="63" t="s">
        <v>248</v>
      </c>
      <c r="B14" s="92">
        <v>1200000</v>
      </c>
      <c r="D14" s="105" t="s">
        <v>248</v>
      </c>
      <c r="E14" s="18">
        <v>1200000</v>
      </c>
      <c r="G14" s="79">
        <f t="shared" si="0"/>
        <v>0</v>
      </c>
    </row>
    <row r="15" spans="1:7" ht="14" x14ac:dyDescent="0.3">
      <c r="A15" s="63" t="s">
        <v>57</v>
      </c>
      <c r="B15" s="92">
        <v>694444</v>
      </c>
      <c r="D15" s="105" t="s">
        <v>177</v>
      </c>
      <c r="E15" s="18">
        <v>694444</v>
      </c>
      <c r="G15" s="79">
        <f t="shared" si="0"/>
        <v>0</v>
      </c>
    </row>
    <row r="16" spans="1:7" ht="14" x14ac:dyDescent="0.3">
      <c r="A16" s="63" t="s">
        <v>205</v>
      </c>
      <c r="B16" s="92">
        <v>2083333</v>
      </c>
      <c r="D16" s="105" t="s">
        <v>205</v>
      </c>
      <c r="E16" s="18">
        <v>2083333</v>
      </c>
      <c r="G16" s="79">
        <f t="shared" si="0"/>
        <v>0</v>
      </c>
    </row>
    <row r="17" spans="1:7" ht="14" x14ac:dyDescent="0.3">
      <c r="A17" s="63" t="s">
        <v>178</v>
      </c>
      <c r="B17" s="92">
        <v>2083333</v>
      </c>
      <c r="D17" s="105" t="s">
        <v>178</v>
      </c>
      <c r="E17" s="18">
        <v>2083333</v>
      </c>
      <c r="G17" s="79">
        <f t="shared" si="0"/>
        <v>0</v>
      </c>
    </row>
    <row r="18" spans="1:7" ht="14" x14ac:dyDescent="0.3">
      <c r="A18" s="63" t="s">
        <v>257</v>
      </c>
      <c r="B18" s="92">
        <v>1041667</v>
      </c>
      <c r="D18" s="105" t="s">
        <v>257</v>
      </c>
      <c r="E18" s="18">
        <v>1041667</v>
      </c>
      <c r="G18" s="79">
        <f t="shared" si="0"/>
        <v>0</v>
      </c>
    </row>
    <row r="19" spans="1:7" ht="14" x14ac:dyDescent="0.3">
      <c r="A19" s="63" t="s">
        <v>67</v>
      </c>
      <c r="B19" s="92">
        <v>2083333</v>
      </c>
      <c r="D19" s="104" t="s">
        <v>180</v>
      </c>
      <c r="E19" s="16">
        <v>2083333</v>
      </c>
      <c r="G19" s="79">
        <f t="shared" si="0"/>
        <v>0</v>
      </c>
    </row>
    <row r="20" spans="1:7" ht="14" x14ac:dyDescent="0.3">
      <c r="A20" s="63" t="s">
        <v>181</v>
      </c>
      <c r="B20" s="92">
        <v>2500000</v>
      </c>
      <c r="D20" s="105" t="s">
        <v>181</v>
      </c>
      <c r="E20" s="18">
        <v>2500000</v>
      </c>
      <c r="G20" s="79">
        <f t="shared" si="0"/>
        <v>0</v>
      </c>
    </row>
    <row r="21" spans="1:7" ht="14" x14ac:dyDescent="0.3">
      <c r="A21" s="95" t="s">
        <v>255</v>
      </c>
      <c r="B21" s="92">
        <v>1666667</v>
      </c>
      <c r="D21" s="105" t="s">
        <v>255</v>
      </c>
      <c r="E21" s="100">
        <v>1666667</v>
      </c>
      <c r="G21" s="79">
        <f t="shared" si="0"/>
        <v>0</v>
      </c>
    </row>
    <row r="22" spans="1:7" ht="14" x14ac:dyDescent="0.3">
      <c r="A22" s="82" t="s">
        <v>74</v>
      </c>
      <c r="B22" s="92">
        <v>7577304</v>
      </c>
      <c r="D22" s="105" t="s">
        <v>230</v>
      </c>
      <c r="E22" s="34">
        <v>7577304</v>
      </c>
      <c r="G22" s="79">
        <f t="shared" si="0"/>
        <v>0</v>
      </c>
    </row>
    <row r="23" spans="1:7" ht="14" x14ac:dyDescent="0.3">
      <c r="A23" s="63" t="s">
        <v>155</v>
      </c>
      <c r="B23" s="92">
        <v>1041667</v>
      </c>
      <c r="D23" s="104" t="s">
        <v>183</v>
      </c>
      <c r="E23" s="16">
        <v>1041667</v>
      </c>
      <c r="G23" s="79">
        <f t="shared" si="0"/>
        <v>0</v>
      </c>
    </row>
    <row r="24" spans="1:7" ht="14" x14ac:dyDescent="0.3">
      <c r="A24" s="63" t="s">
        <v>185</v>
      </c>
      <c r="B24" s="92">
        <v>2777778</v>
      </c>
      <c r="D24" s="105" t="s">
        <v>185</v>
      </c>
      <c r="E24" s="34">
        <v>2777778</v>
      </c>
      <c r="G24" s="79">
        <f t="shared" si="0"/>
        <v>0</v>
      </c>
    </row>
    <row r="25" spans="1:7" ht="14" x14ac:dyDescent="0.3">
      <c r="A25" s="63" t="s">
        <v>159</v>
      </c>
      <c r="B25" s="92">
        <v>2083333</v>
      </c>
      <c r="D25" s="105" t="s">
        <v>186</v>
      </c>
      <c r="E25" s="18">
        <v>2083333</v>
      </c>
      <c r="G25" s="79">
        <f t="shared" si="0"/>
        <v>0</v>
      </c>
    </row>
    <row r="26" spans="1:7" ht="14" x14ac:dyDescent="0.3">
      <c r="A26" s="63" t="s">
        <v>220</v>
      </c>
      <c r="B26" s="92">
        <v>3181818</v>
      </c>
      <c r="D26" s="105" t="s">
        <v>220</v>
      </c>
      <c r="E26" s="18">
        <v>3181818</v>
      </c>
      <c r="G26" s="79">
        <f t="shared" si="0"/>
        <v>0</v>
      </c>
    </row>
    <row r="27" spans="1:7" ht="14" x14ac:dyDescent="0.3">
      <c r="A27" s="63" t="s">
        <v>251</v>
      </c>
      <c r="B27" s="92">
        <v>1296296</v>
      </c>
      <c r="D27" s="105" t="s">
        <v>251</v>
      </c>
      <c r="E27" s="18">
        <v>1296296</v>
      </c>
      <c r="G27" s="79">
        <f t="shared" si="0"/>
        <v>0</v>
      </c>
    </row>
    <row r="28" spans="1:7" ht="14" x14ac:dyDescent="0.3">
      <c r="A28" s="63" t="s">
        <v>250</v>
      </c>
      <c r="B28" s="92">
        <v>1000000</v>
      </c>
      <c r="D28" s="105" t="s">
        <v>250</v>
      </c>
      <c r="E28" s="16">
        <v>1000000</v>
      </c>
      <c r="G28" s="79">
        <f t="shared" si="0"/>
        <v>0</v>
      </c>
    </row>
    <row r="29" spans="1:7" ht="14" x14ac:dyDescent="0.3">
      <c r="A29" s="63" t="s">
        <v>193</v>
      </c>
      <c r="B29" s="92">
        <v>2083333</v>
      </c>
      <c r="D29" s="104" t="s">
        <v>193</v>
      </c>
      <c r="E29" s="16">
        <v>2083333</v>
      </c>
      <c r="G29" s="79">
        <f t="shared" si="0"/>
        <v>0</v>
      </c>
    </row>
    <row r="30" spans="1:7" ht="14" x14ac:dyDescent="0.3">
      <c r="A30" s="63" t="s">
        <v>194</v>
      </c>
      <c r="B30" s="92">
        <v>2083333</v>
      </c>
      <c r="D30" s="105" t="s">
        <v>194</v>
      </c>
      <c r="E30" s="101">
        <v>2083333</v>
      </c>
      <c r="G30" s="79">
        <f t="shared" si="0"/>
        <v>0</v>
      </c>
    </row>
    <row r="31" spans="1:7" ht="14" x14ac:dyDescent="0.3">
      <c r="A31" s="63" t="s">
        <v>103</v>
      </c>
      <c r="B31" s="92">
        <v>1388889</v>
      </c>
      <c r="D31" s="105" t="s">
        <v>195</v>
      </c>
      <c r="E31" s="18">
        <v>1388889</v>
      </c>
      <c r="G31" s="79">
        <f t="shared" si="0"/>
        <v>0</v>
      </c>
    </row>
    <row r="32" spans="1:7" ht="14" x14ac:dyDescent="0.3">
      <c r="A32" s="63" t="s">
        <v>109</v>
      </c>
      <c r="B32" s="92">
        <v>6250000</v>
      </c>
      <c r="D32" s="105" t="s">
        <v>196</v>
      </c>
      <c r="E32" s="34">
        <v>6250000</v>
      </c>
      <c r="G32" s="79">
        <f t="shared" si="0"/>
        <v>0</v>
      </c>
    </row>
    <row r="33" spans="1:7" ht="14" x14ac:dyDescent="0.3">
      <c r="A33" s="63" t="s">
        <v>110</v>
      </c>
      <c r="B33" s="92">
        <v>1666667</v>
      </c>
      <c r="D33" s="105" t="s">
        <v>197</v>
      </c>
      <c r="E33" s="18">
        <v>1666667</v>
      </c>
      <c r="G33" s="79">
        <f t="shared" si="0"/>
        <v>0</v>
      </c>
    </row>
    <row r="34" spans="1:7" ht="14" x14ac:dyDescent="0.3">
      <c r="A34" s="63" t="s">
        <v>115</v>
      </c>
      <c r="B34" s="92">
        <v>1150174</v>
      </c>
      <c r="D34" s="105" t="s">
        <v>198</v>
      </c>
      <c r="E34" s="18">
        <v>1150174</v>
      </c>
      <c r="G34" s="79">
        <f t="shared" si="0"/>
        <v>0</v>
      </c>
    </row>
    <row r="35" spans="1:7" ht="14" x14ac:dyDescent="0.3">
      <c r="A35" s="95" t="s">
        <v>199</v>
      </c>
      <c r="B35" s="92">
        <v>833333</v>
      </c>
      <c r="D35" s="105" t="s">
        <v>199</v>
      </c>
      <c r="E35" s="18">
        <v>833333</v>
      </c>
      <c r="G35" s="79">
        <f t="shared" si="0"/>
        <v>0</v>
      </c>
    </row>
    <row r="36" spans="1:7" ht="14" x14ac:dyDescent="0.3">
      <c r="A36" s="95"/>
      <c r="B36" s="92"/>
      <c r="D36" s="104" t="s">
        <v>274</v>
      </c>
      <c r="E36" s="80">
        <v>972222</v>
      </c>
      <c r="G36" s="79">
        <f t="shared" si="0"/>
        <v>-972222</v>
      </c>
    </row>
    <row r="37" spans="1:7" ht="14" x14ac:dyDescent="0.3">
      <c r="A37" s="63" t="s">
        <v>125</v>
      </c>
      <c r="B37" s="92">
        <v>2083333</v>
      </c>
      <c r="D37" s="104" t="s">
        <v>200</v>
      </c>
      <c r="E37" s="16">
        <v>2083333</v>
      </c>
      <c r="G37" s="79">
        <f t="shared" si="0"/>
        <v>0</v>
      </c>
    </row>
    <row r="38" spans="1:7" ht="14" x14ac:dyDescent="0.3">
      <c r="A38" s="63" t="s">
        <v>247</v>
      </c>
      <c r="B38" s="92">
        <v>1666667</v>
      </c>
      <c r="D38" s="107" t="s">
        <v>247</v>
      </c>
      <c r="E38" s="102">
        <v>1666667</v>
      </c>
      <c r="G38" s="79">
        <f t="shared" si="0"/>
        <v>0</v>
      </c>
    </row>
  </sheetData>
  <sortState xmlns:xlrd2="http://schemas.microsoft.com/office/spreadsheetml/2017/richdata2" ref="D4:E164">
    <sortCondition ref="D1:D1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5E11-3FB2-4D05-A7B1-B63373805742}">
  <dimension ref="A3:G64"/>
  <sheetViews>
    <sheetView topLeftCell="A40" zoomScale="85" zoomScaleNormal="85" workbookViewId="0">
      <selection activeCell="D50" sqref="D50"/>
    </sheetView>
  </sheetViews>
  <sheetFormatPr defaultRowHeight="12.5" x14ac:dyDescent="0.25"/>
  <cols>
    <col min="1" max="1" width="19.08984375" customWidth="1"/>
    <col min="2" max="2" width="11.26953125" customWidth="1"/>
    <col min="4" max="4" width="9.90625" customWidth="1"/>
    <col min="5" max="5" width="12.6328125" customWidth="1"/>
    <col min="7" max="7" width="12.453125" customWidth="1"/>
  </cols>
  <sheetData>
    <row r="3" spans="1:7" x14ac:dyDescent="0.25">
      <c r="A3" t="s">
        <v>212</v>
      </c>
      <c r="B3" t="s">
        <v>213</v>
      </c>
    </row>
    <row r="4" spans="1:7" ht="13" x14ac:dyDescent="0.3">
      <c r="A4" s="37" t="s">
        <v>221</v>
      </c>
      <c r="B4" s="34">
        <v>2083333</v>
      </c>
      <c r="G4" s="42">
        <f>B4-E4</f>
        <v>2083333</v>
      </c>
    </row>
    <row r="5" spans="1:7" ht="13" x14ac:dyDescent="0.3">
      <c r="A5" s="30" t="s">
        <v>169</v>
      </c>
      <c r="B5" s="16">
        <v>1666667</v>
      </c>
      <c r="D5" s="40" t="s">
        <v>30</v>
      </c>
      <c r="E5" s="41">
        <v>1666667</v>
      </c>
      <c r="G5" s="42">
        <f t="shared" ref="G5:G47" si="0">B5-E5</f>
        <v>0</v>
      </c>
    </row>
    <row r="6" spans="1:7" ht="13" x14ac:dyDescent="0.3">
      <c r="A6" s="30" t="s">
        <v>218</v>
      </c>
      <c r="B6" s="16">
        <v>1500000</v>
      </c>
      <c r="D6" s="40"/>
      <c r="E6" s="41"/>
      <c r="G6" s="42">
        <f t="shared" si="0"/>
        <v>1500000</v>
      </c>
    </row>
    <row r="7" spans="1:7" ht="13" x14ac:dyDescent="0.3">
      <c r="A7" s="37" t="s">
        <v>222</v>
      </c>
      <c r="B7" s="34">
        <v>2777778</v>
      </c>
      <c r="D7" s="40"/>
      <c r="E7" s="41"/>
      <c r="G7" s="42">
        <f t="shared" si="0"/>
        <v>2777778</v>
      </c>
    </row>
    <row r="8" spans="1:7" ht="13" x14ac:dyDescent="0.3">
      <c r="A8" s="31" t="s">
        <v>219</v>
      </c>
      <c r="B8" s="18">
        <v>1666667</v>
      </c>
      <c r="D8" s="40"/>
      <c r="E8" s="41"/>
      <c r="G8" s="42">
        <f t="shared" si="0"/>
        <v>1666667</v>
      </c>
    </row>
    <row r="9" spans="1:7" ht="13" x14ac:dyDescent="0.3">
      <c r="A9" s="32" t="s">
        <v>171</v>
      </c>
      <c r="B9" s="33">
        <v>4666667</v>
      </c>
      <c r="D9" s="1" t="s">
        <v>39</v>
      </c>
      <c r="E9" s="11">
        <v>4666667</v>
      </c>
      <c r="G9" s="42">
        <f t="shared" si="0"/>
        <v>0</v>
      </c>
    </row>
    <row r="10" spans="1:7" ht="13" x14ac:dyDescent="0.3">
      <c r="A10" s="31" t="s">
        <v>172</v>
      </c>
      <c r="B10" s="18">
        <v>1388889</v>
      </c>
      <c r="D10" s="1" t="s">
        <v>42</v>
      </c>
      <c r="E10" s="5">
        <v>1388889</v>
      </c>
      <c r="G10" s="42">
        <f t="shared" si="0"/>
        <v>0</v>
      </c>
    </row>
    <row r="11" spans="1:7" ht="13" x14ac:dyDescent="0.3">
      <c r="A11" s="31" t="s">
        <v>173</v>
      </c>
      <c r="B11" s="18">
        <v>1666667</v>
      </c>
      <c r="D11" s="1" t="s">
        <v>167</v>
      </c>
      <c r="E11" s="11">
        <v>1666667</v>
      </c>
      <c r="G11" s="42">
        <f t="shared" si="0"/>
        <v>0</v>
      </c>
    </row>
    <row r="12" spans="1:7" ht="13" x14ac:dyDescent="0.3">
      <c r="A12" s="31" t="s">
        <v>174</v>
      </c>
      <c r="B12" s="18">
        <v>2500000</v>
      </c>
      <c r="D12" s="1" t="s">
        <v>47</v>
      </c>
      <c r="E12" s="11">
        <v>2500000</v>
      </c>
      <c r="G12" s="42">
        <f t="shared" si="0"/>
        <v>0</v>
      </c>
    </row>
    <row r="13" spans="1:7" ht="13" x14ac:dyDescent="0.3">
      <c r="A13" s="31"/>
      <c r="B13" s="18"/>
      <c r="D13" s="1" t="s">
        <v>49</v>
      </c>
      <c r="E13" s="11">
        <v>75000000</v>
      </c>
      <c r="G13" s="42">
        <f t="shared" si="0"/>
        <v>-75000000</v>
      </c>
    </row>
    <row r="14" spans="1:7" ht="13" x14ac:dyDescent="0.3">
      <c r="A14" s="31" t="s">
        <v>177</v>
      </c>
      <c r="B14" s="18">
        <v>694444</v>
      </c>
      <c r="D14" s="1" t="s">
        <v>57</v>
      </c>
      <c r="E14" s="6">
        <v>694444</v>
      </c>
      <c r="G14" s="42">
        <f t="shared" si="0"/>
        <v>0</v>
      </c>
    </row>
    <row r="15" spans="1:7" ht="13" x14ac:dyDescent="0.3">
      <c r="A15" s="31" t="s">
        <v>203</v>
      </c>
      <c r="B15" s="18">
        <v>555556</v>
      </c>
      <c r="D15" s="1" t="s">
        <v>58</v>
      </c>
      <c r="E15" s="5">
        <v>555556</v>
      </c>
      <c r="G15" s="42">
        <f t="shared" si="0"/>
        <v>0</v>
      </c>
    </row>
    <row r="16" spans="1:7" ht="13" x14ac:dyDescent="0.3">
      <c r="A16" s="31" t="s">
        <v>205</v>
      </c>
      <c r="B16" s="18">
        <v>1388889</v>
      </c>
      <c r="D16" s="1" t="s">
        <v>141</v>
      </c>
      <c r="E16" s="5">
        <v>1388889</v>
      </c>
      <c r="G16" s="42">
        <f t="shared" si="0"/>
        <v>0</v>
      </c>
    </row>
    <row r="17" spans="1:7" ht="13" x14ac:dyDescent="0.3">
      <c r="A17" s="31" t="s">
        <v>178</v>
      </c>
      <c r="B17" s="18">
        <v>2083333</v>
      </c>
      <c r="D17" s="1" t="s">
        <v>60</v>
      </c>
      <c r="E17" s="5">
        <v>2083333</v>
      </c>
      <c r="G17" s="42">
        <f t="shared" si="0"/>
        <v>0</v>
      </c>
    </row>
    <row r="18" spans="1:7" ht="13" x14ac:dyDescent="0.3">
      <c r="A18" s="31" t="s">
        <v>179</v>
      </c>
      <c r="B18" s="18">
        <v>1443750</v>
      </c>
      <c r="D18" s="1" t="s">
        <v>65</v>
      </c>
      <c r="E18" s="5">
        <v>1443750</v>
      </c>
      <c r="G18" s="42">
        <f t="shared" si="0"/>
        <v>0</v>
      </c>
    </row>
    <row r="19" spans="1:7" ht="13" x14ac:dyDescent="0.3">
      <c r="A19" s="31" t="s">
        <v>207</v>
      </c>
      <c r="B19" s="18">
        <v>1250000</v>
      </c>
      <c r="D19" s="1" t="s">
        <v>66</v>
      </c>
      <c r="E19" s="5">
        <v>1250000</v>
      </c>
      <c r="G19" s="42">
        <f t="shared" si="0"/>
        <v>0</v>
      </c>
    </row>
    <row r="20" spans="1:7" ht="13" x14ac:dyDescent="0.3">
      <c r="A20" s="30" t="s">
        <v>180</v>
      </c>
      <c r="B20" s="16">
        <v>2083333</v>
      </c>
      <c r="D20" s="1" t="s">
        <v>67</v>
      </c>
      <c r="E20" s="6">
        <v>2083333</v>
      </c>
      <c r="G20" s="42">
        <f t="shared" si="0"/>
        <v>0</v>
      </c>
    </row>
    <row r="21" spans="1:7" ht="13" x14ac:dyDescent="0.3">
      <c r="A21" s="31" t="s">
        <v>181</v>
      </c>
      <c r="B21" s="18">
        <v>2500000</v>
      </c>
      <c r="D21" s="1" t="s">
        <v>73</v>
      </c>
      <c r="E21" s="5">
        <v>2500000</v>
      </c>
      <c r="G21" s="42">
        <f t="shared" si="0"/>
        <v>0</v>
      </c>
    </row>
    <row r="22" spans="1:7" ht="13" x14ac:dyDescent="0.3">
      <c r="A22" s="30" t="s">
        <v>183</v>
      </c>
      <c r="B22" s="16">
        <v>1041667</v>
      </c>
      <c r="D22" s="1" t="s">
        <v>155</v>
      </c>
      <c r="E22" s="5">
        <v>1041667</v>
      </c>
      <c r="G22" s="42">
        <f t="shared" si="0"/>
        <v>0</v>
      </c>
    </row>
    <row r="23" spans="1:7" ht="13" x14ac:dyDescent="0.3">
      <c r="A23" s="31" t="s">
        <v>184</v>
      </c>
      <c r="B23" s="18">
        <v>625000</v>
      </c>
      <c r="D23" s="1"/>
      <c r="E23" s="5"/>
      <c r="G23" s="42">
        <f t="shared" si="0"/>
        <v>625000</v>
      </c>
    </row>
    <row r="24" spans="1:7" ht="13" x14ac:dyDescent="0.3">
      <c r="A24" s="31" t="s">
        <v>185</v>
      </c>
      <c r="B24" s="34">
        <v>2777778</v>
      </c>
      <c r="D24" s="1" t="s">
        <v>81</v>
      </c>
      <c r="E24" s="6">
        <v>2777778</v>
      </c>
      <c r="G24" s="42">
        <f t="shared" si="0"/>
        <v>0</v>
      </c>
    </row>
    <row r="25" spans="1:7" ht="13" x14ac:dyDescent="0.3">
      <c r="A25" s="31" t="s">
        <v>186</v>
      </c>
      <c r="B25" s="18">
        <v>2083333</v>
      </c>
      <c r="D25" s="4" t="s">
        <v>159</v>
      </c>
      <c r="E25" s="10">
        <v>2083333</v>
      </c>
      <c r="G25" s="42">
        <f t="shared" si="0"/>
        <v>0</v>
      </c>
    </row>
    <row r="26" spans="1:7" ht="13" x14ac:dyDescent="0.3">
      <c r="A26" s="31" t="s">
        <v>220</v>
      </c>
      <c r="B26" s="18">
        <v>3181818</v>
      </c>
      <c r="D26" s="1" t="s">
        <v>82</v>
      </c>
      <c r="E26" s="12">
        <v>3818818</v>
      </c>
      <c r="G26" s="42">
        <f t="shared" si="0"/>
        <v>-637000</v>
      </c>
    </row>
    <row r="27" spans="1:7" ht="13" x14ac:dyDescent="0.3">
      <c r="A27" s="31" t="s">
        <v>187</v>
      </c>
      <c r="B27" s="18">
        <v>1296296</v>
      </c>
      <c r="D27" s="1" t="s">
        <v>85</v>
      </c>
      <c r="E27" s="11">
        <v>49296296</v>
      </c>
      <c r="G27" s="42">
        <f t="shared" si="0"/>
        <v>-48000000</v>
      </c>
    </row>
    <row r="28" spans="1:7" ht="13" x14ac:dyDescent="0.3">
      <c r="A28" s="31" t="s">
        <v>206</v>
      </c>
      <c r="B28" s="18">
        <v>1250000</v>
      </c>
      <c r="D28" s="1" t="s">
        <v>87</v>
      </c>
      <c r="E28" s="5">
        <v>1250000</v>
      </c>
      <c r="G28" s="42">
        <f t="shared" si="0"/>
        <v>0</v>
      </c>
    </row>
    <row r="29" spans="1:7" ht="13" x14ac:dyDescent="0.3">
      <c r="A29" s="31" t="s">
        <v>210</v>
      </c>
      <c r="B29" s="18">
        <v>1458333</v>
      </c>
      <c r="D29" s="1" t="s">
        <v>88</v>
      </c>
      <c r="E29" s="5">
        <v>1458333</v>
      </c>
      <c r="G29" s="42">
        <f t="shared" si="0"/>
        <v>0</v>
      </c>
    </row>
    <row r="30" spans="1:7" ht="13" x14ac:dyDescent="0.3">
      <c r="A30" s="30" t="s">
        <v>188</v>
      </c>
      <c r="B30" s="16">
        <v>1166667</v>
      </c>
      <c r="D30" s="1" t="s">
        <v>90</v>
      </c>
      <c r="E30" s="5">
        <v>1166667</v>
      </c>
      <c r="G30" s="42">
        <f t="shared" si="0"/>
        <v>0</v>
      </c>
    </row>
    <row r="31" spans="1:7" ht="13" x14ac:dyDescent="0.3">
      <c r="A31" s="31" t="s">
        <v>189</v>
      </c>
      <c r="B31" s="18">
        <v>833333</v>
      </c>
      <c r="D31" s="1" t="s">
        <v>96</v>
      </c>
      <c r="E31" s="5">
        <v>833333</v>
      </c>
      <c r="G31" s="42">
        <f t="shared" si="0"/>
        <v>0</v>
      </c>
    </row>
    <row r="32" spans="1:7" ht="13" x14ac:dyDescent="0.3">
      <c r="A32" s="31" t="s">
        <v>190</v>
      </c>
      <c r="B32" s="18">
        <v>1166667</v>
      </c>
      <c r="D32" s="1"/>
      <c r="E32" s="5"/>
      <c r="G32" s="42">
        <f t="shared" si="0"/>
        <v>1166667</v>
      </c>
    </row>
    <row r="33" spans="1:7" ht="13" x14ac:dyDescent="0.3">
      <c r="A33" s="31" t="s">
        <v>211</v>
      </c>
      <c r="B33" s="18">
        <v>8479393</v>
      </c>
      <c r="D33" s="1" t="s">
        <v>97</v>
      </c>
      <c r="E33" s="12">
        <v>8479393</v>
      </c>
      <c r="G33" s="42">
        <f t="shared" si="0"/>
        <v>0</v>
      </c>
    </row>
    <row r="34" spans="1:7" ht="13" x14ac:dyDescent="0.3">
      <c r="A34" s="31" t="s">
        <v>191</v>
      </c>
      <c r="B34" s="18">
        <v>2083333</v>
      </c>
      <c r="D34" s="1" t="s">
        <v>98</v>
      </c>
      <c r="E34" s="6">
        <v>2083333</v>
      </c>
      <c r="G34" s="42">
        <f t="shared" si="0"/>
        <v>0</v>
      </c>
    </row>
    <row r="35" spans="1:7" ht="13" x14ac:dyDescent="0.3">
      <c r="A35" s="30" t="s">
        <v>192</v>
      </c>
      <c r="B35" s="16">
        <v>1666667</v>
      </c>
      <c r="D35" s="1" t="s">
        <v>161</v>
      </c>
      <c r="E35" s="11">
        <v>1666667</v>
      </c>
      <c r="G35" s="42">
        <f t="shared" si="0"/>
        <v>0</v>
      </c>
    </row>
    <row r="36" spans="1:7" ht="13" x14ac:dyDescent="0.3">
      <c r="A36" s="30" t="s">
        <v>193</v>
      </c>
      <c r="B36" s="16">
        <v>2083333</v>
      </c>
      <c r="D36" s="4" t="s">
        <v>162</v>
      </c>
      <c r="E36" s="9">
        <v>2083333</v>
      </c>
      <c r="G36" s="42">
        <f t="shared" si="0"/>
        <v>0</v>
      </c>
    </row>
    <row r="37" spans="1:7" ht="13" x14ac:dyDescent="0.3">
      <c r="A37" s="30" t="s">
        <v>194</v>
      </c>
      <c r="B37" s="16">
        <v>2083333</v>
      </c>
      <c r="D37" s="1" t="s">
        <v>140</v>
      </c>
      <c r="E37" s="6">
        <v>2083333</v>
      </c>
      <c r="G37" s="42">
        <f t="shared" si="0"/>
        <v>0</v>
      </c>
    </row>
    <row r="38" spans="1:7" ht="13" x14ac:dyDescent="0.3">
      <c r="A38" s="31" t="s">
        <v>195</v>
      </c>
      <c r="B38" s="18">
        <v>1388889</v>
      </c>
      <c r="D38" s="1" t="s">
        <v>103</v>
      </c>
      <c r="E38" s="6">
        <v>1388889</v>
      </c>
      <c r="G38" s="42">
        <f t="shared" si="0"/>
        <v>0</v>
      </c>
    </row>
    <row r="39" spans="1:7" ht="13" x14ac:dyDescent="0.3">
      <c r="A39" s="31"/>
      <c r="B39" s="18"/>
      <c r="D39" s="1" t="s">
        <v>109</v>
      </c>
      <c r="E39" s="5">
        <v>1388889</v>
      </c>
      <c r="G39" s="42">
        <f t="shared" si="0"/>
        <v>-1388889</v>
      </c>
    </row>
    <row r="40" spans="1:7" ht="13" x14ac:dyDescent="0.3">
      <c r="A40" s="31" t="s">
        <v>197</v>
      </c>
      <c r="B40" s="18">
        <v>1666667</v>
      </c>
      <c r="D40" s="1" t="s">
        <v>110</v>
      </c>
      <c r="E40" s="5">
        <v>1666667</v>
      </c>
      <c r="G40" s="42">
        <f t="shared" si="0"/>
        <v>0</v>
      </c>
    </row>
    <row r="41" spans="1:7" ht="13" x14ac:dyDescent="0.3">
      <c r="A41" s="31" t="s">
        <v>198</v>
      </c>
      <c r="B41" s="18">
        <v>833333</v>
      </c>
      <c r="D41" s="1" t="s">
        <v>115</v>
      </c>
      <c r="E41" s="11">
        <v>833333</v>
      </c>
      <c r="G41" s="42">
        <f t="shared" si="0"/>
        <v>0</v>
      </c>
    </row>
    <row r="42" spans="1:7" ht="13" x14ac:dyDescent="0.3">
      <c r="A42" s="35" t="s">
        <v>209</v>
      </c>
      <c r="B42" s="18">
        <v>5540000</v>
      </c>
      <c r="D42" s="1" t="s">
        <v>117</v>
      </c>
      <c r="E42" s="5">
        <v>5540000</v>
      </c>
      <c r="G42" s="42">
        <f t="shared" si="0"/>
        <v>0</v>
      </c>
    </row>
    <row r="43" spans="1:7" ht="13" x14ac:dyDescent="0.3">
      <c r="A43" s="35" t="s">
        <v>199</v>
      </c>
      <c r="B43" s="36">
        <v>833333</v>
      </c>
      <c r="D43" s="1" t="s">
        <v>120</v>
      </c>
      <c r="E43" s="5">
        <v>833333</v>
      </c>
      <c r="G43" s="42">
        <f t="shared" si="0"/>
        <v>0</v>
      </c>
    </row>
    <row r="44" spans="1:7" ht="13" x14ac:dyDescent="0.3">
      <c r="A44" s="31" t="s">
        <v>204</v>
      </c>
      <c r="B44" s="36">
        <f>2500000+7500000</f>
        <v>10000000</v>
      </c>
      <c r="D44" s="1" t="s">
        <v>122</v>
      </c>
      <c r="E44" s="12">
        <v>10000000</v>
      </c>
      <c r="G44" s="42">
        <f t="shared" si="0"/>
        <v>0</v>
      </c>
    </row>
    <row r="45" spans="1:7" ht="13" x14ac:dyDescent="0.3">
      <c r="A45" s="38" t="s">
        <v>200</v>
      </c>
      <c r="B45" s="39">
        <f>1111111+694444+1388889</f>
        <v>3194444</v>
      </c>
      <c r="D45" s="1" t="s">
        <v>125</v>
      </c>
      <c r="E45" s="6">
        <v>3194444</v>
      </c>
      <c r="G45" s="42">
        <f t="shared" si="0"/>
        <v>0</v>
      </c>
    </row>
    <row r="46" spans="1:7" ht="13" x14ac:dyDescent="0.3">
      <c r="A46" s="38" t="s">
        <v>201</v>
      </c>
      <c r="B46" s="39">
        <v>1666667</v>
      </c>
      <c r="D46" s="1" t="s">
        <v>147</v>
      </c>
      <c r="E46" s="5">
        <v>1666667</v>
      </c>
      <c r="G46" s="42">
        <f t="shared" si="0"/>
        <v>0</v>
      </c>
    </row>
    <row r="47" spans="1:7" ht="13" x14ac:dyDescent="0.25">
      <c r="D47" s="1" t="s">
        <v>128</v>
      </c>
      <c r="E47" s="5">
        <v>2500000</v>
      </c>
      <c r="G47" s="42">
        <f t="shared" si="0"/>
        <v>-2500000</v>
      </c>
    </row>
    <row r="48" spans="1:7" x14ac:dyDescent="0.25">
      <c r="D48" s="2"/>
      <c r="E48" s="2"/>
    </row>
    <row r="49" spans="1:7" x14ac:dyDescent="0.25">
      <c r="B49" s="42">
        <f>SUM(B4:B46)</f>
        <v>90316257</v>
      </c>
      <c r="G49" s="42">
        <f>SUM(G4:G47)</f>
        <v>-117706444</v>
      </c>
    </row>
    <row r="50" spans="1:7" x14ac:dyDescent="0.25">
      <c r="G50" s="42">
        <f>B49+G49</f>
        <v>-27390187</v>
      </c>
    </row>
    <row r="54" spans="1:7" ht="15.5" x14ac:dyDescent="0.35">
      <c r="A54" s="23" t="s">
        <v>160</v>
      </c>
      <c r="B54" s="7">
        <v>1305556</v>
      </c>
      <c r="D54" s="43" t="s">
        <v>223</v>
      </c>
      <c r="E54" s="44">
        <v>1666667</v>
      </c>
    </row>
    <row r="55" spans="1:7" ht="15.5" x14ac:dyDescent="0.35">
      <c r="A55" s="23" t="s">
        <v>146</v>
      </c>
      <c r="B55" s="7">
        <v>716667</v>
      </c>
      <c r="D55" s="43" t="s">
        <v>224</v>
      </c>
      <c r="E55" s="44">
        <v>833333</v>
      </c>
    </row>
    <row r="56" spans="1:7" ht="15.5" x14ac:dyDescent="0.35">
      <c r="A56" s="23" t="s">
        <v>38</v>
      </c>
      <c r="B56" s="8">
        <v>2500000</v>
      </c>
      <c r="D56" s="43" t="s">
        <v>225</v>
      </c>
      <c r="E56" s="44">
        <v>833333</v>
      </c>
    </row>
    <row r="57" spans="1:7" ht="15.5" x14ac:dyDescent="0.35">
      <c r="A57" s="23" t="s">
        <v>43</v>
      </c>
      <c r="B57" s="7">
        <v>1666667</v>
      </c>
      <c r="D57" s="43" t="s">
        <v>226</v>
      </c>
      <c r="E57" s="44">
        <v>833333</v>
      </c>
    </row>
    <row r="58" spans="1:7" ht="15.5" x14ac:dyDescent="0.25">
      <c r="A58" s="23" t="s">
        <v>53</v>
      </c>
      <c r="B58" s="5">
        <v>1388889</v>
      </c>
      <c r="D58" s="43" t="s">
        <v>227</v>
      </c>
      <c r="E58" s="45">
        <v>1305556</v>
      </c>
    </row>
    <row r="59" spans="1:7" ht="15.5" x14ac:dyDescent="0.25">
      <c r="A59" s="23" t="s">
        <v>74</v>
      </c>
      <c r="B59" s="12">
        <v>6719308</v>
      </c>
      <c r="D59" s="43" t="s">
        <v>228</v>
      </c>
      <c r="E59" s="45">
        <v>716667</v>
      </c>
    </row>
    <row r="60" spans="1:7" ht="15.5" x14ac:dyDescent="0.25">
      <c r="A60" s="23" t="s">
        <v>91</v>
      </c>
      <c r="B60" s="7">
        <v>833333</v>
      </c>
      <c r="D60" s="46" t="s">
        <v>229</v>
      </c>
      <c r="E60" s="47">
        <v>2500000</v>
      </c>
    </row>
    <row r="61" spans="1:7" ht="46.5" x14ac:dyDescent="0.25">
      <c r="A61" s="23" t="s">
        <v>101</v>
      </c>
      <c r="B61" s="7">
        <v>833333</v>
      </c>
      <c r="D61" s="50" t="s">
        <v>231</v>
      </c>
      <c r="E61" s="51">
        <v>1388889</v>
      </c>
    </row>
    <row r="62" spans="1:7" ht="34.5" thickBot="1" x14ac:dyDescent="0.35">
      <c r="A62" s="23" t="s">
        <v>158</v>
      </c>
      <c r="B62" s="7">
        <v>833333</v>
      </c>
      <c r="D62" s="48" t="s">
        <v>230</v>
      </c>
      <c r="E62" s="49">
        <v>6719308</v>
      </c>
    </row>
    <row r="63" spans="1:7" ht="85.5" thickBot="1" x14ac:dyDescent="0.35">
      <c r="A63" s="3" t="s">
        <v>84</v>
      </c>
      <c r="B63" s="7">
        <v>5500000</v>
      </c>
      <c r="D63" s="54" t="s">
        <v>233</v>
      </c>
      <c r="E63" s="55">
        <v>4166667</v>
      </c>
    </row>
    <row r="64" spans="1:7" ht="13" x14ac:dyDescent="0.25">
      <c r="A64" s="52" t="s">
        <v>232</v>
      </c>
      <c r="B64" s="53">
        <v>4166667</v>
      </c>
    </row>
  </sheetData>
  <autoFilter ref="A3:B46" xr:uid="{52FA5E11-3FB2-4D05-A7B1-B63373805742}"/>
  <sortState xmlns:xlrd2="http://schemas.microsoft.com/office/spreadsheetml/2017/richdata2" ref="D5:E52">
    <sortCondition ref="D24:D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EC2D-8CFD-425D-8E42-94A02181FDC8}">
  <dimension ref="A2:G48"/>
  <sheetViews>
    <sheetView topLeftCell="A34" zoomScale="85" zoomScaleNormal="85" workbookViewId="0">
      <selection activeCell="D50" sqref="D50"/>
    </sheetView>
  </sheetViews>
  <sheetFormatPr defaultRowHeight="12.5" x14ac:dyDescent="0.25"/>
  <cols>
    <col min="1" max="2" width="14.6328125" customWidth="1"/>
    <col min="4" max="4" width="20.453125" customWidth="1"/>
    <col min="5" max="5" width="14.54296875" customWidth="1"/>
    <col min="7" max="7" width="13.453125" customWidth="1"/>
  </cols>
  <sheetData>
    <row r="2" spans="1:7" x14ac:dyDescent="0.25">
      <c r="A2" t="s">
        <v>212</v>
      </c>
      <c r="B2" t="s">
        <v>213</v>
      </c>
      <c r="D2" t="s">
        <v>212</v>
      </c>
      <c r="E2" t="s">
        <v>213</v>
      </c>
    </row>
    <row r="3" spans="1:7" ht="13" x14ac:dyDescent="0.3">
      <c r="A3" s="15" t="s">
        <v>169</v>
      </c>
      <c r="B3" s="16">
        <v>1666667</v>
      </c>
      <c r="D3" s="1" t="s">
        <v>30</v>
      </c>
      <c r="E3" s="5">
        <v>1666667</v>
      </c>
      <c r="G3" s="22">
        <f>B3-E3</f>
        <v>0</v>
      </c>
    </row>
    <row r="4" spans="1:7" ht="13" x14ac:dyDescent="0.3">
      <c r="A4" s="17" t="s">
        <v>208</v>
      </c>
      <c r="B4" s="18">
        <v>1250000</v>
      </c>
      <c r="D4" s="1" t="s">
        <v>156</v>
      </c>
      <c r="E4" s="5">
        <v>1250000</v>
      </c>
      <c r="G4" s="22">
        <f t="shared" ref="G4:G46" si="0">B4-E4</f>
        <v>0</v>
      </c>
    </row>
    <row r="5" spans="1:7" ht="13" x14ac:dyDescent="0.3">
      <c r="A5" s="17"/>
      <c r="B5" s="18"/>
      <c r="D5" s="1" t="s">
        <v>164</v>
      </c>
      <c r="E5" s="5">
        <v>10000000</v>
      </c>
      <c r="G5" s="22">
        <f t="shared" si="0"/>
        <v>-10000000</v>
      </c>
    </row>
    <row r="6" spans="1:7" ht="13" x14ac:dyDescent="0.3">
      <c r="A6" s="15" t="s">
        <v>170</v>
      </c>
      <c r="B6" s="16">
        <v>4100238</v>
      </c>
      <c r="D6" s="1" t="s">
        <v>32</v>
      </c>
      <c r="E6" s="5">
        <v>4100238</v>
      </c>
      <c r="G6" s="22">
        <f t="shared" si="0"/>
        <v>0</v>
      </c>
    </row>
    <row r="7" spans="1:7" ht="13" x14ac:dyDescent="0.3">
      <c r="A7" s="17" t="s">
        <v>171</v>
      </c>
      <c r="B7" s="18">
        <v>4666667</v>
      </c>
      <c r="D7" s="1" t="s">
        <v>39</v>
      </c>
      <c r="E7" s="11">
        <v>4666667</v>
      </c>
      <c r="G7" s="22">
        <f t="shared" si="0"/>
        <v>0</v>
      </c>
    </row>
    <row r="8" spans="1:7" ht="13" x14ac:dyDescent="0.3">
      <c r="A8" s="17" t="s">
        <v>172</v>
      </c>
      <c r="B8" s="18">
        <v>1388889</v>
      </c>
      <c r="D8" s="1" t="s">
        <v>42</v>
      </c>
      <c r="E8" s="5">
        <v>1388889</v>
      </c>
      <c r="G8" s="22">
        <f t="shared" si="0"/>
        <v>0</v>
      </c>
    </row>
    <row r="9" spans="1:7" ht="13" x14ac:dyDescent="0.3">
      <c r="A9" s="17" t="s">
        <v>173</v>
      </c>
      <c r="B9" s="18">
        <v>1666667</v>
      </c>
      <c r="D9" s="1" t="s">
        <v>167</v>
      </c>
      <c r="E9" s="11">
        <v>1666667</v>
      </c>
      <c r="G9" s="22">
        <f t="shared" si="0"/>
        <v>0</v>
      </c>
    </row>
    <row r="10" spans="1:7" ht="13" x14ac:dyDescent="0.3">
      <c r="A10" s="17" t="s">
        <v>174</v>
      </c>
      <c r="B10" s="18">
        <v>2500000</v>
      </c>
      <c r="D10" s="1" t="s">
        <v>47</v>
      </c>
      <c r="E10" s="11">
        <v>17500000</v>
      </c>
      <c r="G10" s="22">
        <f t="shared" si="0"/>
        <v>-15000000</v>
      </c>
    </row>
    <row r="11" spans="1:7" ht="13" x14ac:dyDescent="0.3">
      <c r="A11" s="15" t="s">
        <v>175</v>
      </c>
      <c r="B11" s="16">
        <v>1666667</v>
      </c>
      <c r="D11" s="3" t="s">
        <v>49</v>
      </c>
      <c r="E11" s="7">
        <v>1666667</v>
      </c>
      <c r="G11" s="22">
        <f t="shared" si="0"/>
        <v>0</v>
      </c>
    </row>
    <row r="12" spans="1:7" ht="13" x14ac:dyDescent="0.3">
      <c r="A12" s="17" t="s">
        <v>176</v>
      </c>
      <c r="B12" s="18">
        <v>1200000</v>
      </c>
      <c r="D12" s="1" t="s">
        <v>142</v>
      </c>
      <c r="E12" s="12">
        <v>1200000</v>
      </c>
      <c r="G12" s="22">
        <f t="shared" si="0"/>
        <v>0</v>
      </c>
    </row>
    <row r="13" spans="1:7" ht="13" x14ac:dyDescent="0.3">
      <c r="A13" s="17" t="s">
        <v>177</v>
      </c>
      <c r="B13" s="18">
        <v>694444</v>
      </c>
      <c r="D13" s="1" t="s">
        <v>57</v>
      </c>
      <c r="E13" s="6">
        <v>694444</v>
      </c>
      <c r="G13" s="22">
        <f t="shared" si="0"/>
        <v>0</v>
      </c>
    </row>
    <row r="14" spans="1:7" ht="13" x14ac:dyDescent="0.3">
      <c r="A14" s="17" t="s">
        <v>203</v>
      </c>
      <c r="B14" s="18">
        <v>555556</v>
      </c>
      <c r="D14" s="1" t="s">
        <v>58</v>
      </c>
      <c r="E14" s="5">
        <v>555556</v>
      </c>
      <c r="G14" s="22">
        <f t="shared" si="0"/>
        <v>0</v>
      </c>
    </row>
    <row r="15" spans="1:7" ht="13" x14ac:dyDescent="0.3">
      <c r="A15" s="17" t="s">
        <v>205</v>
      </c>
      <c r="B15" s="18">
        <v>1388889</v>
      </c>
      <c r="D15" s="1" t="s">
        <v>141</v>
      </c>
      <c r="E15" s="5">
        <v>1388889</v>
      </c>
      <c r="G15" s="22">
        <f t="shared" si="0"/>
        <v>0</v>
      </c>
    </row>
    <row r="16" spans="1:7" ht="13" x14ac:dyDescent="0.3">
      <c r="A16" s="17" t="s">
        <v>178</v>
      </c>
      <c r="B16" s="18">
        <v>2083333</v>
      </c>
      <c r="D16" s="1" t="s">
        <v>60</v>
      </c>
      <c r="E16" s="5">
        <v>2083333</v>
      </c>
      <c r="G16" s="22">
        <f t="shared" si="0"/>
        <v>0</v>
      </c>
    </row>
    <row r="17" spans="1:7" ht="13" x14ac:dyDescent="0.3">
      <c r="A17" s="17" t="s">
        <v>179</v>
      </c>
      <c r="B17" s="18">
        <v>1443750</v>
      </c>
      <c r="D17" s="1" t="s">
        <v>65</v>
      </c>
      <c r="E17" s="5">
        <v>1443750</v>
      </c>
      <c r="G17" s="22">
        <f t="shared" si="0"/>
        <v>0</v>
      </c>
    </row>
    <row r="18" spans="1:7" ht="13" x14ac:dyDescent="0.3">
      <c r="A18" s="17" t="s">
        <v>207</v>
      </c>
      <c r="B18" s="18">
        <v>1250000</v>
      </c>
      <c r="D18" s="1" t="s">
        <v>66</v>
      </c>
      <c r="E18" s="5">
        <v>1250000</v>
      </c>
      <c r="G18" s="22">
        <f t="shared" si="0"/>
        <v>0</v>
      </c>
    </row>
    <row r="19" spans="1:7" ht="13" x14ac:dyDescent="0.3">
      <c r="A19" s="15" t="s">
        <v>180</v>
      </c>
      <c r="B19" s="16">
        <v>2083333</v>
      </c>
      <c r="D19" s="1" t="s">
        <v>67</v>
      </c>
      <c r="E19" s="6">
        <v>2083333</v>
      </c>
      <c r="G19" s="22">
        <f t="shared" si="0"/>
        <v>0</v>
      </c>
    </row>
    <row r="20" spans="1:7" ht="13" x14ac:dyDescent="0.3">
      <c r="A20" s="17" t="s">
        <v>181</v>
      </c>
      <c r="B20" s="18">
        <v>2500000</v>
      </c>
      <c r="D20" s="1" t="s">
        <v>73</v>
      </c>
      <c r="E20" s="5">
        <v>2500000</v>
      </c>
      <c r="G20" s="22">
        <f t="shared" si="0"/>
        <v>0</v>
      </c>
    </row>
    <row r="21" spans="1:7" ht="13" x14ac:dyDescent="0.3">
      <c r="A21" s="17" t="s">
        <v>182</v>
      </c>
      <c r="B21" s="18">
        <v>833333</v>
      </c>
      <c r="D21" s="1" t="s">
        <v>153</v>
      </c>
      <c r="E21" s="5">
        <v>833333</v>
      </c>
      <c r="G21" s="22">
        <f t="shared" si="0"/>
        <v>0</v>
      </c>
    </row>
    <row r="22" spans="1:7" ht="13" x14ac:dyDescent="0.3">
      <c r="A22" s="15" t="s">
        <v>183</v>
      </c>
      <c r="B22" s="16">
        <v>1041667</v>
      </c>
      <c r="D22" s="1" t="s">
        <v>155</v>
      </c>
      <c r="E22" s="5">
        <v>1041667</v>
      </c>
      <c r="G22" s="22">
        <f t="shared" si="0"/>
        <v>0</v>
      </c>
    </row>
    <row r="23" spans="1:7" ht="13" x14ac:dyDescent="0.3">
      <c r="A23" s="17" t="s">
        <v>184</v>
      </c>
      <c r="B23" s="18">
        <v>625000</v>
      </c>
      <c r="D23" s="1" t="s">
        <v>144</v>
      </c>
      <c r="E23" s="5">
        <v>625000</v>
      </c>
      <c r="G23" s="22">
        <f t="shared" si="0"/>
        <v>0</v>
      </c>
    </row>
    <row r="24" spans="1:7" ht="13" x14ac:dyDescent="0.3">
      <c r="A24" s="17" t="s">
        <v>185</v>
      </c>
      <c r="B24" s="18">
        <v>2777778</v>
      </c>
      <c r="D24" s="1" t="s">
        <v>81</v>
      </c>
      <c r="E24" s="6">
        <v>2777778</v>
      </c>
      <c r="G24" s="22">
        <f t="shared" si="0"/>
        <v>0</v>
      </c>
    </row>
    <row r="25" spans="1:7" ht="13" x14ac:dyDescent="0.3">
      <c r="A25" s="17" t="s">
        <v>186</v>
      </c>
      <c r="B25" s="18">
        <v>2083333</v>
      </c>
      <c r="D25" s="4" t="s">
        <v>159</v>
      </c>
      <c r="E25" s="10">
        <v>2083333</v>
      </c>
      <c r="G25" s="22">
        <f t="shared" si="0"/>
        <v>0</v>
      </c>
    </row>
    <row r="26" spans="1:7" ht="13" x14ac:dyDescent="0.3">
      <c r="A26" s="17" t="s">
        <v>187</v>
      </c>
      <c r="B26" s="18">
        <v>1000000</v>
      </c>
      <c r="D26" s="1" t="s">
        <v>85</v>
      </c>
      <c r="E26" s="11">
        <v>1000000</v>
      </c>
      <c r="G26" s="22">
        <f t="shared" si="0"/>
        <v>0</v>
      </c>
    </row>
    <row r="27" spans="1:7" ht="13" x14ac:dyDescent="0.3">
      <c r="A27" s="17" t="s">
        <v>206</v>
      </c>
      <c r="B27" s="18">
        <v>1250000</v>
      </c>
      <c r="D27" s="1" t="s">
        <v>87</v>
      </c>
      <c r="E27" s="5">
        <v>1250000</v>
      </c>
      <c r="G27" s="22">
        <f t="shared" si="0"/>
        <v>0</v>
      </c>
    </row>
    <row r="28" spans="1:7" ht="13" x14ac:dyDescent="0.3">
      <c r="A28" s="17" t="s">
        <v>210</v>
      </c>
      <c r="B28" s="18">
        <v>1458333</v>
      </c>
      <c r="D28" s="1" t="s">
        <v>88</v>
      </c>
      <c r="E28" s="5">
        <v>1458333</v>
      </c>
      <c r="G28" s="22">
        <f t="shared" si="0"/>
        <v>0</v>
      </c>
    </row>
    <row r="29" spans="1:7" ht="13" x14ac:dyDescent="0.3">
      <c r="A29" s="15" t="s">
        <v>188</v>
      </c>
      <c r="B29" s="16">
        <v>1166667</v>
      </c>
      <c r="D29" s="1" t="s">
        <v>90</v>
      </c>
      <c r="E29" s="5">
        <v>1166667</v>
      </c>
      <c r="G29" s="22">
        <f t="shared" si="0"/>
        <v>0</v>
      </c>
    </row>
    <row r="30" spans="1:7" ht="13" x14ac:dyDescent="0.3">
      <c r="A30" s="17" t="s">
        <v>189</v>
      </c>
      <c r="B30" s="18">
        <v>833333</v>
      </c>
      <c r="D30" s="1" t="s">
        <v>96</v>
      </c>
      <c r="E30" s="5">
        <v>833333</v>
      </c>
      <c r="G30" s="22">
        <f t="shared" si="0"/>
        <v>0</v>
      </c>
    </row>
    <row r="31" spans="1:7" ht="13" x14ac:dyDescent="0.3">
      <c r="A31" s="17" t="s">
        <v>190</v>
      </c>
      <c r="B31" s="18">
        <v>1166667</v>
      </c>
      <c r="D31" s="1"/>
      <c r="E31" s="5"/>
      <c r="G31" s="22">
        <f t="shared" si="0"/>
        <v>1166667</v>
      </c>
    </row>
    <row r="32" spans="1:7" ht="13" x14ac:dyDescent="0.3">
      <c r="A32" s="17" t="s">
        <v>211</v>
      </c>
      <c r="B32" s="18">
        <v>8369787</v>
      </c>
      <c r="D32" s="1" t="s">
        <v>97</v>
      </c>
      <c r="E32" s="12">
        <v>8369787</v>
      </c>
      <c r="G32" s="22">
        <f t="shared" si="0"/>
        <v>0</v>
      </c>
    </row>
    <row r="33" spans="1:7" ht="13" x14ac:dyDescent="0.3">
      <c r="A33" s="17" t="s">
        <v>191</v>
      </c>
      <c r="B33" s="18">
        <v>2083333</v>
      </c>
      <c r="D33" s="1" t="s">
        <v>98</v>
      </c>
      <c r="E33" s="6">
        <v>2083333</v>
      </c>
      <c r="G33" s="22">
        <f t="shared" si="0"/>
        <v>0</v>
      </c>
    </row>
    <row r="34" spans="1:7" ht="13" x14ac:dyDescent="0.3">
      <c r="A34" s="15" t="s">
        <v>192</v>
      </c>
      <c r="B34" s="16">
        <v>1666667</v>
      </c>
      <c r="D34" s="1" t="s">
        <v>161</v>
      </c>
      <c r="E34" s="11">
        <v>1666667</v>
      </c>
      <c r="G34" s="22">
        <f t="shared" si="0"/>
        <v>0</v>
      </c>
    </row>
    <row r="35" spans="1:7" ht="13" x14ac:dyDescent="0.3">
      <c r="A35" s="15" t="s">
        <v>193</v>
      </c>
      <c r="B35" s="16">
        <v>2083333</v>
      </c>
      <c r="D35" s="4" t="s">
        <v>162</v>
      </c>
      <c r="E35" s="9">
        <v>2083333</v>
      </c>
      <c r="G35" s="22">
        <f t="shared" si="0"/>
        <v>0</v>
      </c>
    </row>
    <row r="36" spans="1:7" ht="13" x14ac:dyDescent="0.3">
      <c r="A36" s="15" t="s">
        <v>194</v>
      </c>
      <c r="B36" s="16">
        <v>2083333</v>
      </c>
      <c r="D36" s="1" t="s">
        <v>140</v>
      </c>
      <c r="E36" s="6">
        <v>2083333</v>
      </c>
      <c r="G36" s="22">
        <f t="shared" si="0"/>
        <v>0</v>
      </c>
    </row>
    <row r="37" spans="1:7" ht="13" x14ac:dyDescent="0.3">
      <c r="A37" s="17" t="s">
        <v>195</v>
      </c>
      <c r="B37" s="18">
        <v>1388889</v>
      </c>
      <c r="D37" s="1" t="s">
        <v>103</v>
      </c>
      <c r="E37" s="6">
        <v>1388889</v>
      </c>
      <c r="G37" s="22">
        <f t="shared" si="0"/>
        <v>0</v>
      </c>
    </row>
    <row r="38" spans="1:7" ht="13" x14ac:dyDescent="0.3">
      <c r="A38" s="17" t="s">
        <v>216</v>
      </c>
      <c r="B38" s="18">
        <v>6250000</v>
      </c>
      <c r="D38" s="1" t="s">
        <v>108</v>
      </c>
      <c r="E38" s="6">
        <v>6250000</v>
      </c>
      <c r="G38" s="22">
        <f t="shared" si="0"/>
        <v>0</v>
      </c>
    </row>
    <row r="39" spans="1:7" ht="13" x14ac:dyDescent="0.3">
      <c r="A39" s="17" t="s">
        <v>196</v>
      </c>
      <c r="B39" s="18">
        <v>1388889</v>
      </c>
      <c r="D39" s="1" t="s">
        <v>109</v>
      </c>
      <c r="E39" s="5">
        <v>1388889</v>
      </c>
      <c r="G39" s="22">
        <f t="shared" si="0"/>
        <v>0</v>
      </c>
    </row>
    <row r="40" spans="1:7" ht="13" x14ac:dyDescent="0.3">
      <c r="A40" s="17" t="s">
        <v>197</v>
      </c>
      <c r="B40" s="18">
        <v>1666667</v>
      </c>
      <c r="D40" s="1" t="s">
        <v>110</v>
      </c>
      <c r="E40" s="5">
        <v>1666667</v>
      </c>
      <c r="G40" s="22">
        <f t="shared" si="0"/>
        <v>0</v>
      </c>
    </row>
    <row r="41" spans="1:7" ht="13" x14ac:dyDescent="0.3">
      <c r="A41" s="17" t="s">
        <v>198</v>
      </c>
      <c r="B41" s="18">
        <v>833333</v>
      </c>
      <c r="D41" s="1" t="s">
        <v>115</v>
      </c>
      <c r="E41" s="11">
        <v>833333</v>
      </c>
      <c r="G41" s="22">
        <f t="shared" si="0"/>
        <v>0</v>
      </c>
    </row>
    <row r="42" spans="1:7" ht="13" x14ac:dyDescent="0.3">
      <c r="A42" s="17" t="s">
        <v>209</v>
      </c>
      <c r="B42" s="18">
        <v>5540000</v>
      </c>
      <c r="D42" s="1" t="s">
        <v>117</v>
      </c>
      <c r="E42" s="5">
        <v>5540000</v>
      </c>
      <c r="G42" s="22">
        <f t="shared" si="0"/>
        <v>0</v>
      </c>
    </row>
    <row r="43" spans="1:7" ht="13" x14ac:dyDescent="0.3">
      <c r="A43" s="17" t="s">
        <v>199</v>
      </c>
      <c r="B43" s="18">
        <v>833333</v>
      </c>
      <c r="D43" s="1" t="s">
        <v>120</v>
      </c>
      <c r="E43" s="5">
        <v>833333</v>
      </c>
      <c r="G43" s="22">
        <f t="shared" si="0"/>
        <v>0</v>
      </c>
    </row>
    <row r="44" spans="1:7" ht="13" x14ac:dyDescent="0.3">
      <c r="A44" s="19" t="s">
        <v>204</v>
      </c>
      <c r="B44" s="18">
        <f>2500000+7500000</f>
        <v>10000000</v>
      </c>
      <c r="D44" s="1" t="s">
        <v>122</v>
      </c>
      <c r="E44" s="12">
        <v>10000000</v>
      </c>
      <c r="G44" s="22">
        <f t="shared" si="0"/>
        <v>0</v>
      </c>
    </row>
    <row r="45" spans="1:7" ht="13" x14ac:dyDescent="0.3">
      <c r="A45" s="20" t="s">
        <v>200</v>
      </c>
      <c r="B45" s="21">
        <f>1111111+694444+1388889</f>
        <v>3194444</v>
      </c>
      <c r="D45" s="1" t="s">
        <v>125</v>
      </c>
      <c r="E45" s="6">
        <v>3194444</v>
      </c>
      <c r="G45" s="22">
        <f t="shared" si="0"/>
        <v>0</v>
      </c>
    </row>
    <row r="46" spans="1:7" ht="13" x14ac:dyDescent="0.3">
      <c r="A46" s="15" t="s">
        <v>201</v>
      </c>
      <c r="B46" s="21">
        <v>1666667</v>
      </c>
      <c r="D46" s="1" t="s">
        <v>147</v>
      </c>
      <c r="E46" s="5">
        <v>1666667</v>
      </c>
      <c r="G46" s="22">
        <f t="shared" si="0"/>
        <v>0</v>
      </c>
    </row>
    <row r="47" spans="1:7" ht="13" x14ac:dyDescent="0.3">
      <c r="A47" s="28" t="s">
        <v>202</v>
      </c>
      <c r="B47" s="29">
        <v>2500000</v>
      </c>
      <c r="D47" s="1" t="s">
        <v>128</v>
      </c>
      <c r="E47" s="5">
        <v>2500000</v>
      </c>
    </row>
    <row r="48" spans="1:7" x14ac:dyDescent="0.25">
      <c r="B48" s="22">
        <f t="shared" ref="B48:G48" si="1">SUM(B3:B47)</f>
        <v>97889886</v>
      </c>
      <c r="C48" s="22">
        <f t="shared" si="1"/>
        <v>0</v>
      </c>
      <c r="D48" s="22">
        <f t="shared" si="1"/>
        <v>0</v>
      </c>
      <c r="E48" s="22">
        <f t="shared" si="1"/>
        <v>121723219</v>
      </c>
      <c r="F48" s="22">
        <f t="shared" si="1"/>
        <v>0</v>
      </c>
      <c r="G48" s="22">
        <f t="shared" si="1"/>
        <v>-23833333</v>
      </c>
    </row>
  </sheetData>
  <sortState xmlns:xlrd2="http://schemas.microsoft.com/office/spreadsheetml/2017/richdata2" ref="D2:E90">
    <sortCondition ref="D2:D9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2DD7-F173-48C8-B2C4-DEF78BDF21D2}">
  <dimension ref="A5:C17"/>
  <sheetViews>
    <sheetView workbookViewId="0">
      <selection activeCell="D50" sqref="D50"/>
    </sheetView>
  </sheetViews>
  <sheetFormatPr defaultRowHeight="12.5" x14ac:dyDescent="0.25"/>
  <cols>
    <col min="1" max="1" width="19.08984375" customWidth="1"/>
    <col min="2" max="2" width="18" customWidth="1"/>
  </cols>
  <sheetData>
    <row r="5" spans="1:3" ht="13" x14ac:dyDescent="0.25">
      <c r="A5" s="25" t="s">
        <v>38</v>
      </c>
      <c r="B5" s="26">
        <v>2500000</v>
      </c>
    </row>
    <row r="6" spans="1:3" ht="13" x14ac:dyDescent="0.25">
      <c r="A6" s="1" t="s">
        <v>43</v>
      </c>
      <c r="B6" s="27">
        <v>1666667</v>
      </c>
    </row>
    <row r="7" spans="1:3" ht="13" x14ac:dyDescent="0.25">
      <c r="A7" s="23" t="s">
        <v>53</v>
      </c>
      <c r="B7" s="24">
        <v>1388889</v>
      </c>
    </row>
    <row r="8" spans="1:3" ht="13" x14ac:dyDescent="0.25">
      <c r="A8" s="1" t="s">
        <v>74</v>
      </c>
      <c r="B8" s="12">
        <v>6559739</v>
      </c>
    </row>
    <row r="9" spans="1:3" ht="13" x14ac:dyDescent="0.25">
      <c r="A9" s="23" t="s">
        <v>84</v>
      </c>
      <c r="B9" s="24">
        <v>500000</v>
      </c>
    </row>
    <row r="10" spans="1:3" ht="13" x14ac:dyDescent="0.25">
      <c r="A10" s="1" t="s">
        <v>91</v>
      </c>
      <c r="B10" s="27">
        <v>833333</v>
      </c>
    </row>
    <row r="11" spans="1:3" ht="13" x14ac:dyDescent="0.25">
      <c r="A11" s="1" t="s">
        <v>101</v>
      </c>
      <c r="B11" s="27">
        <v>833333</v>
      </c>
    </row>
    <row r="12" spans="1:3" ht="13" x14ac:dyDescent="0.25">
      <c r="A12" s="1" t="s">
        <v>158</v>
      </c>
      <c r="B12" s="27">
        <v>833333</v>
      </c>
    </row>
    <row r="13" spans="1:3" ht="13" x14ac:dyDescent="0.25">
      <c r="A13" s="1" t="s">
        <v>160</v>
      </c>
      <c r="B13" s="27">
        <v>1305556</v>
      </c>
    </row>
    <row r="14" spans="1:3" ht="13" x14ac:dyDescent="0.25">
      <c r="A14" s="1" t="s">
        <v>146</v>
      </c>
      <c r="B14" s="27">
        <v>716667</v>
      </c>
    </row>
    <row r="15" spans="1:3" x14ac:dyDescent="0.25">
      <c r="B15" s="13">
        <f>SUM(B5:B14)</f>
        <v>17137517</v>
      </c>
      <c r="C15" t="s">
        <v>215</v>
      </c>
    </row>
    <row r="16" spans="1:3" x14ac:dyDescent="0.25">
      <c r="B16" s="14">
        <f>27400000</f>
        <v>27400000</v>
      </c>
      <c r="C16" t="s">
        <v>214</v>
      </c>
    </row>
    <row r="17" spans="2:2" x14ac:dyDescent="0.25">
      <c r="B17" s="13">
        <f>B15-B16</f>
        <v>-10262483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PIUTANG KHUSUS</vt:lpstr>
      <vt:lpstr>Sheet1</vt:lpstr>
      <vt:lpstr>Desember</vt:lpstr>
      <vt:lpstr>November</vt:lpstr>
      <vt:lpstr>Oktober</vt:lpstr>
      <vt:lpstr>'PIUTANG KHUSUS'!Print_Area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shaida.tun@outlook.com</dc:creator>
  <cp:lastModifiedBy>Shaida tun</cp:lastModifiedBy>
  <dcterms:created xsi:type="dcterms:W3CDTF">2025-06-16T07:58:04Z</dcterms:created>
  <dcterms:modified xsi:type="dcterms:W3CDTF">2026-01-26T04:58:11Z</dcterms:modified>
</cp:coreProperties>
</file>