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DARH\Desktop\2025 - SHAIDATUN ROHMAH\2025 - SHAIDATUN ROHMAH\C. KERTAS KERJA 2025\"/>
    </mc:Choice>
  </mc:AlternateContent>
  <xr:revisionPtr revIDLastSave="0" documentId="13_ncr:1_{577AA98F-85F4-4425-9365-6CF642D3B06D}" xr6:coauthVersionLast="47" xr6:coauthVersionMax="47" xr10:uidLastSave="{00000000-0000-0000-0000-000000000000}"/>
  <bookViews>
    <workbookView xWindow="-110" yWindow="-110" windowWidth="19420" windowHeight="10300" activeTab="1" xr2:uid="{60E150C4-3AE8-4C81-8626-88E737857D6D}"/>
  </bookViews>
  <sheets>
    <sheet name="BB" sheetId="2" r:id="rId1"/>
    <sheet name="Kertas Kerj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7" i="1" l="1"/>
  <c r="AC27" i="1"/>
  <c r="AD27" i="1"/>
  <c r="AB26" i="1"/>
  <c r="AC26" i="1"/>
  <c r="AD26" i="1"/>
  <c r="AB6" i="1"/>
  <c r="AC6" i="1"/>
  <c r="AA17" i="1"/>
  <c r="AA27" i="1" l="1"/>
  <c r="AA14" i="1"/>
  <c r="AA25" i="1"/>
  <c r="Z27" i="1"/>
  <c r="K13" i="1"/>
  <c r="Y14" i="1" l="1"/>
  <c r="AC15" i="1"/>
  <c r="AC16" i="1"/>
  <c r="AC18" i="1"/>
  <c r="AC19" i="1"/>
  <c r="AC20" i="1"/>
  <c r="AC22" i="1"/>
  <c r="AC23" i="1"/>
  <c r="Y17" i="1" l="1"/>
  <c r="AB25" i="1"/>
  <c r="W17" i="1" l="1"/>
  <c r="U21" i="1" l="1"/>
  <c r="AC21" i="1" s="1"/>
  <c r="U17" i="1"/>
  <c r="T8" i="1"/>
  <c r="T27" i="1" s="1"/>
  <c r="T29" i="1" s="1"/>
  <c r="AB22" i="1"/>
  <c r="AB23" i="1"/>
  <c r="AD23" i="1"/>
  <c r="AB24" i="1"/>
  <c r="AC24" i="1"/>
  <c r="AD24" i="1" s="1"/>
  <c r="AC25" i="1"/>
  <c r="AD25" i="1" s="1"/>
  <c r="AB13" i="1"/>
  <c r="S8" i="1"/>
  <c r="AD22" i="1" l="1"/>
  <c r="S14" i="1"/>
  <c r="AC14" i="1" l="1"/>
  <c r="S17" i="1"/>
  <c r="AC17" i="1" s="1"/>
  <c r="R27" i="1"/>
  <c r="S27" i="1" l="1"/>
  <c r="N27" i="1"/>
  <c r="M9" i="1"/>
  <c r="L8" i="1" l="1"/>
  <c r="L17" i="1"/>
  <c r="K12" i="1"/>
  <c r="AC12" i="1" s="1"/>
  <c r="K27" i="1" l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K45" i="1"/>
  <c r="J45" i="1"/>
  <c r="I45" i="1"/>
  <c r="G45" i="1"/>
  <c r="E45" i="1"/>
  <c r="D45" i="1"/>
  <c r="AC44" i="1"/>
  <c r="AB44" i="1"/>
  <c r="L45" i="1"/>
  <c r="H45" i="1"/>
  <c r="F45" i="1"/>
  <c r="AD44" i="1" l="1"/>
  <c r="AC45" i="1"/>
  <c r="AD45" i="1" l="1"/>
  <c r="AB45" i="1"/>
  <c r="F8" i="1" l="1"/>
  <c r="M27" i="1" l="1"/>
  <c r="AB7" i="1" l="1"/>
  <c r="AC7" i="1"/>
  <c r="AB8" i="1"/>
  <c r="AC8" i="1"/>
  <c r="AB9" i="1"/>
  <c r="AC9" i="1"/>
  <c r="AB10" i="1"/>
  <c r="AC10" i="1"/>
  <c r="AD10" i="1" s="1"/>
  <c r="AB11" i="1"/>
  <c r="AC11" i="1"/>
  <c r="AC13" i="1"/>
  <c r="AB14" i="1"/>
  <c r="AB15" i="1"/>
  <c r="AB16" i="1"/>
  <c r="AD16" i="1" s="1"/>
  <c r="AB18" i="1"/>
  <c r="AD18" i="1" s="1"/>
  <c r="AB19" i="1"/>
  <c r="AB20" i="1"/>
  <c r="AD20" i="1" s="1"/>
  <c r="AB21" i="1"/>
  <c r="AC29" i="1" l="1"/>
  <c r="AD21" i="1"/>
  <c r="AD9" i="1"/>
  <c r="AD14" i="1"/>
  <c r="AD13" i="1"/>
  <c r="AD6" i="1"/>
  <c r="AD15" i="1"/>
  <c r="AD8" i="1"/>
  <c r="AD19" i="1"/>
  <c r="AD7" i="1"/>
  <c r="AD11" i="1"/>
  <c r="E27" i="1" l="1"/>
  <c r="F27" i="1"/>
  <c r="G27" i="1"/>
  <c r="I27" i="1"/>
  <c r="J27" i="1"/>
  <c r="O27" i="1"/>
  <c r="P27" i="1"/>
  <c r="Q27" i="1"/>
  <c r="U27" i="1"/>
  <c r="U29" i="1" s="1"/>
  <c r="V27" i="1"/>
  <c r="V29" i="1" s="1"/>
  <c r="W27" i="1"/>
  <c r="W29" i="1" s="1"/>
  <c r="X27" i="1"/>
  <c r="X29" i="1" s="1"/>
  <c r="Y27" i="1"/>
  <c r="Y29" i="1" s="1"/>
  <c r="Z29" i="1"/>
  <c r="AA29" i="1"/>
  <c r="D27" i="1" l="1"/>
  <c r="H12" i="1"/>
  <c r="AB12" i="1" s="1"/>
  <c r="H27" i="1" l="1"/>
  <c r="L27" i="1"/>
  <c r="AB17" i="1"/>
  <c r="AD17" i="1" s="1"/>
  <c r="AB29" i="1" l="1"/>
  <c r="AD12" i="1"/>
  <c r="AD29" i="1" s="1"/>
</calcChain>
</file>

<file path=xl/sharedStrings.xml><?xml version="1.0" encoding="utf-8"?>
<sst xmlns="http://schemas.openxmlformats.org/spreadsheetml/2006/main" count="270" uniqueCount="157">
  <si>
    <t>Koperasi Pegawai BKI</t>
  </si>
  <si>
    <t>Buku Besar</t>
  </si>
  <si>
    <t>01/01/2025 - 31/05/2025</t>
  </si>
  <si>
    <t>(dalam IDR)</t>
  </si>
  <si>
    <t>Akun: Piutang Anggota - Pinjaman Barang</t>
  </si>
  <si>
    <t>Nama Akun / Tanggal</t>
  </si>
  <si>
    <t>Transaksi</t>
  </si>
  <si>
    <t>Nomor</t>
  </si>
  <si>
    <t>Keterangan</t>
  </si>
  <si>
    <t>Debit</t>
  </si>
  <si>
    <t>Kredit</t>
  </si>
  <si>
    <t>Saldo</t>
  </si>
  <si>
    <t>Tags</t>
  </si>
  <si>
    <t>(1103.004) Piutang Anggota - Pinjaman Barang</t>
  </si>
  <si>
    <t>10/01/2025</t>
  </si>
  <si>
    <t>Journal Entry</t>
  </si>
  <si>
    <t>025A/BK/01/2025</t>
  </si>
  <si>
    <t>Pinjaman Anggota An Sumartini - HP Iphone 13. Memo: Pinjaman Anggota berupa barang (HP)</t>
  </si>
  <si>
    <t>Sumartini</t>
  </si>
  <si>
    <t>025B/BK/01/2025</t>
  </si>
  <si>
    <t>Pinjaman Anggota Rusdy Wangsa - HP Galaxy Z Flip6. Memo: Pinjaman Anggota berupa barang (HP)</t>
  </si>
  <si>
    <t>24/01/2025</t>
  </si>
  <si>
    <t>044/BM/01/2025</t>
  </si>
  <si>
    <t>pemb. Angsuran pinjaman Barang Kantor Pusat - Januari 2025</t>
  </si>
  <si>
    <t>04/02/2025</t>
  </si>
  <si>
    <t>010BK/02/2025</t>
  </si>
  <si>
    <t>Pinjaman Anggota An Dwi Cahya Kurniawan - Mesin Cuci Dryer Maytag. Memo: Pinjaman Anggota berupa barang</t>
  </si>
  <si>
    <t>Dwi Cahya Kurniawan</t>
  </si>
  <si>
    <t>11/02/2025</t>
  </si>
  <si>
    <t>Bank Withdrawal</t>
  </si>
  <si>
    <t>023/BK/02/2025</t>
  </si>
  <si>
    <t>BNI DIRECT : PEMBAYARAN DP KENDARAAN 1 UNIT AEROX ALPHA - ANDRI SURYAWAN. Memo: Pinjaman Barang - Anggota</t>
  </si>
  <si>
    <t>Andri Suryawan</t>
  </si>
  <si>
    <t>13/02/2025</t>
  </si>
  <si>
    <t>036/BK/02/2025</t>
  </si>
  <si>
    <t>Pinjaman Anggota Barang - 1 Unit Motor Aerox Alpha - Andri Suryawan</t>
  </si>
  <si>
    <t>17/02/2025</t>
  </si>
  <si>
    <t>055/BK/02/2025</t>
  </si>
  <si>
    <t>Pinjaman Barang - 1 Unit Kendaraan Scoopy an Kosim</t>
  </si>
  <si>
    <t>Kosim</t>
  </si>
  <si>
    <t>25/02/2025</t>
  </si>
  <si>
    <t>029/BM/02/2025</t>
  </si>
  <si>
    <t>pemb. Angsuran pinjaman Barang Kantor Pusat - Februari 2025</t>
  </si>
  <si>
    <t>28/02/2025</t>
  </si>
  <si>
    <t>087/BK/02/2025</t>
  </si>
  <si>
    <t>Pinjaman Barang atas pembelian PS5 - an Hardian IT</t>
  </si>
  <si>
    <t>08/03/2025</t>
  </si>
  <si>
    <t>014/BK/03/2025</t>
  </si>
  <si>
    <t>Pinjaman Reguler an Willy Adi Nugroho (Biaya Golf)</t>
  </si>
  <si>
    <t>017/BK/03/2025</t>
  </si>
  <si>
    <t>19/03/2025</t>
  </si>
  <si>
    <t>080/BK/03/2025</t>
  </si>
  <si>
    <t>Pinjaman Barang - HP Samsung S25 Ultra an R Agus Doddy Dwi Sagita</t>
  </si>
  <si>
    <t>09/04/2025</t>
  </si>
  <si>
    <t>006/BK/04/2025</t>
  </si>
  <si>
    <t>Pinjaman barang - HP Iphone an Adityo Nugroho</t>
  </si>
  <si>
    <t>16/04/2025</t>
  </si>
  <si>
    <t>Bank Deposit</t>
  </si>
  <si>
    <t>016/BM/04/2025</t>
  </si>
  <si>
    <t>Pelunasan pinjaman barang an R. Agus Doddy</t>
  </si>
  <si>
    <t>017/BM/04/2025</t>
  </si>
  <si>
    <t>25/04/2025</t>
  </si>
  <si>
    <t>029/BM/04/2025</t>
  </si>
  <si>
    <t>Pemb. Pinjaman Barang Kantor Pusat bulan April 2025</t>
  </si>
  <si>
    <t>067/BK/04/2025</t>
  </si>
  <si>
    <t>pembayaran angsuran pinjaman barang an Adit - April 2025</t>
  </si>
  <si>
    <t>07/05/2025</t>
  </si>
  <si>
    <t>014/BK/05/2025</t>
  </si>
  <si>
    <t>Pinjaman Barang - Iphone 16 Basic an Andi Auliya (mba Uli SBU ENI)</t>
  </si>
  <si>
    <t>16/05/2025</t>
  </si>
  <si>
    <t>047/BK/05/2025</t>
  </si>
  <si>
    <t>Pinjaman barang TV LG - an Dwi Kurniawan</t>
  </si>
  <si>
    <t>20/05/2025</t>
  </si>
  <si>
    <t>056/BK/05/2025</t>
  </si>
  <si>
    <t>Pinjaman barang - HP Xiaomi redmi note 14 pro - Riska Keuangan</t>
  </si>
  <si>
    <t>23/05/2025</t>
  </si>
  <si>
    <t>095/BK/05/2025</t>
  </si>
  <si>
    <t>Pengembalian salah potong pinjaman barang an Dwi Cahya ke Andri Suryawan</t>
  </si>
  <si>
    <t>037/BM/05/2025</t>
  </si>
  <si>
    <t>Angsuran pinjaman Barang Anggota - kantor pusat bulan Mei 2025</t>
  </si>
  <si>
    <t>036/BM/05/2025</t>
  </si>
  <si>
    <t>Angsuran pembayaran pinjaman Barang anggotta bulan Mei 2025 - Organik Cabang</t>
  </si>
  <si>
    <t>26/05/2025</t>
  </si>
  <si>
    <t>099/BK/05/2025</t>
  </si>
  <si>
    <t>Pinjaman barang anggota - iPad A16 an Riska Deriani</t>
  </si>
  <si>
    <t>114/BK/05/2025</t>
  </si>
  <si>
    <t>Pinjaman barang - Sepatu an Adityo Nugroho</t>
  </si>
  <si>
    <t>27/05/2025</t>
  </si>
  <si>
    <t>136/BK/05/2025</t>
  </si>
  <si>
    <t>Pinjaman Barang Tas Thule - Yulia Dian Anggraeni</t>
  </si>
  <si>
    <t>Pinjaman Barang Tas Thule - M. Adityo Nugroho</t>
  </si>
  <si>
    <t>Pinjaman Barang Tas Thule - Randy Yolanda</t>
  </si>
  <si>
    <t>Pinjaman Barang Tas Thule - Mardini Embun</t>
  </si>
  <si>
    <t>((1103.004) Piutang Anggota - Pinjaman Barang) | Ending Balance</t>
  </si>
  <si>
    <t>Grand Total</t>
  </si>
  <si>
    <t>Piutang Anggota - Barang</t>
  </si>
  <si>
    <t>No</t>
  </si>
  <si>
    <t>Nama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</si>
  <si>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</si>
  <si>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</si>
  <si>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</si>
  <si>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</si>
  <si>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</si>
  <si>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</si>
  <si>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</si>
  <si>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</si>
  <si>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</si>
  <si>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</si>
  <si>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</si>
  <si>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Saldo per 2025</t>
  </si>
  <si>
    <t>Jenis Barang</t>
  </si>
  <si>
    <t>HP Iphone 13</t>
  </si>
  <si>
    <t>Penambahan</t>
  </si>
  <si>
    <t>Pembayaran</t>
  </si>
  <si>
    <t>Rusdy Wangsa</t>
  </si>
  <si>
    <t>HP Galaxy Z Flip</t>
  </si>
  <si>
    <t>Motor Aerox Alpha</t>
  </si>
  <si>
    <t>Motor Scoopy</t>
  </si>
  <si>
    <t>Hardian</t>
  </si>
  <si>
    <t>PS5</t>
  </si>
  <si>
    <t>Willy Adi Nugroho</t>
  </si>
  <si>
    <t xml:space="preserve">R. Agus Doddy </t>
  </si>
  <si>
    <t>HP Samsung S25 Ultra</t>
  </si>
  <si>
    <t>Andi Auliya (Mba Uli)</t>
  </si>
  <si>
    <t>HP Iphone 16 Basic</t>
  </si>
  <si>
    <t>Riska (Keuangan)</t>
  </si>
  <si>
    <t>HP Xiamo Note 14 Pro</t>
  </si>
  <si>
    <t>Riska Deriani</t>
  </si>
  <si>
    <t xml:space="preserve">iPad A16 </t>
  </si>
  <si>
    <t>M. Adityo Nugroho</t>
  </si>
  <si>
    <t>Yulia Dian Anggraeni</t>
  </si>
  <si>
    <t>Tas Thule</t>
  </si>
  <si>
    <t>Randy Yolanda</t>
  </si>
  <si>
    <t>HP, Tas, Sepatu, Tas Thule</t>
  </si>
  <si>
    <t>Mesin Cuci Maytag, tv lg</t>
  </si>
  <si>
    <t xml:space="preserve">Desember </t>
  </si>
  <si>
    <t>Teguh Andani</t>
  </si>
  <si>
    <t>Ferry Harfianto</t>
  </si>
  <si>
    <t>Voucher Lebaran</t>
  </si>
  <si>
    <t>Travel (Tiket Pesawat)</t>
  </si>
  <si>
    <t>Selisih dengan sistem 650.000 (atas salah potong an Dwi Cahya Kurniawan)</t>
  </si>
  <si>
    <t>dan 150.000 atas voucher teguh andani</t>
  </si>
  <si>
    <t>Penambahan Pinjaman Barang</t>
  </si>
  <si>
    <t>Pembayaran Pinjaman Barang</t>
  </si>
  <si>
    <t>Mardini Embun</t>
  </si>
  <si>
    <t>Per bulan Mei</t>
  </si>
  <si>
    <t>Case</t>
  </si>
  <si>
    <t>Piutang Anggota - Travel</t>
  </si>
  <si>
    <t>Golf dan Garmin</t>
  </si>
  <si>
    <t>Alwin Ridwan</t>
  </si>
  <si>
    <t xml:space="preserve">HP OPPO 8GB </t>
  </si>
  <si>
    <t>Adesta Munas Latief</t>
  </si>
  <si>
    <t>Moch. Hasan</t>
  </si>
  <si>
    <t>Mariyana Astri Fandani</t>
  </si>
  <si>
    <t>Selisih atas pinjaman voucher Pak Teguh Andani</t>
  </si>
  <si>
    <t>Randi Rante (SBU ENI)</t>
  </si>
  <si>
    <t>Muh Aspar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</si>
</sst>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1"/>
    </font>
    <font>
      <b/>
      <sz val="12"/>
      <name val="Arial"/>
      <family val="1"/>
    </font>
    <font>
      <b/>
      <sz val="16"/>
      <name val="Arial"/>
      <family val="1"/>
    </font>
    <font>
      <sz val="12"/>
      <name val="Arial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0" fontId="3" fillId="0" borderId="0" xfId="2"/>
    <xf numFmtId="0" fontId="4" fillId="0" borderId="0" xfId="2" applyFont="1"/>
    <xf numFmtId="14" fontId="3" fillId="0" borderId="0" xfId="2" applyNumberFormat="1"/>
    <xf numFmtId="0" fontId="6" fillId="0" borderId="0" xfId="2" applyFont="1"/>
    <xf numFmtId="40" fontId="6" fillId="0" borderId="0" xfId="2" applyNumberFormat="1" applyFont="1"/>
    <xf numFmtId="40" fontId="4" fillId="0" borderId="0" xfId="2" applyNumberFormat="1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164" fontId="7" fillId="0" borderId="0" xfId="1" applyNumberFormat="1" applyFont="1" applyAlignment="1">
      <alignment vertical="center"/>
    </xf>
    <xf numFmtId="164" fontId="7" fillId="0" borderId="1" xfId="1" applyNumberFormat="1" applyFont="1" applyBorder="1" applyAlignment="1">
      <alignment vertical="center"/>
    </xf>
    <xf numFmtId="164" fontId="7" fillId="2" borderId="1" xfId="1" applyNumberFormat="1" applyFont="1" applyFill="1" applyBorder="1" applyAlignment="1">
      <alignment vertical="center"/>
    </xf>
    <xf numFmtId="0" fontId="2" fillId="0" borderId="0" xfId="0" applyFont="1"/>
    <xf numFmtId="164" fontId="8" fillId="2" borderId="1" xfId="1" applyNumberFormat="1" applyFont="1" applyFill="1" applyBorder="1" applyAlignment="1">
      <alignment horizontal="center" vertical="center" wrapText="1"/>
    </xf>
    <xf numFmtId="164" fontId="8" fillId="0" borderId="1" xfId="1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8" fillId="0" borderId="1" xfId="1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3" borderId="1" xfId="1" applyNumberFormat="1" applyFont="1" applyFill="1" applyBorder="1" applyAlignment="1">
      <alignment vertical="center"/>
    </xf>
    <xf numFmtId="164" fontId="7" fillId="4" borderId="1" xfId="1" applyNumberFormat="1" applyFont="1" applyFill="1" applyBorder="1" applyAlignment="1">
      <alignment vertical="center"/>
    </xf>
    <xf numFmtId="164" fontId="7" fillId="5" borderId="1" xfId="1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164" fontId="7" fillId="6" borderId="1" xfId="1" applyNumberFormat="1" applyFont="1" applyFill="1" applyBorder="1" applyAlignment="1">
      <alignment vertical="center"/>
    </xf>
    <xf numFmtId="0" fontId="0" fillId="6" borderId="0" xfId="0" applyFill="1"/>
    <xf numFmtId="0" fontId="4" fillId="0" borderId="0" xfId="2" applyFont="1" applyAlignment="1">
      <alignment horizontal="center"/>
    </xf>
    <xf numFmtId="0" fontId="3" fillId="0" borderId="0" xfId="2"/>
    <xf numFmtId="0" fontId="5" fillId="0" borderId="0" xfId="2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center"/>
    </xf>
    <xf numFmtId="164" fontId="8" fillId="0" borderId="5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C96EE9A4-BB1D-4DBF-A5DF-BE3EFFAC6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7706-2669-4C05-A8CF-BE3830472135}">
  <dimension ref="A1:H39"/>
  <sheetViews>
    <sheetView showOutlineSymbols="0" showWhiteSpace="0" workbookViewId="0">
      <selection activeCell="D11" sqref="D11"/>
    </sheetView>
  </sheetViews>
  <sheetFormatPr defaultRowHeight="14" x14ac:dyDescent="0.3"/>
  <cols>
    <col min="1" max="3" width="16.36328125" style="1" bestFit="1" customWidth="1"/>
    <col min="4" max="4" width="77.1796875" style="1" customWidth="1"/>
    <col min="5" max="8" width="16.36328125" style="1" bestFit="1" customWidth="1"/>
    <col min="9" max="16384" width="8.7265625" style="1"/>
  </cols>
  <sheetData>
    <row r="1" spans="1:8" ht="15.5" x14ac:dyDescent="0.35">
      <c r="A1" s="29" t="s">
        <v>0</v>
      </c>
      <c r="B1" s="30"/>
      <c r="C1" s="30"/>
      <c r="D1" s="30"/>
      <c r="E1" s="30"/>
      <c r="F1" s="30"/>
      <c r="G1" s="30"/>
    </row>
    <row r="2" spans="1:8" ht="20" x14ac:dyDescent="0.4">
      <c r="A2" s="31" t="s">
        <v>1</v>
      </c>
      <c r="B2" s="30"/>
      <c r="C2" s="30"/>
      <c r="D2" s="30"/>
      <c r="E2" s="30"/>
      <c r="F2" s="30"/>
      <c r="G2" s="30"/>
    </row>
    <row r="3" spans="1:8" ht="15.5" x14ac:dyDescent="0.35">
      <c r="A3" s="29" t="s">
        <v>2</v>
      </c>
      <c r="B3" s="30"/>
      <c r="C3" s="30"/>
      <c r="D3" s="30"/>
      <c r="E3" s="30"/>
      <c r="F3" s="30"/>
      <c r="G3" s="30"/>
    </row>
    <row r="4" spans="1:8" ht="15.5" x14ac:dyDescent="0.35">
      <c r="A4" s="29" t="s">
        <v>3</v>
      </c>
      <c r="B4" s="30"/>
      <c r="C4" s="30"/>
      <c r="D4" s="30"/>
      <c r="E4" s="30"/>
      <c r="F4" s="30"/>
      <c r="G4" s="30"/>
    </row>
    <row r="5" spans="1:8" ht="15.5" x14ac:dyDescent="0.35">
      <c r="A5" s="29" t="s">
        <v>4</v>
      </c>
      <c r="B5" s="30"/>
      <c r="C5" s="30"/>
      <c r="D5" s="30"/>
      <c r="E5" s="30"/>
      <c r="F5" s="30"/>
      <c r="G5" s="30"/>
    </row>
    <row r="7" spans="1:8" ht="15.5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</row>
    <row r="8" spans="1:8" ht="15.5" x14ac:dyDescent="0.35">
      <c r="A8" s="2" t="s">
        <v>13</v>
      </c>
    </row>
    <row r="9" spans="1:8" ht="15.5" x14ac:dyDescent="0.35">
      <c r="A9" s="3" t="s">
        <v>14</v>
      </c>
      <c r="B9" s="4" t="s">
        <v>15</v>
      </c>
      <c r="C9" s="4" t="s">
        <v>16</v>
      </c>
      <c r="D9" s="4" t="s">
        <v>17</v>
      </c>
      <c r="E9" s="5">
        <v>9628930</v>
      </c>
      <c r="F9" s="5">
        <v>0</v>
      </c>
      <c r="G9" s="5">
        <v>9628930</v>
      </c>
      <c r="H9" s="4" t="s">
        <v>18</v>
      </c>
    </row>
    <row r="10" spans="1:8" ht="15.5" x14ac:dyDescent="0.35">
      <c r="A10" s="3" t="s">
        <v>14</v>
      </c>
      <c r="B10" s="4" t="s">
        <v>15</v>
      </c>
      <c r="C10" s="4" t="s">
        <v>19</v>
      </c>
      <c r="D10" s="4" t="s">
        <v>20</v>
      </c>
      <c r="E10" s="5">
        <v>17070930</v>
      </c>
      <c r="F10" s="5">
        <v>0</v>
      </c>
      <c r="G10" s="5">
        <v>26699860</v>
      </c>
      <c r="H10" s="4" t="s">
        <v>18</v>
      </c>
    </row>
    <row r="11" spans="1:8" ht="15.5" x14ac:dyDescent="0.35">
      <c r="A11" s="3" t="s">
        <v>21</v>
      </c>
      <c r="B11" s="4" t="s">
        <v>15</v>
      </c>
      <c r="C11" s="4" t="s">
        <v>22</v>
      </c>
      <c r="D11" s="4" t="s">
        <v>23</v>
      </c>
      <c r="E11" s="5">
        <v>0</v>
      </c>
      <c r="F11" s="5">
        <v>962893</v>
      </c>
      <c r="G11" s="5">
        <v>25736967</v>
      </c>
      <c r="H11" s="4"/>
    </row>
    <row r="12" spans="1:8" ht="15.5" x14ac:dyDescent="0.35">
      <c r="A12" s="3" t="s">
        <v>24</v>
      </c>
      <c r="B12" s="4" t="s">
        <v>15</v>
      </c>
      <c r="C12" s="4" t="s">
        <v>25</v>
      </c>
      <c r="D12" s="4" t="s">
        <v>26</v>
      </c>
      <c r="E12" s="5">
        <v>18370000</v>
      </c>
      <c r="F12" s="5">
        <v>0</v>
      </c>
      <c r="G12" s="5">
        <v>44106967</v>
      </c>
      <c r="H12" s="4" t="s">
        <v>27</v>
      </c>
    </row>
    <row r="13" spans="1:8" ht="15.5" x14ac:dyDescent="0.35">
      <c r="A13" s="3" t="s">
        <v>28</v>
      </c>
      <c r="B13" s="4" t="s">
        <v>29</v>
      </c>
      <c r="C13" s="4" t="s">
        <v>30</v>
      </c>
      <c r="D13" s="4" t="s">
        <v>31</v>
      </c>
      <c r="E13" s="5">
        <v>1000000</v>
      </c>
      <c r="F13" s="5">
        <v>0</v>
      </c>
      <c r="G13" s="5">
        <v>45106967</v>
      </c>
      <c r="H13" s="4" t="s">
        <v>32</v>
      </c>
    </row>
    <row r="14" spans="1:8" ht="15.5" x14ac:dyDescent="0.35">
      <c r="A14" s="3" t="s">
        <v>33</v>
      </c>
      <c r="B14" s="4" t="s">
        <v>15</v>
      </c>
      <c r="C14" s="4" t="s">
        <v>34</v>
      </c>
      <c r="D14" s="4" t="s">
        <v>35</v>
      </c>
      <c r="E14" s="5">
        <v>51795600</v>
      </c>
      <c r="F14" s="5">
        <v>0</v>
      </c>
      <c r="G14" s="5">
        <v>96902567</v>
      </c>
      <c r="H14" s="4" t="s">
        <v>32</v>
      </c>
    </row>
    <row r="15" spans="1:8" ht="15.5" x14ac:dyDescent="0.35">
      <c r="A15" s="3" t="s">
        <v>36</v>
      </c>
      <c r="B15" s="4" t="s">
        <v>15</v>
      </c>
      <c r="C15" s="4" t="s">
        <v>37</v>
      </c>
      <c r="D15" s="4" t="s">
        <v>38</v>
      </c>
      <c r="E15" s="5">
        <v>29851000</v>
      </c>
      <c r="F15" s="5">
        <v>0</v>
      </c>
      <c r="G15" s="5">
        <v>126753567</v>
      </c>
      <c r="H15" s="4" t="s">
        <v>39</v>
      </c>
    </row>
    <row r="16" spans="1:8" ht="15.5" x14ac:dyDescent="0.35">
      <c r="A16" s="3" t="s">
        <v>40</v>
      </c>
      <c r="B16" s="4" t="s">
        <v>15</v>
      </c>
      <c r="C16" s="4" t="s">
        <v>41</v>
      </c>
      <c r="D16" s="4" t="s">
        <v>42</v>
      </c>
      <c r="E16" s="5">
        <v>0</v>
      </c>
      <c r="F16" s="5">
        <v>5937335</v>
      </c>
      <c r="G16" s="5">
        <v>120816232</v>
      </c>
      <c r="H16" s="4"/>
    </row>
    <row r="17" spans="1:8" ht="15.5" x14ac:dyDescent="0.35">
      <c r="A17" s="3" t="s">
        <v>43</v>
      </c>
      <c r="B17" s="4" t="s">
        <v>15</v>
      </c>
      <c r="C17" s="4" t="s">
        <v>44</v>
      </c>
      <c r="D17" s="4" t="s">
        <v>45</v>
      </c>
      <c r="E17" s="5">
        <v>10533510</v>
      </c>
      <c r="F17" s="5">
        <v>0</v>
      </c>
      <c r="G17" s="5">
        <v>131349742</v>
      </c>
      <c r="H17" s="4"/>
    </row>
    <row r="18" spans="1:8" ht="15.5" x14ac:dyDescent="0.35">
      <c r="A18" s="3" t="s">
        <v>46</v>
      </c>
      <c r="B18" s="4" t="s">
        <v>15</v>
      </c>
      <c r="C18" s="4" t="s">
        <v>47</v>
      </c>
      <c r="D18" s="4" t="s">
        <v>48</v>
      </c>
      <c r="E18" s="5">
        <v>12296980</v>
      </c>
      <c r="F18" s="5">
        <v>0</v>
      </c>
      <c r="G18" s="5">
        <v>143646722</v>
      </c>
      <c r="H18" s="4"/>
    </row>
    <row r="19" spans="1:8" ht="15.5" x14ac:dyDescent="0.35">
      <c r="A19" s="3" t="s">
        <v>46</v>
      </c>
      <c r="B19" s="4" t="s">
        <v>15</v>
      </c>
      <c r="C19" s="4" t="s">
        <v>49</v>
      </c>
      <c r="D19" s="4" t="s">
        <v>48</v>
      </c>
      <c r="E19" s="5">
        <v>5006530</v>
      </c>
      <c r="F19" s="5">
        <v>0</v>
      </c>
      <c r="G19" s="5">
        <v>148653252</v>
      </c>
      <c r="H19" s="4"/>
    </row>
    <row r="20" spans="1:8" ht="15.5" x14ac:dyDescent="0.35">
      <c r="A20" s="3" t="s">
        <v>50</v>
      </c>
      <c r="B20" s="4" t="s">
        <v>15</v>
      </c>
      <c r="C20" s="4" t="s">
        <v>51</v>
      </c>
      <c r="D20" s="4" t="s">
        <v>52</v>
      </c>
      <c r="E20" s="5">
        <v>27121290</v>
      </c>
      <c r="F20" s="5">
        <v>0</v>
      </c>
      <c r="G20" s="5">
        <v>175774542</v>
      </c>
      <c r="H20" s="4"/>
    </row>
    <row r="21" spans="1:8" ht="15.5" x14ac:dyDescent="0.35">
      <c r="A21" s="3" t="s">
        <v>53</v>
      </c>
      <c r="B21" s="4" t="s">
        <v>15</v>
      </c>
      <c r="C21" s="4" t="s">
        <v>54</v>
      </c>
      <c r="D21" s="4" t="s">
        <v>55</v>
      </c>
      <c r="E21" s="5">
        <v>24073930</v>
      </c>
      <c r="F21" s="5">
        <v>0</v>
      </c>
      <c r="G21" s="5">
        <v>199848472</v>
      </c>
      <c r="H21" s="4"/>
    </row>
    <row r="22" spans="1:8" ht="15.5" x14ac:dyDescent="0.35">
      <c r="A22" s="3" t="s">
        <v>56</v>
      </c>
      <c r="B22" s="4" t="s">
        <v>57</v>
      </c>
      <c r="C22" s="4" t="s">
        <v>58</v>
      </c>
      <c r="D22" s="4" t="s">
        <v>59</v>
      </c>
      <c r="E22" s="5">
        <v>0</v>
      </c>
      <c r="F22" s="5">
        <v>20000000</v>
      </c>
      <c r="G22" s="5">
        <v>179848472</v>
      </c>
      <c r="H22" s="4"/>
    </row>
    <row r="23" spans="1:8" ht="15.5" x14ac:dyDescent="0.35">
      <c r="A23" s="3" t="s">
        <v>56</v>
      </c>
      <c r="B23" s="4" t="s">
        <v>57</v>
      </c>
      <c r="C23" s="4" t="s">
        <v>60</v>
      </c>
      <c r="D23" s="4" t="s">
        <v>59</v>
      </c>
      <c r="E23" s="5">
        <v>0</v>
      </c>
      <c r="F23" s="5">
        <v>7221290</v>
      </c>
      <c r="G23" s="5">
        <v>172627182</v>
      </c>
      <c r="H23" s="4"/>
    </row>
    <row r="24" spans="1:8" ht="15.5" x14ac:dyDescent="0.35">
      <c r="A24" s="3" t="s">
        <v>61</v>
      </c>
      <c r="B24" s="4" t="s">
        <v>15</v>
      </c>
      <c r="C24" s="4" t="s">
        <v>62</v>
      </c>
      <c r="D24" s="4" t="s">
        <v>63</v>
      </c>
      <c r="E24" s="5">
        <v>0</v>
      </c>
      <c r="F24" s="5">
        <v>8850614</v>
      </c>
      <c r="G24" s="5">
        <v>163776568</v>
      </c>
      <c r="H24" s="4"/>
    </row>
    <row r="25" spans="1:8" ht="15.5" x14ac:dyDescent="0.35">
      <c r="A25" s="3" t="s">
        <v>61</v>
      </c>
      <c r="B25" s="4" t="s">
        <v>15</v>
      </c>
      <c r="C25" s="4" t="s">
        <v>64</v>
      </c>
      <c r="D25" s="4" t="s">
        <v>65</v>
      </c>
      <c r="E25" s="5">
        <v>0</v>
      </c>
      <c r="F25" s="5">
        <v>2407393</v>
      </c>
      <c r="G25" s="5">
        <v>161369175</v>
      </c>
      <c r="H25" s="4"/>
    </row>
    <row r="26" spans="1:8" ht="15.5" x14ac:dyDescent="0.35">
      <c r="A26" s="3" t="s">
        <v>66</v>
      </c>
      <c r="B26" s="4" t="s">
        <v>15</v>
      </c>
      <c r="C26" s="4" t="s">
        <v>67</v>
      </c>
      <c r="D26" s="4" t="s">
        <v>68</v>
      </c>
      <c r="E26" s="5">
        <v>19499000</v>
      </c>
      <c r="F26" s="5">
        <v>0</v>
      </c>
      <c r="G26" s="5">
        <v>180868175</v>
      </c>
      <c r="H26" s="4"/>
    </row>
    <row r="27" spans="1:8" ht="15.5" x14ac:dyDescent="0.35">
      <c r="A27" s="3" t="s">
        <v>69</v>
      </c>
      <c r="B27" s="4" t="s">
        <v>15</v>
      </c>
      <c r="C27" s="4" t="s">
        <v>70</v>
      </c>
      <c r="D27" s="4" t="s">
        <v>71</v>
      </c>
      <c r="E27" s="5">
        <v>3900000</v>
      </c>
      <c r="F27" s="5">
        <v>0</v>
      </c>
      <c r="G27" s="5">
        <v>184768175</v>
      </c>
      <c r="H27" s="4"/>
    </row>
    <row r="28" spans="1:8" ht="15.5" x14ac:dyDescent="0.35">
      <c r="A28" s="3" t="s">
        <v>72</v>
      </c>
      <c r="B28" s="4" t="s">
        <v>15</v>
      </c>
      <c r="C28" s="4" t="s">
        <v>73</v>
      </c>
      <c r="D28" s="4" t="s">
        <v>74</v>
      </c>
      <c r="E28" s="5">
        <v>5100000</v>
      </c>
      <c r="F28" s="5">
        <v>0</v>
      </c>
      <c r="G28" s="5">
        <v>189868175</v>
      </c>
      <c r="H28" s="4"/>
    </row>
    <row r="29" spans="1:8" ht="15.5" x14ac:dyDescent="0.35">
      <c r="A29" s="3" t="s">
        <v>75</v>
      </c>
      <c r="B29" s="4" t="s">
        <v>29</v>
      </c>
      <c r="C29" s="4" t="s">
        <v>76</v>
      </c>
      <c r="D29" s="4" t="s">
        <v>77</v>
      </c>
      <c r="E29" s="5">
        <v>650000</v>
      </c>
      <c r="F29" s="5">
        <v>0</v>
      </c>
      <c r="G29" s="5">
        <v>190518175</v>
      </c>
      <c r="H29" s="4"/>
    </row>
    <row r="30" spans="1:8" ht="15.5" x14ac:dyDescent="0.35">
      <c r="A30" s="3" t="s">
        <v>75</v>
      </c>
      <c r="B30" s="4" t="s">
        <v>15</v>
      </c>
      <c r="C30" s="4" t="s">
        <v>78</v>
      </c>
      <c r="D30" s="4" t="s">
        <v>79</v>
      </c>
      <c r="E30" s="5">
        <v>0</v>
      </c>
      <c r="F30" s="5">
        <v>12510965</v>
      </c>
      <c r="G30" s="5">
        <v>178007210</v>
      </c>
      <c r="H30" s="4"/>
    </row>
    <row r="31" spans="1:8" ht="15.5" x14ac:dyDescent="0.35">
      <c r="A31" s="3" t="s">
        <v>75</v>
      </c>
      <c r="B31" s="4" t="s">
        <v>15</v>
      </c>
      <c r="C31" s="4" t="s">
        <v>80</v>
      </c>
      <c r="D31" s="4" t="s">
        <v>81</v>
      </c>
      <c r="E31" s="5">
        <v>0</v>
      </c>
      <c r="F31" s="5">
        <v>2223760</v>
      </c>
      <c r="G31" s="5">
        <v>175783450</v>
      </c>
      <c r="H31" s="4"/>
    </row>
    <row r="32" spans="1:8" ht="15.5" x14ac:dyDescent="0.35">
      <c r="A32" s="3" t="s">
        <v>82</v>
      </c>
      <c r="B32" s="4" t="s">
        <v>15</v>
      </c>
      <c r="C32" s="4" t="s">
        <v>83</v>
      </c>
      <c r="D32" s="4" t="s">
        <v>84</v>
      </c>
      <c r="E32" s="5">
        <v>9798900</v>
      </c>
      <c r="F32" s="5">
        <v>0</v>
      </c>
      <c r="G32" s="5">
        <v>185582350</v>
      </c>
      <c r="H32" s="4"/>
    </row>
    <row r="33" spans="1:8" ht="15.5" x14ac:dyDescent="0.35">
      <c r="A33" s="3" t="s">
        <v>82</v>
      </c>
      <c r="B33" s="4" t="s">
        <v>15</v>
      </c>
      <c r="C33" s="4" t="s">
        <v>85</v>
      </c>
      <c r="D33" s="4" t="s">
        <v>86</v>
      </c>
      <c r="E33" s="5">
        <v>4890000</v>
      </c>
      <c r="F33" s="5">
        <v>0</v>
      </c>
      <c r="G33" s="5">
        <v>190472350</v>
      </c>
      <c r="H33" s="4"/>
    </row>
    <row r="34" spans="1:8" ht="15.5" x14ac:dyDescent="0.35">
      <c r="A34" s="3" t="s">
        <v>87</v>
      </c>
      <c r="B34" s="4" t="s">
        <v>15</v>
      </c>
      <c r="C34" s="4" t="s">
        <v>88</v>
      </c>
      <c r="D34" s="4" t="s">
        <v>89</v>
      </c>
      <c r="E34" s="5">
        <v>1995000</v>
      </c>
      <c r="F34" s="5">
        <v>0</v>
      </c>
      <c r="G34" s="5">
        <v>192467350</v>
      </c>
      <c r="H34" s="4"/>
    </row>
    <row r="35" spans="1:8" ht="15.5" x14ac:dyDescent="0.35">
      <c r="A35" s="3" t="s">
        <v>87</v>
      </c>
      <c r="B35" s="4" t="s">
        <v>15</v>
      </c>
      <c r="C35" s="4" t="s">
        <v>88</v>
      </c>
      <c r="D35" s="4" t="s">
        <v>90</v>
      </c>
      <c r="E35" s="5">
        <v>1395000</v>
      </c>
      <c r="F35" s="5">
        <v>0</v>
      </c>
      <c r="G35" s="5">
        <v>193862350</v>
      </c>
      <c r="H35" s="4"/>
    </row>
    <row r="36" spans="1:8" ht="15.5" x14ac:dyDescent="0.35">
      <c r="A36" s="3" t="s">
        <v>87</v>
      </c>
      <c r="B36" s="4" t="s">
        <v>15</v>
      </c>
      <c r="C36" s="4" t="s">
        <v>88</v>
      </c>
      <c r="D36" s="4" t="s">
        <v>91</v>
      </c>
      <c r="E36" s="5">
        <v>1550001</v>
      </c>
      <c r="F36" s="5">
        <v>0</v>
      </c>
      <c r="G36" s="5">
        <v>195412351</v>
      </c>
      <c r="H36" s="4"/>
    </row>
    <row r="37" spans="1:8" ht="15.5" x14ac:dyDescent="0.35">
      <c r="A37" s="3" t="s">
        <v>87</v>
      </c>
      <c r="B37" s="4" t="s">
        <v>15</v>
      </c>
      <c r="C37" s="4" t="s">
        <v>88</v>
      </c>
      <c r="D37" s="4" t="s">
        <v>92</v>
      </c>
      <c r="E37" s="5">
        <v>2295000</v>
      </c>
      <c r="F37" s="5">
        <v>0</v>
      </c>
      <c r="G37" s="5">
        <v>197707351</v>
      </c>
      <c r="H37" s="4"/>
    </row>
    <row r="38" spans="1:8" ht="15.5" x14ac:dyDescent="0.35">
      <c r="D38" s="2" t="s">
        <v>93</v>
      </c>
      <c r="E38" s="6">
        <v>257821601</v>
      </c>
      <c r="F38" s="6">
        <v>60114250</v>
      </c>
      <c r="G38" s="6">
        <v>197707351</v>
      </c>
    </row>
    <row r="39" spans="1:8" ht="15.5" x14ac:dyDescent="0.35">
      <c r="D39" s="2" t="s">
        <v>94</v>
      </c>
      <c r="E39" s="6">
        <v>257821601</v>
      </c>
      <c r="F39" s="6">
        <v>60114250</v>
      </c>
    </row>
  </sheetData>
  <mergeCells count="5">
    <mergeCell ref="A1:G1"/>
    <mergeCell ref="A2:G2"/>
    <mergeCell ref="A3:G3"/>
    <mergeCell ref="A4:G4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9AA5-D423-4784-A746-9CC80D98EB70}">
  <dimension ref="A2:AD48"/>
  <sheetViews>
    <sheetView tabSelected="1" topLeftCell="A8" zoomScale="70" zoomScaleNormal="70" workbookViewId="0">
      <selection activeCell="AA16" sqref="AA16"/>
    </sheetView>
  </sheetViews>
  <sheetFormatPr defaultRowHeight="15.5" x14ac:dyDescent="0.35"/>
  <cols>
    <col min="1" max="1" width="8.7265625" style="21"/>
    <col min="2" max="2" width="23.36328125" style="7" customWidth="1"/>
    <col min="3" max="3" width="30.36328125" style="7" hidden="1" customWidth="1"/>
    <col min="4" max="4" width="15.81640625" style="9" hidden="1" customWidth="1"/>
    <col min="5" max="5" width="13" style="9" hidden="1" customWidth="1"/>
    <col min="6" max="17" width="14" style="9" hidden="1" customWidth="1"/>
    <col min="18" max="18" width="14.08984375" style="9" hidden="1" customWidth="1"/>
    <col min="19" max="23" width="14" style="9" hidden="1" customWidth="1"/>
    <col min="24" max="29" width="14" style="9" customWidth="1"/>
    <col min="30" max="30" width="15.81640625" style="9" customWidth="1"/>
  </cols>
  <sheetData>
    <row r="2" spans="1:30" s="12" customFormat="1" x14ac:dyDescent="0.35">
      <c r="A2" s="19" t="s">
        <v>95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4" spans="1:30" s="12" customFormat="1" ht="23.5" customHeight="1" x14ac:dyDescent="0.35">
      <c r="A4" s="32" t="s">
        <v>96</v>
      </c>
      <c r="B4" s="32" t="s">
        <v>97</v>
      </c>
      <c r="C4" s="33" t="s">
        <v>110</v>
      </c>
      <c r="D4" s="37" t="s">
        <v>98</v>
      </c>
      <c r="E4" s="38"/>
      <c r="F4" s="35" t="s">
        <v>99</v>
      </c>
      <c r="G4" s="36"/>
      <c r="H4" s="35" t="s">
        <v>100</v>
      </c>
      <c r="I4" s="36"/>
      <c r="J4" s="35" t="s">
        <v>101</v>
      </c>
      <c r="K4" s="36"/>
      <c r="L4" s="35" t="s">
        <v>102</v>
      </c>
      <c r="M4" s="36"/>
      <c r="N4" s="35" t="s">
        <v>103</v>
      </c>
      <c r="O4" s="36"/>
      <c r="P4" s="35" t="s">
        <v>104</v>
      </c>
      <c r="Q4" s="36"/>
      <c r="R4" s="35" t="s">
        <v>105</v>
      </c>
      <c r="S4" s="36"/>
      <c r="T4" s="35" t="s">
        <v>106</v>
      </c>
      <c r="U4" s="36"/>
      <c r="V4" s="35" t="s">
        <v>107</v>
      </c>
      <c r="W4" s="36"/>
      <c r="X4" s="35" t="s">
        <v>108</v>
      </c>
      <c r="Y4" s="36"/>
      <c r="Z4" s="35" t="s">
        <v>135</v>
      </c>
      <c r="AA4" s="36"/>
      <c r="AB4" s="40" t="s">
        <v>142</v>
      </c>
      <c r="AC4" s="40" t="s">
        <v>143</v>
      </c>
      <c r="AD4" s="39" t="s">
        <v>109</v>
      </c>
    </row>
    <row r="5" spans="1:30" s="15" customFormat="1" ht="25.5" customHeight="1" x14ac:dyDescent="0.35">
      <c r="A5" s="32"/>
      <c r="B5" s="32"/>
      <c r="C5" s="34"/>
      <c r="D5" s="13" t="s">
        <v>112</v>
      </c>
      <c r="E5" s="14" t="s">
        <v>113</v>
      </c>
      <c r="F5" s="13" t="s">
        <v>112</v>
      </c>
      <c r="G5" s="14" t="s">
        <v>113</v>
      </c>
      <c r="H5" s="13" t="s">
        <v>112</v>
      </c>
      <c r="I5" s="14" t="s">
        <v>113</v>
      </c>
      <c r="J5" s="13" t="s">
        <v>112</v>
      </c>
      <c r="K5" s="14" t="s">
        <v>113</v>
      </c>
      <c r="L5" s="13" t="s">
        <v>112</v>
      </c>
      <c r="M5" s="14" t="s">
        <v>113</v>
      </c>
      <c r="N5" s="13" t="s">
        <v>112</v>
      </c>
      <c r="O5" s="14" t="s">
        <v>113</v>
      </c>
      <c r="P5" s="13" t="s">
        <v>112</v>
      </c>
      <c r="Q5" s="14" t="s">
        <v>113</v>
      </c>
      <c r="R5" s="13" t="s">
        <v>112</v>
      </c>
      <c r="S5" s="14" t="s">
        <v>113</v>
      </c>
      <c r="T5" s="13" t="s">
        <v>112</v>
      </c>
      <c r="U5" s="14" t="s">
        <v>113</v>
      </c>
      <c r="V5" s="13" t="s">
        <v>112</v>
      </c>
      <c r="W5" s="14" t="s">
        <v>113</v>
      </c>
      <c r="X5" s="13" t="s">
        <v>112</v>
      </c>
      <c r="Y5" s="14" t="s">
        <v>113</v>
      </c>
      <c r="Z5" s="13" t="s">
        <v>112</v>
      </c>
      <c r="AA5" s="14" t="s">
        <v>113</v>
      </c>
      <c r="AB5" s="41"/>
      <c r="AC5" s="41"/>
      <c r="AD5" s="39"/>
    </row>
    <row r="6" spans="1:30" x14ac:dyDescent="0.35">
      <c r="A6" s="20">
        <v>1</v>
      </c>
      <c r="B6" s="8" t="s">
        <v>18</v>
      </c>
      <c r="C6" s="8" t="s">
        <v>111</v>
      </c>
      <c r="D6" s="11">
        <v>9628930</v>
      </c>
      <c r="E6" s="10">
        <v>962893</v>
      </c>
      <c r="F6" s="11"/>
      <c r="G6" s="10">
        <v>962893</v>
      </c>
      <c r="H6" s="11"/>
      <c r="I6" s="10"/>
      <c r="J6" s="11"/>
      <c r="K6" s="10">
        <v>962893</v>
      </c>
      <c r="L6" s="11"/>
      <c r="M6" s="10">
        <v>962893</v>
      </c>
      <c r="N6" s="11"/>
      <c r="O6" s="10">
        <v>962893</v>
      </c>
      <c r="P6" s="11"/>
      <c r="Q6" s="10">
        <v>962893</v>
      </c>
      <c r="R6" s="11"/>
      <c r="S6" s="24">
        <v>962893</v>
      </c>
      <c r="T6" s="11"/>
      <c r="U6" s="24">
        <v>962893</v>
      </c>
      <c r="V6" s="11"/>
      <c r="W6" s="24">
        <v>962893</v>
      </c>
      <c r="X6" s="11"/>
      <c r="Y6" s="24">
        <v>962893</v>
      </c>
      <c r="Z6" s="11">
        <v>6665000</v>
      </c>
      <c r="AA6" s="10">
        <v>666500</v>
      </c>
      <c r="AB6" s="10">
        <f>D6+F6+H6+J6+L6+N6+P6+R6+T6+V6+X6+Z6</f>
        <v>16293930</v>
      </c>
      <c r="AC6" s="10">
        <f>E6+G6+I6+K6+M6+O6+Q6+S6+U6+AH6+W6+Y6+AA6</f>
        <v>10295430</v>
      </c>
      <c r="AD6" s="10">
        <f>AB6-AC6</f>
        <v>5998500</v>
      </c>
    </row>
    <row r="7" spans="1:30" x14ac:dyDescent="0.35">
      <c r="A7" s="20">
        <v>2</v>
      </c>
      <c r="B7" s="8" t="s">
        <v>114</v>
      </c>
      <c r="C7" s="8" t="s">
        <v>115</v>
      </c>
      <c r="D7" s="11">
        <v>17070930</v>
      </c>
      <c r="E7" s="10">
        <v>1717093</v>
      </c>
      <c r="F7" s="11"/>
      <c r="G7" s="10">
        <v>1707093</v>
      </c>
      <c r="H7" s="11"/>
      <c r="I7" s="10"/>
      <c r="J7" s="11"/>
      <c r="K7" s="10">
        <v>1707093</v>
      </c>
      <c r="L7" s="11"/>
      <c r="M7" s="22">
        <v>1707093</v>
      </c>
      <c r="N7" s="11"/>
      <c r="O7" s="22">
        <v>1707093</v>
      </c>
      <c r="P7" s="11"/>
      <c r="Q7" s="22">
        <v>1707093</v>
      </c>
      <c r="R7" s="11"/>
      <c r="S7" s="22">
        <v>1707093</v>
      </c>
      <c r="T7" s="11"/>
      <c r="U7" s="22">
        <v>1707093</v>
      </c>
      <c r="V7" s="11"/>
      <c r="W7" s="22">
        <v>1707093</v>
      </c>
      <c r="X7" s="11"/>
      <c r="Y7" s="22">
        <v>1707093</v>
      </c>
      <c r="Z7" s="11"/>
      <c r="AA7" s="10"/>
      <c r="AB7" s="10">
        <f t="shared" ref="AB7:AB20" si="0">D7+F7+H7+J7+L7+N7+P7+R7+T7+V7+X7+Z7</f>
        <v>17070930</v>
      </c>
      <c r="AC7" s="10">
        <f t="shared" ref="AC7:AC20" si="1">E7+G7+I7+K7+M7+O7+Q7+S7+U7+AH7+W7+Y7+AA7</f>
        <v>17080930</v>
      </c>
      <c r="AD7" s="10">
        <f t="shared" ref="AD7:AD21" si="2">AB7-AC7</f>
        <v>-10000</v>
      </c>
    </row>
    <row r="8" spans="1:30" x14ac:dyDescent="0.35">
      <c r="A8" s="20">
        <v>3</v>
      </c>
      <c r="B8" s="8" t="s">
        <v>27</v>
      </c>
      <c r="C8" s="8" t="s">
        <v>134</v>
      </c>
      <c r="D8" s="11"/>
      <c r="E8" s="10"/>
      <c r="F8" s="11">
        <f>18370000</f>
        <v>18370000</v>
      </c>
      <c r="G8" s="10">
        <v>1530833</v>
      </c>
      <c r="H8" s="11"/>
      <c r="I8" s="10"/>
      <c r="J8" s="11"/>
      <c r="K8" s="10">
        <v>1530833</v>
      </c>
      <c r="L8" s="11">
        <f>3900000</f>
        <v>3900000</v>
      </c>
      <c r="M8" s="10">
        <v>1530833</v>
      </c>
      <c r="N8" s="11"/>
      <c r="O8" s="10">
        <v>2180833</v>
      </c>
      <c r="P8" s="11"/>
      <c r="Q8" s="10">
        <v>2180833</v>
      </c>
      <c r="R8" s="11">
        <v>8599999</v>
      </c>
      <c r="S8" s="24">
        <f>1530833+650000+1720000</f>
        <v>3900833</v>
      </c>
      <c r="T8" s="11">
        <f>4150000+6687500</f>
        <v>10837500</v>
      </c>
      <c r="U8" s="24">
        <v>5845416</v>
      </c>
      <c r="V8" s="11"/>
      <c r="W8" s="24">
        <v>5845416</v>
      </c>
      <c r="X8" s="11"/>
      <c r="Y8" s="24">
        <v>5845416</v>
      </c>
      <c r="Z8" s="11"/>
      <c r="AA8" s="10">
        <v>5195416</v>
      </c>
      <c r="AB8" s="10">
        <f t="shared" si="0"/>
        <v>41707499</v>
      </c>
      <c r="AC8" s="10">
        <f t="shared" si="1"/>
        <v>35586662</v>
      </c>
      <c r="AD8" s="10">
        <f t="shared" si="2"/>
        <v>6120837</v>
      </c>
    </row>
    <row r="9" spans="1:30" x14ac:dyDescent="0.35">
      <c r="A9" s="20">
        <v>4</v>
      </c>
      <c r="B9" s="8" t="s">
        <v>32</v>
      </c>
      <c r="C9" s="8" t="s">
        <v>116</v>
      </c>
      <c r="D9" s="11"/>
      <c r="E9" s="10"/>
      <c r="F9" s="11">
        <v>52795600</v>
      </c>
      <c r="G9" s="10">
        <v>2199817</v>
      </c>
      <c r="H9" s="11"/>
      <c r="I9" s="10"/>
      <c r="J9" s="11"/>
      <c r="K9" s="10">
        <v>2199817</v>
      </c>
      <c r="L9" s="11">
        <v>650000</v>
      </c>
      <c r="M9" s="10">
        <f>2199817+650000</f>
        <v>2849817</v>
      </c>
      <c r="N9" s="11"/>
      <c r="O9" s="10">
        <v>2199817</v>
      </c>
      <c r="P9" s="11"/>
      <c r="Q9" s="10">
        <v>2199817</v>
      </c>
      <c r="R9" s="11"/>
      <c r="S9" s="24">
        <v>2199817</v>
      </c>
      <c r="T9" s="11"/>
      <c r="U9" s="24">
        <v>2199817</v>
      </c>
      <c r="V9" s="11"/>
      <c r="W9" s="24">
        <v>2199817</v>
      </c>
      <c r="X9" s="11"/>
      <c r="Y9" s="10">
        <v>2199817</v>
      </c>
      <c r="Z9" s="11"/>
      <c r="AA9" s="10">
        <v>2199817</v>
      </c>
      <c r="AB9" s="10">
        <f t="shared" si="0"/>
        <v>53445600</v>
      </c>
      <c r="AC9" s="10">
        <f t="shared" si="1"/>
        <v>22648170</v>
      </c>
      <c r="AD9" s="10">
        <f t="shared" si="2"/>
        <v>30797430</v>
      </c>
    </row>
    <row r="10" spans="1:30" x14ac:dyDescent="0.35">
      <c r="A10" s="20">
        <v>5</v>
      </c>
      <c r="B10" s="8" t="s">
        <v>39</v>
      </c>
      <c r="C10" s="8" t="s">
        <v>117</v>
      </c>
      <c r="D10" s="11"/>
      <c r="E10" s="10"/>
      <c r="F10" s="11">
        <v>29851000</v>
      </c>
      <c r="G10" s="10">
        <v>1243792</v>
      </c>
      <c r="H10" s="11"/>
      <c r="I10" s="10"/>
      <c r="J10" s="11"/>
      <c r="K10" s="10">
        <v>1243792</v>
      </c>
      <c r="L10" s="11"/>
      <c r="M10" s="10">
        <v>1243792</v>
      </c>
      <c r="N10" s="11"/>
      <c r="O10" s="10">
        <v>1243792</v>
      </c>
      <c r="P10" s="11"/>
      <c r="Q10" s="10">
        <v>1243792</v>
      </c>
      <c r="R10" s="11"/>
      <c r="S10" s="24">
        <v>1243792</v>
      </c>
      <c r="T10" s="11"/>
      <c r="U10" s="24">
        <v>1243792</v>
      </c>
      <c r="V10" s="11"/>
      <c r="W10" s="24">
        <v>1243792</v>
      </c>
      <c r="X10" s="11"/>
      <c r="Y10" s="24">
        <v>1243792</v>
      </c>
      <c r="Z10" s="11"/>
      <c r="AA10" s="10">
        <v>1243792</v>
      </c>
      <c r="AB10" s="10">
        <f t="shared" si="0"/>
        <v>29851000</v>
      </c>
      <c r="AC10" s="10">
        <f t="shared" si="1"/>
        <v>12437920</v>
      </c>
      <c r="AD10" s="10">
        <f t="shared" si="2"/>
        <v>17413080</v>
      </c>
    </row>
    <row r="11" spans="1:30" x14ac:dyDescent="0.35">
      <c r="A11" s="20">
        <v>6</v>
      </c>
      <c r="B11" s="8" t="s">
        <v>118</v>
      </c>
      <c r="C11" s="8" t="s">
        <v>119</v>
      </c>
      <c r="D11" s="11"/>
      <c r="E11" s="10"/>
      <c r="F11" s="11">
        <v>10533510</v>
      </c>
      <c r="G11" s="10"/>
      <c r="H11" s="11"/>
      <c r="I11" s="10"/>
      <c r="J11" s="11"/>
      <c r="K11" s="10">
        <v>1053351</v>
      </c>
      <c r="L11" s="11"/>
      <c r="M11" s="10">
        <v>1053351</v>
      </c>
      <c r="N11" s="11"/>
      <c r="O11" s="10">
        <v>1053351</v>
      </c>
      <c r="P11" s="11"/>
      <c r="Q11" s="10">
        <v>1053351</v>
      </c>
      <c r="R11" s="11"/>
      <c r="S11" s="24">
        <v>1053351</v>
      </c>
      <c r="T11" s="11"/>
      <c r="U11" s="24">
        <v>1053351</v>
      </c>
      <c r="V11" s="11"/>
      <c r="W11" s="24">
        <v>1053351</v>
      </c>
      <c r="X11" s="11"/>
      <c r="Y11" s="10">
        <v>1053351</v>
      </c>
      <c r="Z11" s="11"/>
      <c r="AA11" s="10">
        <v>1053351</v>
      </c>
      <c r="AB11" s="10">
        <f t="shared" si="0"/>
        <v>10533510</v>
      </c>
      <c r="AC11" s="10">
        <f t="shared" si="1"/>
        <v>9480159</v>
      </c>
      <c r="AD11" s="10">
        <f t="shared" si="2"/>
        <v>1053351</v>
      </c>
    </row>
    <row r="12" spans="1:30" x14ac:dyDescent="0.35">
      <c r="A12" s="20">
        <v>7</v>
      </c>
      <c r="B12" s="8" t="s">
        <v>120</v>
      </c>
      <c r="C12" s="8" t="s">
        <v>148</v>
      </c>
      <c r="D12" s="11"/>
      <c r="E12" s="10"/>
      <c r="F12" s="11"/>
      <c r="G12" s="10"/>
      <c r="H12" s="11">
        <f>12296980+5006530</f>
        <v>17303510</v>
      </c>
      <c r="I12" s="10"/>
      <c r="J12" s="11"/>
      <c r="K12" s="10">
        <f>500653+1229698</f>
        <v>1730351</v>
      </c>
      <c r="L12" s="11"/>
      <c r="M12" s="10">
        <v>1730351</v>
      </c>
      <c r="N12" s="11"/>
      <c r="O12" s="10">
        <v>1730351</v>
      </c>
      <c r="P12" s="11"/>
      <c r="Q12" s="10">
        <v>1730351</v>
      </c>
      <c r="R12" s="11"/>
      <c r="S12" s="24">
        <v>1730351</v>
      </c>
      <c r="T12" s="11"/>
      <c r="U12" s="24">
        <v>1730351</v>
      </c>
      <c r="V12" s="11">
        <v>8293750</v>
      </c>
      <c r="W12" s="24">
        <v>1730351</v>
      </c>
      <c r="X12" s="11"/>
      <c r="Y12" s="10">
        <v>2559726</v>
      </c>
      <c r="Z12" s="11"/>
      <c r="AA12" s="10">
        <v>2559726</v>
      </c>
      <c r="AB12" s="10">
        <f t="shared" si="0"/>
        <v>25597260</v>
      </c>
      <c r="AC12" s="10">
        <f t="shared" si="1"/>
        <v>17231909</v>
      </c>
      <c r="AD12" s="10">
        <f t="shared" si="2"/>
        <v>8365351</v>
      </c>
    </row>
    <row r="13" spans="1:30" x14ac:dyDescent="0.35">
      <c r="A13" s="20">
        <v>8</v>
      </c>
      <c r="B13" s="8" t="s">
        <v>121</v>
      </c>
      <c r="C13" s="8" t="s">
        <v>122</v>
      </c>
      <c r="D13" s="11"/>
      <c r="E13" s="10"/>
      <c r="F13" s="11"/>
      <c r="G13" s="10"/>
      <c r="H13" s="11">
        <v>27121290</v>
      </c>
      <c r="I13" s="10"/>
      <c r="J13" s="11"/>
      <c r="K13" s="10">
        <f>20000000+7121290</f>
        <v>27121290</v>
      </c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0">
        <f>D13+F13+H13+J13+L13+N13+P13+R13+T13+V13+X13+Z13</f>
        <v>27121290</v>
      </c>
      <c r="AC13" s="10">
        <f>E13+G13+I13+K13+M13+O13+Q13+S13+U13+AH13+W13+Y13+AA13</f>
        <v>27121290</v>
      </c>
      <c r="AD13" s="10">
        <f t="shared" si="2"/>
        <v>0</v>
      </c>
    </row>
    <row r="14" spans="1:30" x14ac:dyDescent="0.35">
      <c r="A14" s="20">
        <v>9</v>
      </c>
      <c r="B14" s="8" t="s">
        <v>123</v>
      </c>
      <c r="C14" s="8" t="s">
        <v>124</v>
      </c>
      <c r="D14" s="11"/>
      <c r="E14" s="10"/>
      <c r="F14" s="11"/>
      <c r="G14" s="10"/>
      <c r="H14" s="11"/>
      <c r="I14" s="10"/>
      <c r="J14" s="11"/>
      <c r="K14" s="10"/>
      <c r="L14" s="11">
        <v>19499000</v>
      </c>
      <c r="M14" s="10"/>
      <c r="N14" s="11"/>
      <c r="O14" s="10"/>
      <c r="P14" s="11"/>
      <c r="Q14" s="10">
        <v>2437375</v>
      </c>
      <c r="R14" s="11"/>
      <c r="S14" s="23">
        <f>2437375*2</f>
        <v>4874750</v>
      </c>
      <c r="T14" s="11"/>
      <c r="U14" s="10"/>
      <c r="V14" s="11"/>
      <c r="W14" s="10"/>
      <c r="X14" s="11"/>
      <c r="Y14" s="10">
        <f>4874750</f>
        <v>4874750</v>
      </c>
      <c r="Z14" s="11"/>
      <c r="AA14" s="10">
        <f>2437375*2</f>
        <v>4874750</v>
      </c>
      <c r="AB14" s="10">
        <f t="shared" si="0"/>
        <v>19499000</v>
      </c>
      <c r="AC14" s="10">
        <f>E14+G14+I14+K14+M14+O14+Q14+S14+U14+AH14+W14+Y14+AA14</f>
        <v>17061625</v>
      </c>
      <c r="AD14" s="10">
        <f t="shared" si="2"/>
        <v>2437375</v>
      </c>
    </row>
    <row r="15" spans="1:30" x14ac:dyDescent="0.35">
      <c r="A15" s="20">
        <v>10</v>
      </c>
      <c r="B15" s="8" t="s">
        <v>125</v>
      </c>
      <c r="C15" s="8" t="s">
        <v>126</v>
      </c>
      <c r="D15" s="11"/>
      <c r="E15" s="10"/>
      <c r="F15" s="11"/>
      <c r="G15" s="10"/>
      <c r="H15" s="11"/>
      <c r="I15" s="10"/>
      <c r="J15" s="11"/>
      <c r="K15" s="10"/>
      <c r="L15" s="11">
        <v>5100000</v>
      </c>
      <c r="M15" s="10"/>
      <c r="N15" s="11"/>
      <c r="O15" s="10">
        <v>425000</v>
      </c>
      <c r="P15" s="11"/>
      <c r="Q15" s="10">
        <v>425000</v>
      </c>
      <c r="R15" s="11"/>
      <c r="S15" s="24">
        <v>425000</v>
      </c>
      <c r="T15" s="11"/>
      <c r="U15" s="24">
        <v>425000</v>
      </c>
      <c r="V15" s="11">
        <v>59640012</v>
      </c>
      <c r="W15" s="10">
        <v>3400000</v>
      </c>
      <c r="X15" s="11"/>
      <c r="Y15" s="10">
        <v>1656667</v>
      </c>
      <c r="Z15" s="11"/>
      <c r="AA15" s="10">
        <v>1656667</v>
      </c>
      <c r="AB15" s="10">
        <f t="shared" si="0"/>
        <v>64740012</v>
      </c>
      <c r="AC15" s="10">
        <f t="shared" si="1"/>
        <v>8413334</v>
      </c>
      <c r="AD15" s="10">
        <f t="shared" si="2"/>
        <v>56326678</v>
      </c>
    </row>
    <row r="16" spans="1:30" x14ac:dyDescent="0.35">
      <c r="A16" s="20">
        <v>11</v>
      </c>
      <c r="B16" s="8" t="s">
        <v>127</v>
      </c>
      <c r="C16" s="8" t="s">
        <v>128</v>
      </c>
      <c r="D16" s="11"/>
      <c r="E16" s="10"/>
      <c r="F16" s="11"/>
      <c r="G16" s="10"/>
      <c r="H16" s="11"/>
      <c r="I16" s="10"/>
      <c r="J16" s="11"/>
      <c r="K16" s="10"/>
      <c r="L16" s="11">
        <v>9798900</v>
      </c>
      <c r="M16" s="10"/>
      <c r="N16" s="11"/>
      <c r="O16" s="10">
        <v>1959780</v>
      </c>
      <c r="P16" s="11"/>
      <c r="Q16" s="10">
        <v>1959780</v>
      </c>
      <c r="R16" s="11"/>
      <c r="S16" s="24">
        <v>1959780</v>
      </c>
      <c r="T16" s="11"/>
      <c r="U16" s="24">
        <v>1959780</v>
      </c>
      <c r="V16" s="11"/>
      <c r="W16" s="24">
        <v>1959780</v>
      </c>
      <c r="X16" s="11"/>
      <c r="Y16" s="10"/>
      <c r="Z16" s="11"/>
      <c r="AA16" s="10"/>
      <c r="AB16" s="10">
        <f t="shared" si="0"/>
        <v>9798900</v>
      </c>
      <c r="AC16" s="10">
        <f t="shared" si="1"/>
        <v>9798900</v>
      </c>
      <c r="AD16" s="10">
        <f t="shared" si="2"/>
        <v>0</v>
      </c>
    </row>
    <row r="17" spans="1:30" x14ac:dyDescent="0.35">
      <c r="A17" s="20">
        <v>12</v>
      </c>
      <c r="B17" s="8" t="s">
        <v>129</v>
      </c>
      <c r="C17" s="8" t="s">
        <v>133</v>
      </c>
      <c r="D17" s="11"/>
      <c r="E17" s="10"/>
      <c r="F17" s="11"/>
      <c r="G17" s="10"/>
      <c r="H17" s="11"/>
      <c r="I17" s="10"/>
      <c r="J17" s="11">
        <v>24073930</v>
      </c>
      <c r="K17" s="10">
        <v>2407393</v>
      </c>
      <c r="L17" s="11">
        <f>4490800+1395000</f>
        <v>5885800</v>
      </c>
      <c r="M17" s="10">
        <v>2872393</v>
      </c>
      <c r="N17" s="11">
        <v>2463900</v>
      </c>
      <c r="O17" s="10">
        <v>3794253</v>
      </c>
      <c r="P17" s="11"/>
      <c r="Q17" s="10">
        <v>3794253</v>
      </c>
      <c r="R17" s="11">
        <v>19159875</v>
      </c>
      <c r="S17" s="10">
        <f>3329253+945560+3143560</f>
        <v>7418373</v>
      </c>
      <c r="T17" s="11">
        <v>7524666</v>
      </c>
      <c r="U17" s="10">
        <f>2508222+4004049</f>
        <v>6512271</v>
      </c>
      <c r="V17" s="11"/>
      <c r="W17" s="10">
        <f>2508222+4004049</f>
        <v>6512271</v>
      </c>
      <c r="X17" s="11"/>
      <c r="Y17" s="10">
        <f>2508222+4004049</f>
        <v>6512271</v>
      </c>
      <c r="Z17" s="11"/>
      <c r="AA17" s="10">
        <f>4004049+2407393</f>
        <v>6411442</v>
      </c>
      <c r="AB17" s="10">
        <f t="shared" si="0"/>
        <v>59108171</v>
      </c>
      <c r="AC17" s="10">
        <f t="shared" si="1"/>
        <v>46234920</v>
      </c>
      <c r="AD17" s="10">
        <f t="shared" si="2"/>
        <v>12873251</v>
      </c>
    </row>
    <row r="18" spans="1:30" x14ac:dyDescent="0.35">
      <c r="A18" s="20">
        <v>13</v>
      </c>
      <c r="B18" s="8" t="s">
        <v>130</v>
      </c>
      <c r="C18" s="8" t="s">
        <v>131</v>
      </c>
      <c r="D18" s="11"/>
      <c r="E18" s="10"/>
      <c r="F18" s="11"/>
      <c r="G18" s="10"/>
      <c r="H18" s="11"/>
      <c r="I18" s="10"/>
      <c r="J18" s="11"/>
      <c r="K18" s="10"/>
      <c r="L18" s="11">
        <v>1995000</v>
      </c>
      <c r="M18" s="10">
        <v>665000</v>
      </c>
      <c r="N18" s="11"/>
      <c r="O18" s="10">
        <v>665000</v>
      </c>
      <c r="P18" s="11"/>
      <c r="Q18" s="10">
        <v>665000</v>
      </c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0">
        <f t="shared" si="0"/>
        <v>1995000</v>
      </c>
      <c r="AC18" s="10">
        <f t="shared" si="1"/>
        <v>1995000</v>
      </c>
      <c r="AD18" s="10">
        <f t="shared" si="2"/>
        <v>0</v>
      </c>
    </row>
    <row r="19" spans="1:30" x14ac:dyDescent="0.35">
      <c r="A19" s="20">
        <v>14</v>
      </c>
      <c r="B19" s="8" t="s">
        <v>132</v>
      </c>
      <c r="C19" s="8" t="s">
        <v>131</v>
      </c>
      <c r="D19" s="11"/>
      <c r="E19" s="10"/>
      <c r="F19" s="11"/>
      <c r="G19" s="10"/>
      <c r="H19" s="11"/>
      <c r="I19" s="10"/>
      <c r="J19" s="11"/>
      <c r="K19" s="10"/>
      <c r="L19" s="11">
        <v>1550001</v>
      </c>
      <c r="M19" s="22">
        <v>516667</v>
      </c>
      <c r="N19" s="11"/>
      <c r="O19" s="22">
        <v>516667</v>
      </c>
      <c r="P19" s="11"/>
      <c r="Q19" s="22">
        <v>516667</v>
      </c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0">
        <f t="shared" si="0"/>
        <v>1550001</v>
      </c>
      <c r="AC19" s="10">
        <f t="shared" si="1"/>
        <v>1550001</v>
      </c>
      <c r="AD19" s="10">
        <f t="shared" si="2"/>
        <v>0</v>
      </c>
    </row>
    <row r="20" spans="1:30" x14ac:dyDescent="0.35">
      <c r="A20" s="20">
        <v>15</v>
      </c>
      <c r="B20" s="8" t="s">
        <v>144</v>
      </c>
      <c r="C20" s="8" t="s">
        <v>131</v>
      </c>
      <c r="D20" s="11"/>
      <c r="E20" s="10"/>
      <c r="F20" s="11"/>
      <c r="G20" s="10"/>
      <c r="H20" s="11"/>
      <c r="I20" s="10"/>
      <c r="J20" s="11"/>
      <c r="K20" s="10"/>
      <c r="L20" s="11">
        <v>2295000</v>
      </c>
      <c r="M20" s="10">
        <v>765000</v>
      </c>
      <c r="N20" s="11"/>
      <c r="O20" s="10">
        <v>765000</v>
      </c>
      <c r="P20" s="11"/>
      <c r="Q20" s="10">
        <v>765000</v>
      </c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0">
        <f t="shared" si="0"/>
        <v>2295000</v>
      </c>
      <c r="AC20" s="10">
        <f t="shared" si="1"/>
        <v>2295000</v>
      </c>
      <c r="AD20" s="10">
        <f t="shared" si="2"/>
        <v>0</v>
      </c>
    </row>
    <row r="21" spans="1:30" s="28" customFormat="1" x14ac:dyDescent="0.35">
      <c r="A21" s="25">
        <v>16</v>
      </c>
      <c r="B21" s="26" t="s">
        <v>149</v>
      </c>
      <c r="C21" s="26" t="s">
        <v>150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>
        <v>3711169</v>
      </c>
      <c r="Q21" s="27"/>
      <c r="R21" s="27"/>
      <c r="S21" s="27">
        <v>742234</v>
      </c>
      <c r="T21" s="27"/>
      <c r="U21" s="27">
        <f>2226702+742234</f>
        <v>2968936</v>
      </c>
      <c r="V21" s="27"/>
      <c r="W21" s="27"/>
      <c r="X21" s="27"/>
      <c r="Y21" s="27"/>
      <c r="Z21" s="27"/>
      <c r="AA21" s="27"/>
      <c r="AB21" s="27">
        <f>E48+G48+I48+K48+L21+N21+P21+R21+T21+V21+X21+Z21</f>
        <v>3861169</v>
      </c>
      <c r="AC21" s="27">
        <f>F48+H48+J48+L48+M21+O21+Q21+S21+U21+AH21+W21+Y21+AA21</f>
        <v>3861170</v>
      </c>
      <c r="AD21" s="27">
        <f t="shared" si="2"/>
        <v>-1</v>
      </c>
    </row>
    <row r="22" spans="1:30" x14ac:dyDescent="0.35">
      <c r="A22" s="20">
        <v>17</v>
      </c>
      <c r="B22" s="8" t="s">
        <v>151</v>
      </c>
      <c r="C22" s="8"/>
      <c r="D22" s="10"/>
      <c r="E22" s="10"/>
      <c r="F22" s="10"/>
      <c r="G22" s="10"/>
      <c r="H22" s="10"/>
      <c r="I22" s="10"/>
      <c r="J22" s="10"/>
      <c r="K22" s="10"/>
      <c r="L22" s="11"/>
      <c r="M22" s="10"/>
      <c r="N22" s="11"/>
      <c r="O22" s="10"/>
      <c r="P22" s="11"/>
      <c r="Q22" s="10"/>
      <c r="R22" s="11">
        <v>8947250</v>
      </c>
      <c r="S22" s="10">
        <v>4473625</v>
      </c>
      <c r="T22" s="11"/>
      <c r="U22" s="10">
        <v>4473625</v>
      </c>
      <c r="V22" s="11">
        <v>8279280</v>
      </c>
      <c r="W22" s="10"/>
      <c r="X22" s="11"/>
      <c r="Y22" s="10">
        <v>4139640</v>
      </c>
      <c r="Z22" s="11"/>
      <c r="AA22" s="10">
        <v>4139640</v>
      </c>
      <c r="AB22" s="10">
        <f>E49+G49+I49+K49+L22+N22+P22+R22+T22+V22+X22+Z22</f>
        <v>17226530</v>
      </c>
      <c r="AC22" s="10">
        <f>F49+H49+J49+L49+M22+O22+Q22+S22+U22+AH22+W22+Y22+AA22</f>
        <v>17226530</v>
      </c>
      <c r="AD22" s="10">
        <f t="shared" ref="AD22:AD24" si="3">AB22-AC22</f>
        <v>0</v>
      </c>
    </row>
    <row r="23" spans="1:30" x14ac:dyDescent="0.35">
      <c r="A23" s="20">
        <v>18</v>
      </c>
      <c r="B23" s="8" t="s">
        <v>153</v>
      </c>
      <c r="C23" s="8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11"/>
      <c r="O23" s="10"/>
      <c r="P23" s="11"/>
      <c r="Q23" s="10"/>
      <c r="R23" s="11">
        <v>818721</v>
      </c>
      <c r="S23" s="24">
        <v>272907</v>
      </c>
      <c r="T23" s="11"/>
      <c r="U23" s="24">
        <v>272907</v>
      </c>
      <c r="V23" s="11"/>
      <c r="W23" s="24">
        <v>272907</v>
      </c>
      <c r="X23" s="11"/>
      <c r="Y23" s="10"/>
      <c r="Z23" s="11"/>
      <c r="AA23" s="10"/>
      <c r="AB23" s="10">
        <f>E50+G50+I50+K50+L23+N23+P23+R23+T23+V23+X23+Z23</f>
        <v>818721</v>
      </c>
      <c r="AC23" s="10">
        <f>F50+H50+J50+L50+M23+O23+Q23+S23+U23+AH23+W23+Y23+AA23</f>
        <v>818721</v>
      </c>
      <c r="AD23" s="10">
        <f t="shared" si="3"/>
        <v>0</v>
      </c>
    </row>
    <row r="24" spans="1:30" x14ac:dyDescent="0.35">
      <c r="A24" s="20">
        <v>19</v>
      </c>
      <c r="B24" s="8" t="s">
        <v>152</v>
      </c>
      <c r="C24" s="8"/>
      <c r="D24" s="10"/>
      <c r="E24" s="10"/>
      <c r="F24" s="10"/>
      <c r="G24" s="10"/>
      <c r="H24" s="10"/>
      <c r="I24" s="10"/>
      <c r="J24" s="10"/>
      <c r="K24" s="10"/>
      <c r="L24" s="11"/>
      <c r="M24" s="10"/>
      <c r="N24" s="11"/>
      <c r="O24" s="10"/>
      <c r="P24" s="11"/>
      <c r="Q24" s="10"/>
      <c r="R24" s="11">
        <v>111180000</v>
      </c>
      <c r="S24" s="10">
        <v>13897500</v>
      </c>
      <c r="T24" s="11"/>
      <c r="U24" s="10">
        <v>13897500</v>
      </c>
      <c r="V24" s="11"/>
      <c r="W24" s="10">
        <v>13897500</v>
      </c>
      <c r="X24" s="11"/>
      <c r="Y24" s="10">
        <v>13897500</v>
      </c>
      <c r="Z24" s="11"/>
      <c r="AA24" s="10">
        <v>13897500</v>
      </c>
      <c r="AB24" s="10">
        <f>E51+G51+I51+K51+L24+N24+P24+R24+T24+V24+X24+Z24</f>
        <v>111180000</v>
      </c>
      <c r="AC24" s="10">
        <f>F51+H51+J51+L51+M24+O24+Q24+S24+U24+AH24+W24+Y24+AA24</f>
        <v>69487500</v>
      </c>
      <c r="AD24" s="10">
        <f t="shared" si="3"/>
        <v>41692500</v>
      </c>
    </row>
    <row r="25" spans="1:30" x14ac:dyDescent="0.35">
      <c r="A25" s="20">
        <v>20</v>
      </c>
      <c r="B25" s="8" t="s">
        <v>155</v>
      </c>
      <c r="C25" s="8"/>
      <c r="D25" s="11"/>
      <c r="E25" s="10"/>
      <c r="F25" s="11"/>
      <c r="G25" s="10"/>
      <c r="H25" s="11"/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>
        <v>10823856</v>
      </c>
      <c r="U25" s="10"/>
      <c r="V25" s="11"/>
      <c r="W25" s="10"/>
      <c r="X25" s="11"/>
      <c r="Y25" s="10"/>
      <c r="Z25" s="11"/>
      <c r="AA25" s="10">
        <f>901988*2</f>
        <v>1803976</v>
      </c>
      <c r="AB25" s="10">
        <f>E52+G52+I52+K52+L25+N25+P25+R25+T25+V25+X25+Z25</f>
        <v>10823856</v>
      </c>
      <c r="AC25" s="10">
        <f>F52+H52+J52+L52+M25+O25+Q25+S25+U25+AH25+W25+Y25+AA25</f>
        <v>1803976</v>
      </c>
      <c r="AD25" s="10">
        <f>AB25-AC25</f>
        <v>9019880</v>
      </c>
    </row>
    <row r="26" spans="1:30" x14ac:dyDescent="0.35">
      <c r="A26" s="20">
        <v>21</v>
      </c>
      <c r="B26" s="8" t="s">
        <v>156</v>
      </c>
      <c r="C26" s="8"/>
      <c r="D26" s="11"/>
      <c r="E26" s="10"/>
      <c r="F26" s="11"/>
      <c r="G26" s="10"/>
      <c r="H26" s="11"/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>
        <v>18442680</v>
      </c>
      <c r="AA26" s="10">
        <v>1536890</v>
      </c>
      <c r="AB26" s="10">
        <f>E53+G53+I53+K53+L26+N26+P26+R26+T26+V26+X26+Z26</f>
        <v>18442680</v>
      </c>
      <c r="AC26" s="10">
        <f>F53+H53+J53+L53+M26+O26+Q26+S26+U26+AH26+W26+Y26+AA26</f>
        <v>1536890</v>
      </c>
      <c r="AD26" s="10">
        <f>AB26-AC26</f>
        <v>16905790</v>
      </c>
    </row>
    <row r="27" spans="1:30" x14ac:dyDescent="0.35">
      <c r="A27" s="20"/>
      <c r="B27" s="8"/>
      <c r="C27" s="8"/>
      <c r="D27" s="18">
        <f t="shared" ref="D27:AA27" si="4">SUM(D6:D25)</f>
        <v>26699860</v>
      </c>
      <c r="E27" s="18">
        <f t="shared" si="4"/>
        <v>2679986</v>
      </c>
      <c r="F27" s="18">
        <f t="shared" si="4"/>
        <v>111550110</v>
      </c>
      <c r="G27" s="18">
        <f t="shared" si="4"/>
        <v>7644428</v>
      </c>
      <c r="H27" s="18">
        <f t="shared" si="4"/>
        <v>44424800</v>
      </c>
      <c r="I27" s="18">
        <f t="shared" si="4"/>
        <v>0</v>
      </c>
      <c r="J27" s="18">
        <f t="shared" si="4"/>
        <v>24073930</v>
      </c>
      <c r="K27" s="18">
        <f t="shared" si="4"/>
        <v>39956813</v>
      </c>
      <c r="L27" s="18">
        <f t="shared" si="4"/>
        <v>50673701</v>
      </c>
      <c r="M27" s="18">
        <f t="shared" si="4"/>
        <v>15897190</v>
      </c>
      <c r="N27" s="18">
        <f t="shared" si="4"/>
        <v>2463900</v>
      </c>
      <c r="O27" s="18">
        <f t="shared" si="4"/>
        <v>19203830</v>
      </c>
      <c r="P27" s="18">
        <f t="shared" si="4"/>
        <v>3711169</v>
      </c>
      <c r="Q27" s="18">
        <f t="shared" si="4"/>
        <v>21641205</v>
      </c>
      <c r="R27" s="18">
        <f t="shared" si="4"/>
        <v>148705845</v>
      </c>
      <c r="S27" s="18">
        <f t="shared" si="4"/>
        <v>46862299</v>
      </c>
      <c r="T27" s="18">
        <f>SUM(T6:T25)</f>
        <v>29186022</v>
      </c>
      <c r="U27" s="18">
        <f t="shared" si="4"/>
        <v>45252732</v>
      </c>
      <c r="V27" s="18">
        <f t="shared" si="4"/>
        <v>76213042</v>
      </c>
      <c r="W27" s="18">
        <f t="shared" si="4"/>
        <v>40785171</v>
      </c>
      <c r="X27" s="18">
        <f t="shared" si="4"/>
        <v>0</v>
      </c>
      <c r="Y27" s="18">
        <f t="shared" si="4"/>
        <v>46652916</v>
      </c>
      <c r="Z27" s="18">
        <f>SUM(Z6:Z26)</f>
        <v>25107680</v>
      </c>
      <c r="AA27" s="18">
        <f>SUM(AA6:AA26)</f>
        <v>47239467</v>
      </c>
      <c r="AB27" s="18">
        <f t="shared" ref="AB27:AD27" si="5">SUM(AB6:AB26)</f>
        <v>542960059</v>
      </c>
      <c r="AC27" s="18">
        <f t="shared" si="5"/>
        <v>333966037</v>
      </c>
      <c r="AD27" s="18">
        <f t="shared" si="5"/>
        <v>208994022</v>
      </c>
    </row>
    <row r="28" spans="1:30" x14ac:dyDescent="0.35">
      <c r="T28" s="9">
        <v>29186022</v>
      </c>
      <c r="U28" s="9">
        <v>45252732</v>
      </c>
      <c r="V28" s="9">
        <v>76213042</v>
      </c>
      <c r="W28" s="9">
        <v>40785171</v>
      </c>
      <c r="Y28" s="9">
        <v>46652916</v>
      </c>
      <c r="Z28" s="9">
        <v>25107680</v>
      </c>
      <c r="AA28" s="9">
        <v>47239467</v>
      </c>
      <c r="AB28" s="9">
        <v>542810059</v>
      </c>
      <c r="AC28" s="9">
        <v>333816037</v>
      </c>
      <c r="AD28" s="9">
        <v>208994022</v>
      </c>
    </row>
    <row r="29" spans="1:30" x14ac:dyDescent="0.35">
      <c r="T29" s="9">
        <f>T27-T28</f>
        <v>0</v>
      </c>
      <c r="U29" s="9">
        <f>U27-U28</f>
        <v>0</v>
      </c>
      <c r="V29" s="9">
        <f>V27-V28</f>
        <v>0</v>
      </c>
      <c r="W29" s="9">
        <f>W28-W27</f>
        <v>0</v>
      </c>
      <c r="X29" s="9">
        <f t="shared" ref="X29:AD29" si="6">X28-X27</f>
        <v>0</v>
      </c>
      <c r="Y29" s="9">
        <f t="shared" si="6"/>
        <v>0</v>
      </c>
      <c r="Z29" s="9">
        <f t="shared" si="6"/>
        <v>0</v>
      </c>
      <c r="AA29" s="9">
        <f t="shared" si="6"/>
        <v>0</v>
      </c>
      <c r="AB29" s="9">
        <f t="shared" si="6"/>
        <v>-150000</v>
      </c>
      <c r="AC29" s="9">
        <f t="shared" si="6"/>
        <v>-150000</v>
      </c>
      <c r="AD29" s="9">
        <f t="shared" si="6"/>
        <v>0</v>
      </c>
    </row>
    <row r="30" spans="1:30" x14ac:dyDescent="0.35">
      <c r="AA30" s="9" t="s">
        <v>154</v>
      </c>
    </row>
    <row r="34" spans="1:30" x14ac:dyDescent="0.35">
      <c r="B34" s="7" t="s">
        <v>145</v>
      </c>
    </row>
    <row r="35" spans="1:30" x14ac:dyDescent="0.35">
      <c r="B35" s="7" t="s">
        <v>146</v>
      </c>
    </row>
    <row r="36" spans="1:30" x14ac:dyDescent="0.35">
      <c r="B36" s="7" t="s">
        <v>140</v>
      </c>
    </row>
    <row r="37" spans="1:30" x14ac:dyDescent="0.35">
      <c r="B37" s="7" t="s">
        <v>141</v>
      </c>
    </row>
    <row r="40" spans="1:30" x14ac:dyDescent="0.35">
      <c r="A40" s="19" t="s">
        <v>147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2" spans="1:30" x14ac:dyDescent="0.35">
      <c r="A42" s="32" t="s">
        <v>96</v>
      </c>
      <c r="B42" s="32" t="s">
        <v>97</v>
      </c>
      <c r="C42" s="33" t="s">
        <v>110</v>
      </c>
      <c r="D42" s="37" t="s">
        <v>98</v>
      </c>
      <c r="E42" s="38"/>
      <c r="F42" s="35" t="s">
        <v>99</v>
      </c>
      <c r="G42" s="36"/>
      <c r="H42" s="35" t="s">
        <v>100</v>
      </c>
      <c r="I42" s="36"/>
      <c r="J42" s="35" t="s">
        <v>101</v>
      </c>
      <c r="K42" s="36"/>
      <c r="L42" s="35" t="s">
        <v>102</v>
      </c>
      <c r="M42" s="36"/>
      <c r="N42" s="35" t="s">
        <v>103</v>
      </c>
      <c r="O42" s="36"/>
      <c r="P42" s="35" t="s">
        <v>104</v>
      </c>
      <c r="Q42" s="36"/>
      <c r="R42" s="35" t="s">
        <v>105</v>
      </c>
      <c r="S42" s="36"/>
      <c r="T42" s="35" t="s">
        <v>106</v>
      </c>
      <c r="U42" s="36"/>
      <c r="V42" s="35" t="s">
        <v>107</v>
      </c>
      <c r="W42" s="36"/>
      <c r="X42" s="35" t="s">
        <v>108</v>
      </c>
      <c r="Y42" s="36"/>
      <c r="Z42" s="35" t="s">
        <v>135</v>
      </c>
      <c r="AA42" s="36"/>
      <c r="AB42" s="40" t="s">
        <v>142</v>
      </c>
      <c r="AC42" s="40" t="s">
        <v>143</v>
      </c>
      <c r="AD42" s="39" t="s">
        <v>109</v>
      </c>
    </row>
    <row r="43" spans="1:30" x14ac:dyDescent="0.35">
      <c r="A43" s="32"/>
      <c r="B43" s="32"/>
      <c r="C43" s="34"/>
      <c r="D43" s="13" t="s">
        <v>112</v>
      </c>
      <c r="E43" s="14" t="s">
        <v>113</v>
      </c>
      <c r="F43" s="13" t="s">
        <v>112</v>
      </c>
      <c r="G43" s="14" t="s">
        <v>113</v>
      </c>
      <c r="H43" s="13" t="s">
        <v>112</v>
      </c>
      <c r="I43" s="14" t="s">
        <v>113</v>
      </c>
      <c r="J43" s="13" t="s">
        <v>112</v>
      </c>
      <c r="K43" s="14" t="s">
        <v>113</v>
      </c>
      <c r="L43" s="13" t="s">
        <v>112</v>
      </c>
      <c r="M43" s="14" t="s">
        <v>113</v>
      </c>
      <c r="N43" s="13" t="s">
        <v>112</v>
      </c>
      <c r="O43" s="14" t="s">
        <v>113</v>
      </c>
      <c r="P43" s="13" t="s">
        <v>112</v>
      </c>
      <c r="Q43" s="14" t="s">
        <v>113</v>
      </c>
      <c r="R43" s="13" t="s">
        <v>112</v>
      </c>
      <c r="S43" s="14" t="s">
        <v>113</v>
      </c>
      <c r="T43" s="13" t="s">
        <v>112</v>
      </c>
      <c r="U43" s="14" t="s">
        <v>113</v>
      </c>
      <c r="V43" s="13" t="s">
        <v>112</v>
      </c>
      <c r="W43" s="14" t="s">
        <v>113</v>
      </c>
      <c r="X43" s="13" t="s">
        <v>112</v>
      </c>
      <c r="Y43" s="14" t="s">
        <v>113</v>
      </c>
      <c r="Z43" s="13" t="s">
        <v>112</v>
      </c>
      <c r="AA43" s="14" t="s">
        <v>113</v>
      </c>
      <c r="AB43" s="41"/>
      <c r="AC43" s="41"/>
      <c r="AD43" s="39"/>
    </row>
    <row r="44" spans="1:30" x14ac:dyDescent="0.35">
      <c r="A44" s="20">
        <v>17</v>
      </c>
      <c r="B44" s="8" t="s">
        <v>137</v>
      </c>
      <c r="C44" s="8" t="s">
        <v>139</v>
      </c>
      <c r="D44" s="11"/>
      <c r="E44" s="10"/>
      <c r="F44" s="11"/>
      <c r="G44" s="10"/>
      <c r="H44" s="11">
        <v>3419856</v>
      </c>
      <c r="I44" s="10"/>
      <c r="J44" s="11"/>
      <c r="K44" s="10">
        <v>1709928</v>
      </c>
      <c r="L44" s="11"/>
      <c r="M44" s="10">
        <v>1709928</v>
      </c>
      <c r="N44" s="11"/>
      <c r="O44" s="10"/>
      <c r="P44" s="11"/>
      <c r="Q44" s="10"/>
      <c r="R44" s="11"/>
      <c r="S44" s="10"/>
      <c r="T44" s="11"/>
      <c r="U44" s="10"/>
      <c r="V44" s="11"/>
      <c r="W44" s="10"/>
      <c r="X44" s="11"/>
      <c r="Y44" s="10"/>
      <c r="Z44" s="11"/>
      <c r="AA44" s="10"/>
      <c r="AB44" s="10">
        <f t="shared" ref="AB44" si="7">D44+F44+H44+J44+L44+N44+P44+R44+T44+V44+X44+Z44</f>
        <v>3419856</v>
      </c>
      <c r="AC44" s="10">
        <f t="shared" ref="AC44" si="8">E44+G44+I44+K44+M44+O44+Q44+S44+U44+AH44+W44+Y44+AA44</f>
        <v>3419856</v>
      </c>
      <c r="AD44" s="10">
        <f t="shared" ref="AD44" si="9">AB44-AC44</f>
        <v>0</v>
      </c>
    </row>
    <row r="45" spans="1:30" x14ac:dyDescent="0.35">
      <c r="A45" s="20"/>
      <c r="B45" s="8"/>
      <c r="C45" s="8"/>
      <c r="D45" s="18">
        <f t="shared" ref="D45:AD45" si="10">SUM(D44:D44)</f>
        <v>0</v>
      </c>
      <c r="E45" s="18">
        <f t="shared" si="10"/>
        <v>0</v>
      </c>
      <c r="F45" s="18">
        <f t="shared" si="10"/>
        <v>0</v>
      </c>
      <c r="G45" s="18">
        <f t="shared" si="10"/>
        <v>0</v>
      </c>
      <c r="H45" s="18">
        <f t="shared" si="10"/>
        <v>3419856</v>
      </c>
      <c r="I45" s="18">
        <f t="shared" si="10"/>
        <v>0</v>
      </c>
      <c r="J45" s="18">
        <f t="shared" si="10"/>
        <v>0</v>
      </c>
      <c r="K45" s="18">
        <f t="shared" si="10"/>
        <v>1709928</v>
      </c>
      <c r="L45" s="18">
        <f t="shared" si="10"/>
        <v>0</v>
      </c>
      <c r="M45" s="18">
        <f t="shared" si="10"/>
        <v>1709928</v>
      </c>
      <c r="N45" s="18">
        <f t="shared" si="10"/>
        <v>0</v>
      </c>
      <c r="O45" s="18">
        <f t="shared" si="10"/>
        <v>0</v>
      </c>
      <c r="P45" s="18">
        <f t="shared" si="10"/>
        <v>0</v>
      </c>
      <c r="Q45" s="18">
        <f t="shared" si="10"/>
        <v>0</v>
      </c>
      <c r="R45" s="18">
        <f t="shared" si="10"/>
        <v>0</v>
      </c>
      <c r="S45" s="18">
        <f t="shared" si="10"/>
        <v>0</v>
      </c>
      <c r="T45" s="18">
        <f t="shared" si="10"/>
        <v>0</v>
      </c>
      <c r="U45" s="18">
        <f t="shared" si="10"/>
        <v>0</v>
      </c>
      <c r="V45" s="18">
        <f t="shared" si="10"/>
        <v>0</v>
      </c>
      <c r="W45" s="18">
        <f t="shared" si="10"/>
        <v>0</v>
      </c>
      <c r="X45" s="18">
        <f t="shared" si="10"/>
        <v>0</v>
      </c>
      <c r="Y45" s="18">
        <f t="shared" si="10"/>
        <v>0</v>
      </c>
      <c r="Z45" s="18">
        <f t="shared" si="10"/>
        <v>0</v>
      </c>
      <c r="AA45" s="18">
        <f t="shared" si="10"/>
        <v>0</v>
      </c>
      <c r="AB45" s="18">
        <f t="shared" si="10"/>
        <v>3419856</v>
      </c>
      <c r="AC45" s="18">
        <f t="shared" si="10"/>
        <v>3419856</v>
      </c>
      <c r="AD45" s="18">
        <f t="shared" si="10"/>
        <v>0</v>
      </c>
    </row>
    <row r="48" spans="1:30" x14ac:dyDescent="0.35">
      <c r="B48" s="8">
        <v>16</v>
      </c>
      <c r="C48" s="8" t="s">
        <v>136</v>
      </c>
      <c r="D48" s="8" t="s">
        <v>138</v>
      </c>
      <c r="E48" s="11"/>
      <c r="F48" s="10"/>
      <c r="G48" s="11"/>
      <c r="H48" s="10"/>
      <c r="I48" s="11"/>
      <c r="J48" s="10"/>
      <c r="K48" s="11">
        <v>150000</v>
      </c>
      <c r="L48" s="10">
        <v>150000</v>
      </c>
    </row>
  </sheetData>
  <mergeCells count="36">
    <mergeCell ref="AB42:AB43"/>
    <mergeCell ref="AC42:AC43"/>
    <mergeCell ref="AD42:AD43"/>
    <mergeCell ref="R42:S42"/>
    <mergeCell ref="T42:U42"/>
    <mergeCell ref="V42:W42"/>
    <mergeCell ref="X42:Y42"/>
    <mergeCell ref="Z42:AA42"/>
    <mergeCell ref="H42:I42"/>
    <mergeCell ref="J42:K42"/>
    <mergeCell ref="L42:M42"/>
    <mergeCell ref="N42:O42"/>
    <mergeCell ref="P42:Q42"/>
    <mergeCell ref="A42:A43"/>
    <mergeCell ref="B42:B43"/>
    <mergeCell ref="C42:C43"/>
    <mergeCell ref="D42:E42"/>
    <mergeCell ref="F42:G42"/>
    <mergeCell ref="L4:M4"/>
    <mergeCell ref="AB4:AB5"/>
    <mergeCell ref="AC4:AC5"/>
    <mergeCell ref="Z4:AA4"/>
    <mergeCell ref="X4:Y4"/>
    <mergeCell ref="V4:W4"/>
    <mergeCell ref="AD4:AD5"/>
    <mergeCell ref="T4:U4"/>
    <mergeCell ref="R4:S4"/>
    <mergeCell ref="P4:Q4"/>
    <mergeCell ref="N4:O4"/>
    <mergeCell ref="B4:B5"/>
    <mergeCell ref="A4:A5"/>
    <mergeCell ref="C4:C5"/>
    <mergeCell ref="J4:K4"/>
    <mergeCell ref="H4:I4"/>
    <mergeCell ref="F4:G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</vt:lpstr>
      <vt:lpstr>Kertas 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shaida.tun@outlook.com</dc:creator>
  <cp:lastModifiedBy>Shaida tun</cp:lastModifiedBy>
  <dcterms:created xsi:type="dcterms:W3CDTF">2025-06-13T04:32:34Z</dcterms:created>
  <dcterms:modified xsi:type="dcterms:W3CDTF">2026-01-26T08:30:26Z</dcterms:modified>
</cp:coreProperties>
</file>