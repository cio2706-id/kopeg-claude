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dw\Downloads\"/>
    </mc:Choice>
  </mc:AlternateContent>
  <xr:revisionPtr revIDLastSave="0" documentId="8_{6730FBB8-5529-43D7-8DD7-AE45964F80FA}" xr6:coauthVersionLast="47" xr6:coauthVersionMax="47" xr10:uidLastSave="{00000000-0000-0000-0000-000000000000}"/>
  <bookViews>
    <workbookView xWindow="-110" yWindow="-110" windowWidth="19420" windowHeight="11020" xr2:uid="{58897A81-C657-496E-9E61-74DA2A5D359C}"/>
  </bookViews>
  <sheets>
    <sheet name="SIMPANAN DAN SHU 2024" sheetId="1" r:id="rId1"/>
  </sheets>
  <externalReferences>
    <externalReference r:id="rId2"/>
    <externalReference r:id="rId3"/>
  </externalReferences>
  <definedNames>
    <definedName name="_Fill" hidden="1">#REF!</definedName>
    <definedName name="_xlnm._FilterDatabase" localSheetId="0" hidden="1">'SIMPANAN DAN SHU 2024'!$A$6:$K$756</definedName>
    <definedName name="_Key1" hidden="1">#REF!</definedName>
    <definedName name="_muim" hidden="1">#REF!</definedName>
    <definedName name="_Order1" hidden="1">255</definedName>
    <definedName name="_Simpanan1" hidden="1">#REF!</definedName>
    <definedName name="_Sort" hidden="1">#REF!</definedName>
    <definedName name="hghgjh" hidden="1">#REF!</definedName>
    <definedName name="saiman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56" i="1" l="1"/>
  <c r="F756" i="1"/>
  <c r="J755" i="1"/>
  <c r="I754" i="1"/>
  <c r="I756" i="1" s="1"/>
  <c r="H754" i="1"/>
  <c r="H756" i="1" s="1"/>
  <c r="G754" i="1"/>
  <c r="F754" i="1"/>
  <c r="E754" i="1"/>
  <c r="E756" i="1" s="1"/>
  <c r="J756" i="1" s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K733" i="1"/>
  <c r="J733" i="1"/>
  <c r="K732" i="1"/>
  <c r="J732" i="1"/>
  <c r="K731" i="1"/>
  <c r="J731" i="1"/>
  <c r="K730" i="1"/>
  <c r="J730" i="1"/>
  <c r="K729" i="1"/>
  <c r="J729" i="1"/>
  <c r="J728" i="1"/>
  <c r="J727" i="1"/>
  <c r="K726" i="1"/>
  <c r="J726" i="1"/>
  <c r="K725" i="1"/>
  <c r="J725" i="1"/>
  <c r="J724" i="1"/>
  <c r="J723" i="1"/>
  <c r="J722" i="1"/>
  <c r="K721" i="1"/>
  <c r="J721" i="1"/>
  <c r="K720" i="1"/>
  <c r="J720" i="1"/>
  <c r="K719" i="1"/>
  <c r="J719" i="1"/>
  <c r="K718" i="1"/>
  <c r="J718" i="1"/>
  <c r="K717" i="1"/>
  <c r="J717" i="1"/>
  <c r="K716" i="1"/>
  <c r="J716" i="1"/>
  <c r="K715" i="1"/>
  <c r="J715" i="1"/>
  <c r="K714" i="1"/>
  <c r="J714" i="1"/>
  <c r="K713" i="1"/>
  <c r="J713" i="1"/>
  <c r="J712" i="1"/>
  <c r="K711" i="1"/>
  <c r="J711" i="1"/>
  <c r="K710" i="1"/>
  <c r="J710" i="1"/>
  <c r="K709" i="1"/>
  <c r="J709" i="1"/>
  <c r="K708" i="1"/>
  <c r="J708" i="1"/>
  <c r="K707" i="1"/>
  <c r="J707" i="1"/>
  <c r="K706" i="1"/>
  <c r="J706" i="1"/>
  <c r="K705" i="1"/>
  <c r="J705" i="1"/>
  <c r="K704" i="1"/>
  <c r="J704" i="1"/>
  <c r="K703" i="1"/>
  <c r="J703" i="1"/>
  <c r="K702" i="1"/>
  <c r="J702" i="1"/>
  <c r="K701" i="1"/>
  <c r="J701" i="1"/>
  <c r="K700" i="1"/>
  <c r="J700" i="1"/>
  <c r="K699" i="1"/>
  <c r="J699" i="1"/>
  <c r="K698" i="1"/>
  <c r="J698" i="1"/>
  <c r="K697" i="1"/>
  <c r="J697" i="1"/>
  <c r="K696" i="1"/>
  <c r="J696" i="1"/>
  <c r="K695" i="1"/>
  <c r="J695" i="1"/>
  <c r="K694" i="1"/>
  <c r="J694" i="1"/>
  <c r="K693" i="1"/>
  <c r="J693" i="1"/>
  <c r="K692" i="1"/>
  <c r="J692" i="1"/>
  <c r="K691" i="1"/>
  <c r="J691" i="1"/>
  <c r="K690" i="1"/>
  <c r="J690" i="1"/>
  <c r="K689" i="1"/>
  <c r="J689" i="1"/>
  <c r="K688" i="1"/>
  <c r="J688" i="1"/>
  <c r="K687" i="1"/>
  <c r="J687" i="1"/>
  <c r="J686" i="1"/>
  <c r="K685" i="1"/>
  <c r="J685" i="1"/>
  <c r="K684" i="1"/>
  <c r="J684" i="1"/>
  <c r="K683" i="1"/>
  <c r="J683" i="1"/>
  <c r="K682" i="1"/>
  <c r="J682" i="1"/>
  <c r="K681" i="1"/>
  <c r="J681" i="1"/>
  <c r="K680" i="1"/>
  <c r="J680" i="1"/>
  <c r="K679" i="1"/>
  <c r="J679" i="1"/>
  <c r="K678" i="1"/>
  <c r="J678" i="1"/>
  <c r="J677" i="1"/>
  <c r="K676" i="1"/>
  <c r="J676" i="1"/>
  <c r="K675" i="1"/>
  <c r="J675" i="1"/>
  <c r="K674" i="1"/>
  <c r="J674" i="1"/>
  <c r="K673" i="1"/>
  <c r="J673" i="1"/>
  <c r="K672" i="1"/>
  <c r="J672" i="1"/>
  <c r="K671" i="1"/>
  <c r="J671" i="1"/>
  <c r="K670" i="1"/>
  <c r="J670" i="1"/>
  <c r="K669" i="1"/>
  <c r="J669" i="1"/>
  <c r="K668" i="1"/>
  <c r="J668" i="1"/>
  <c r="K667" i="1"/>
  <c r="J667" i="1"/>
  <c r="K666" i="1"/>
  <c r="J666" i="1"/>
  <c r="K665" i="1"/>
  <c r="J665" i="1"/>
  <c r="K664" i="1"/>
  <c r="J664" i="1"/>
  <c r="K663" i="1"/>
  <c r="J663" i="1"/>
  <c r="K662" i="1"/>
  <c r="J662" i="1"/>
  <c r="J661" i="1"/>
  <c r="K660" i="1"/>
  <c r="J660" i="1"/>
  <c r="K659" i="1"/>
  <c r="J659" i="1"/>
  <c r="J658" i="1"/>
  <c r="K657" i="1"/>
  <c r="J657" i="1"/>
  <c r="K656" i="1"/>
  <c r="J656" i="1"/>
  <c r="K655" i="1"/>
  <c r="J655" i="1"/>
  <c r="K654" i="1"/>
  <c r="J654" i="1"/>
  <c r="K653" i="1"/>
  <c r="J653" i="1"/>
  <c r="K652" i="1"/>
  <c r="J652" i="1"/>
  <c r="K651" i="1"/>
  <c r="J651" i="1"/>
  <c r="K650" i="1"/>
  <c r="J650" i="1"/>
  <c r="K649" i="1"/>
  <c r="J649" i="1"/>
  <c r="K648" i="1"/>
  <c r="J648" i="1"/>
  <c r="K647" i="1"/>
  <c r="J647" i="1"/>
  <c r="K646" i="1"/>
  <c r="J646" i="1"/>
  <c r="K645" i="1"/>
  <c r="J645" i="1"/>
  <c r="K644" i="1"/>
  <c r="J644" i="1"/>
  <c r="K643" i="1"/>
  <c r="J643" i="1"/>
  <c r="K642" i="1"/>
  <c r="J642" i="1"/>
  <c r="K641" i="1"/>
  <c r="J641" i="1"/>
  <c r="K640" i="1"/>
  <c r="J640" i="1"/>
  <c r="K639" i="1"/>
  <c r="J639" i="1"/>
  <c r="K638" i="1"/>
  <c r="J638" i="1"/>
  <c r="K637" i="1"/>
  <c r="J637" i="1"/>
  <c r="K636" i="1"/>
  <c r="J636" i="1"/>
  <c r="K635" i="1"/>
  <c r="J635" i="1"/>
  <c r="K634" i="1"/>
  <c r="J634" i="1"/>
  <c r="K633" i="1"/>
  <c r="J633" i="1"/>
  <c r="K632" i="1"/>
  <c r="J632" i="1"/>
  <c r="K631" i="1"/>
  <c r="J631" i="1"/>
  <c r="K630" i="1"/>
  <c r="J630" i="1"/>
  <c r="K629" i="1"/>
  <c r="J629" i="1"/>
  <c r="K628" i="1"/>
  <c r="J628" i="1"/>
  <c r="K627" i="1"/>
  <c r="J627" i="1"/>
  <c r="K626" i="1"/>
  <c r="J626" i="1"/>
  <c r="K625" i="1"/>
  <c r="J625" i="1"/>
  <c r="K624" i="1"/>
  <c r="J624" i="1"/>
  <c r="J623" i="1"/>
  <c r="K622" i="1"/>
  <c r="J622" i="1"/>
  <c r="K621" i="1"/>
  <c r="J621" i="1"/>
  <c r="K620" i="1"/>
  <c r="J620" i="1"/>
  <c r="K619" i="1"/>
  <c r="J619" i="1"/>
  <c r="K618" i="1"/>
  <c r="J618" i="1"/>
  <c r="K617" i="1"/>
  <c r="J617" i="1"/>
  <c r="K616" i="1"/>
  <c r="J616" i="1"/>
  <c r="K615" i="1"/>
  <c r="J615" i="1"/>
  <c r="K614" i="1"/>
  <c r="J614" i="1"/>
  <c r="K613" i="1"/>
  <c r="J613" i="1"/>
  <c r="K612" i="1"/>
  <c r="J612" i="1"/>
  <c r="K611" i="1"/>
  <c r="J611" i="1"/>
  <c r="K610" i="1"/>
  <c r="J610" i="1"/>
  <c r="K609" i="1"/>
  <c r="J609" i="1"/>
  <c r="J608" i="1"/>
  <c r="K607" i="1"/>
  <c r="J607" i="1"/>
  <c r="K606" i="1"/>
  <c r="J606" i="1"/>
  <c r="K605" i="1"/>
  <c r="J605" i="1"/>
  <c r="K604" i="1"/>
  <c r="J604" i="1"/>
  <c r="K603" i="1"/>
  <c r="J603" i="1"/>
  <c r="K602" i="1"/>
  <c r="J602" i="1"/>
  <c r="K601" i="1"/>
  <c r="J601" i="1"/>
  <c r="K600" i="1"/>
  <c r="J600" i="1"/>
  <c r="K599" i="1"/>
  <c r="J599" i="1"/>
  <c r="K598" i="1"/>
  <c r="J598" i="1"/>
  <c r="K597" i="1"/>
  <c r="J597" i="1"/>
  <c r="K596" i="1"/>
  <c r="J596" i="1"/>
  <c r="K595" i="1"/>
  <c r="J595" i="1"/>
  <c r="K594" i="1"/>
  <c r="J594" i="1"/>
  <c r="K593" i="1"/>
  <c r="J593" i="1"/>
  <c r="K592" i="1"/>
  <c r="J592" i="1"/>
  <c r="K591" i="1"/>
  <c r="J591" i="1"/>
  <c r="K590" i="1"/>
  <c r="J590" i="1"/>
  <c r="K589" i="1"/>
  <c r="J589" i="1"/>
  <c r="K588" i="1"/>
  <c r="J588" i="1"/>
  <c r="K587" i="1"/>
  <c r="J587" i="1"/>
  <c r="J586" i="1"/>
  <c r="K585" i="1"/>
  <c r="J585" i="1"/>
  <c r="K584" i="1"/>
  <c r="J584" i="1"/>
  <c r="K583" i="1"/>
  <c r="J583" i="1"/>
  <c r="K582" i="1"/>
  <c r="J582" i="1"/>
  <c r="K581" i="1"/>
  <c r="J581" i="1"/>
  <c r="K580" i="1"/>
  <c r="J580" i="1"/>
  <c r="J579" i="1"/>
  <c r="K578" i="1"/>
  <c r="J578" i="1"/>
  <c r="K577" i="1"/>
  <c r="J577" i="1"/>
  <c r="K576" i="1"/>
  <c r="J576" i="1"/>
  <c r="K575" i="1"/>
  <c r="J575" i="1"/>
  <c r="K574" i="1"/>
  <c r="J574" i="1"/>
  <c r="K573" i="1"/>
  <c r="J573" i="1"/>
  <c r="K572" i="1"/>
  <c r="J572" i="1"/>
  <c r="K571" i="1"/>
  <c r="J571" i="1"/>
  <c r="K570" i="1"/>
  <c r="J570" i="1"/>
  <c r="K569" i="1"/>
  <c r="J569" i="1"/>
  <c r="K568" i="1"/>
  <c r="J568" i="1"/>
  <c r="K567" i="1"/>
  <c r="J567" i="1"/>
  <c r="K566" i="1"/>
  <c r="J566" i="1"/>
  <c r="K565" i="1"/>
  <c r="J565" i="1"/>
  <c r="K564" i="1"/>
  <c r="J564" i="1"/>
  <c r="K563" i="1"/>
  <c r="J563" i="1"/>
  <c r="K562" i="1"/>
  <c r="J562" i="1"/>
  <c r="K561" i="1"/>
  <c r="J561" i="1"/>
  <c r="K560" i="1"/>
  <c r="J560" i="1"/>
  <c r="K559" i="1"/>
  <c r="J559" i="1"/>
  <c r="K558" i="1"/>
  <c r="J558" i="1"/>
  <c r="K557" i="1"/>
  <c r="J557" i="1"/>
  <c r="K556" i="1"/>
  <c r="J556" i="1"/>
  <c r="K555" i="1"/>
  <c r="J555" i="1"/>
  <c r="K554" i="1"/>
  <c r="J554" i="1"/>
  <c r="K553" i="1"/>
  <c r="J553" i="1"/>
  <c r="K552" i="1"/>
  <c r="J552" i="1"/>
  <c r="K551" i="1"/>
  <c r="J551" i="1"/>
  <c r="K550" i="1"/>
  <c r="J550" i="1"/>
  <c r="K549" i="1"/>
  <c r="J549" i="1"/>
  <c r="K548" i="1"/>
  <c r="J548" i="1"/>
  <c r="K547" i="1"/>
  <c r="J547" i="1"/>
  <c r="K546" i="1"/>
  <c r="J546" i="1"/>
  <c r="K545" i="1"/>
  <c r="J545" i="1"/>
  <c r="K544" i="1"/>
  <c r="J544" i="1"/>
  <c r="K543" i="1"/>
  <c r="J543" i="1"/>
  <c r="K542" i="1"/>
  <c r="J542" i="1"/>
  <c r="K541" i="1"/>
  <c r="J541" i="1"/>
  <c r="K540" i="1"/>
  <c r="J540" i="1"/>
  <c r="K539" i="1"/>
  <c r="J539" i="1"/>
  <c r="K538" i="1"/>
  <c r="J538" i="1"/>
  <c r="K537" i="1"/>
  <c r="J537" i="1"/>
  <c r="K536" i="1"/>
  <c r="J536" i="1"/>
  <c r="K535" i="1"/>
  <c r="J535" i="1"/>
  <c r="K534" i="1"/>
  <c r="J534" i="1"/>
  <c r="K533" i="1"/>
  <c r="J533" i="1"/>
  <c r="K532" i="1"/>
  <c r="J532" i="1"/>
  <c r="K531" i="1"/>
  <c r="J531" i="1"/>
  <c r="K530" i="1"/>
  <c r="J530" i="1"/>
  <c r="K529" i="1"/>
  <c r="J529" i="1"/>
  <c r="K528" i="1"/>
  <c r="J528" i="1"/>
  <c r="K527" i="1"/>
  <c r="J527" i="1"/>
  <c r="K526" i="1"/>
  <c r="J526" i="1"/>
  <c r="K525" i="1"/>
  <c r="J525" i="1"/>
  <c r="K524" i="1"/>
  <c r="J524" i="1"/>
  <c r="K523" i="1"/>
  <c r="J523" i="1"/>
  <c r="K522" i="1"/>
  <c r="J522" i="1"/>
  <c r="K521" i="1"/>
  <c r="J521" i="1"/>
  <c r="K520" i="1"/>
  <c r="J520" i="1"/>
  <c r="K519" i="1"/>
  <c r="J519" i="1"/>
  <c r="K518" i="1"/>
  <c r="J518" i="1"/>
  <c r="K517" i="1"/>
  <c r="J517" i="1"/>
  <c r="J516" i="1"/>
  <c r="K515" i="1"/>
  <c r="J515" i="1"/>
  <c r="K514" i="1"/>
  <c r="J514" i="1"/>
  <c r="K513" i="1"/>
  <c r="J513" i="1"/>
  <c r="K512" i="1"/>
  <c r="J512" i="1"/>
  <c r="K511" i="1"/>
  <c r="J511" i="1"/>
  <c r="K510" i="1"/>
  <c r="J510" i="1"/>
  <c r="K509" i="1"/>
  <c r="J509" i="1"/>
  <c r="K508" i="1"/>
  <c r="J508" i="1"/>
  <c r="K507" i="1"/>
  <c r="J507" i="1"/>
  <c r="K506" i="1"/>
  <c r="J506" i="1"/>
  <c r="K505" i="1"/>
  <c r="J505" i="1"/>
  <c r="K504" i="1"/>
  <c r="J504" i="1"/>
  <c r="K503" i="1"/>
  <c r="J503" i="1"/>
  <c r="K502" i="1"/>
  <c r="J502" i="1"/>
  <c r="K501" i="1"/>
  <c r="J501" i="1"/>
  <c r="K500" i="1"/>
  <c r="J500" i="1"/>
  <c r="K499" i="1"/>
  <c r="J499" i="1"/>
  <c r="K498" i="1"/>
  <c r="J498" i="1"/>
  <c r="K497" i="1"/>
  <c r="J497" i="1"/>
  <c r="K496" i="1"/>
  <c r="J496" i="1"/>
  <c r="K495" i="1"/>
  <c r="J495" i="1"/>
  <c r="K494" i="1"/>
  <c r="J494" i="1"/>
  <c r="K493" i="1"/>
  <c r="J493" i="1"/>
  <c r="K492" i="1"/>
  <c r="J492" i="1"/>
  <c r="J491" i="1"/>
  <c r="K490" i="1"/>
  <c r="J490" i="1"/>
  <c r="K489" i="1"/>
  <c r="J489" i="1"/>
  <c r="K488" i="1"/>
  <c r="J488" i="1"/>
  <c r="K487" i="1"/>
  <c r="J487" i="1"/>
  <c r="J486" i="1"/>
  <c r="K485" i="1"/>
  <c r="J485" i="1"/>
  <c r="K484" i="1"/>
  <c r="J484" i="1"/>
  <c r="K483" i="1"/>
  <c r="J483" i="1"/>
  <c r="K482" i="1"/>
  <c r="J482" i="1"/>
  <c r="K481" i="1"/>
  <c r="J481" i="1"/>
  <c r="K480" i="1"/>
  <c r="J480" i="1"/>
  <c r="K479" i="1"/>
  <c r="J479" i="1"/>
  <c r="K478" i="1"/>
  <c r="J478" i="1"/>
  <c r="J477" i="1"/>
  <c r="K476" i="1"/>
  <c r="J476" i="1"/>
  <c r="K475" i="1"/>
  <c r="J475" i="1"/>
  <c r="K474" i="1"/>
  <c r="J474" i="1"/>
  <c r="K473" i="1"/>
  <c r="J473" i="1"/>
  <c r="K472" i="1"/>
  <c r="J472" i="1"/>
  <c r="K471" i="1"/>
  <c r="J471" i="1"/>
  <c r="K470" i="1"/>
  <c r="J470" i="1"/>
  <c r="K469" i="1"/>
  <c r="J469" i="1"/>
  <c r="K468" i="1"/>
  <c r="J468" i="1"/>
  <c r="K467" i="1"/>
  <c r="J467" i="1"/>
  <c r="K466" i="1"/>
  <c r="J466" i="1"/>
  <c r="K465" i="1"/>
  <c r="J465" i="1"/>
  <c r="J464" i="1"/>
  <c r="K463" i="1"/>
  <c r="J463" i="1"/>
  <c r="K462" i="1"/>
  <c r="J462" i="1"/>
  <c r="K461" i="1"/>
  <c r="J461" i="1"/>
  <c r="K460" i="1"/>
  <c r="J460" i="1"/>
  <c r="K459" i="1"/>
  <c r="J459" i="1"/>
  <c r="K458" i="1"/>
  <c r="J458" i="1"/>
  <c r="K457" i="1"/>
  <c r="J457" i="1"/>
  <c r="K456" i="1"/>
  <c r="J456" i="1"/>
  <c r="K455" i="1"/>
  <c r="J455" i="1"/>
  <c r="K454" i="1"/>
  <c r="J454" i="1"/>
  <c r="K453" i="1"/>
  <c r="J453" i="1"/>
  <c r="K452" i="1"/>
  <c r="J452" i="1"/>
  <c r="K451" i="1"/>
  <c r="J451" i="1"/>
  <c r="K450" i="1"/>
  <c r="J450" i="1"/>
  <c r="K449" i="1"/>
  <c r="J449" i="1"/>
  <c r="K448" i="1"/>
  <c r="J448" i="1"/>
  <c r="K447" i="1"/>
  <c r="J447" i="1"/>
  <c r="K446" i="1"/>
  <c r="J446" i="1"/>
  <c r="K445" i="1"/>
  <c r="J445" i="1"/>
  <c r="K444" i="1"/>
  <c r="J444" i="1"/>
  <c r="K443" i="1"/>
  <c r="J443" i="1"/>
  <c r="K442" i="1"/>
  <c r="J442" i="1"/>
  <c r="K441" i="1"/>
  <c r="J441" i="1"/>
  <c r="K440" i="1"/>
  <c r="J440" i="1"/>
  <c r="K439" i="1"/>
  <c r="J439" i="1"/>
  <c r="K438" i="1"/>
  <c r="J438" i="1"/>
  <c r="K437" i="1"/>
  <c r="J437" i="1"/>
  <c r="K436" i="1"/>
  <c r="J436" i="1"/>
  <c r="K435" i="1"/>
  <c r="J435" i="1"/>
  <c r="K434" i="1"/>
  <c r="J434" i="1"/>
  <c r="K433" i="1"/>
  <c r="J433" i="1"/>
  <c r="K432" i="1"/>
  <c r="J432" i="1"/>
  <c r="K431" i="1"/>
  <c r="J431" i="1"/>
  <c r="K430" i="1"/>
  <c r="J430" i="1"/>
  <c r="K429" i="1"/>
  <c r="J429" i="1"/>
  <c r="K428" i="1"/>
  <c r="J428" i="1"/>
  <c r="K427" i="1"/>
  <c r="J427" i="1"/>
  <c r="K426" i="1"/>
  <c r="J426" i="1"/>
  <c r="K425" i="1"/>
  <c r="J425" i="1"/>
  <c r="K424" i="1"/>
  <c r="J424" i="1"/>
  <c r="K423" i="1"/>
  <c r="J423" i="1"/>
  <c r="K422" i="1"/>
  <c r="J422" i="1"/>
  <c r="K421" i="1"/>
  <c r="J421" i="1"/>
  <c r="K420" i="1"/>
  <c r="J420" i="1"/>
  <c r="K419" i="1"/>
  <c r="J419" i="1"/>
  <c r="K418" i="1"/>
  <c r="J418" i="1"/>
  <c r="K417" i="1"/>
  <c r="J417" i="1"/>
  <c r="K416" i="1"/>
  <c r="J416" i="1"/>
  <c r="K415" i="1"/>
  <c r="J415" i="1"/>
  <c r="K414" i="1"/>
  <c r="J414" i="1"/>
  <c r="J413" i="1"/>
  <c r="K412" i="1"/>
  <c r="J412" i="1"/>
  <c r="K411" i="1"/>
  <c r="J411" i="1"/>
  <c r="K410" i="1"/>
  <c r="J410" i="1"/>
  <c r="J409" i="1"/>
  <c r="K408" i="1"/>
  <c r="J408" i="1"/>
  <c r="K407" i="1"/>
  <c r="J407" i="1"/>
  <c r="K406" i="1"/>
  <c r="J406" i="1"/>
  <c r="K405" i="1"/>
  <c r="J405" i="1"/>
  <c r="K404" i="1"/>
  <c r="J404" i="1"/>
  <c r="K403" i="1"/>
  <c r="J403" i="1"/>
  <c r="K402" i="1"/>
  <c r="J402" i="1"/>
  <c r="K401" i="1"/>
  <c r="J401" i="1"/>
  <c r="K400" i="1"/>
  <c r="J400" i="1"/>
  <c r="K399" i="1"/>
  <c r="J399" i="1"/>
  <c r="K398" i="1"/>
  <c r="J398" i="1"/>
  <c r="J397" i="1"/>
  <c r="K396" i="1"/>
  <c r="J396" i="1"/>
  <c r="K395" i="1"/>
  <c r="J395" i="1"/>
  <c r="K394" i="1"/>
  <c r="J394" i="1"/>
  <c r="K393" i="1"/>
  <c r="J393" i="1"/>
  <c r="K392" i="1"/>
  <c r="J392" i="1"/>
  <c r="K391" i="1"/>
  <c r="J391" i="1"/>
  <c r="K390" i="1"/>
  <c r="J390" i="1"/>
  <c r="K389" i="1"/>
  <c r="J389" i="1"/>
  <c r="K388" i="1"/>
  <c r="J388" i="1"/>
  <c r="J387" i="1"/>
  <c r="K386" i="1"/>
  <c r="J386" i="1"/>
  <c r="K385" i="1"/>
  <c r="J385" i="1"/>
  <c r="K384" i="1"/>
  <c r="J384" i="1"/>
  <c r="K383" i="1"/>
  <c r="J383" i="1"/>
  <c r="K382" i="1"/>
  <c r="J382" i="1"/>
  <c r="K381" i="1"/>
  <c r="J381" i="1"/>
  <c r="J380" i="1"/>
  <c r="K379" i="1"/>
  <c r="J379" i="1"/>
  <c r="K378" i="1"/>
  <c r="J378" i="1"/>
  <c r="K377" i="1"/>
  <c r="J377" i="1"/>
  <c r="K376" i="1"/>
  <c r="J376" i="1"/>
  <c r="K375" i="1"/>
  <c r="J375" i="1"/>
  <c r="K374" i="1"/>
  <c r="J374" i="1"/>
  <c r="K373" i="1"/>
  <c r="J373" i="1"/>
  <c r="K372" i="1"/>
  <c r="J372" i="1"/>
  <c r="K371" i="1"/>
  <c r="J371" i="1"/>
  <c r="K370" i="1"/>
  <c r="J370" i="1"/>
  <c r="K369" i="1"/>
  <c r="J369" i="1"/>
  <c r="K368" i="1"/>
  <c r="J368" i="1"/>
  <c r="J367" i="1"/>
  <c r="K366" i="1"/>
  <c r="J366" i="1"/>
  <c r="K365" i="1"/>
  <c r="J365" i="1"/>
  <c r="J364" i="1"/>
  <c r="K363" i="1"/>
  <c r="J363" i="1"/>
  <c r="K362" i="1"/>
  <c r="J362" i="1"/>
  <c r="K361" i="1"/>
  <c r="J361" i="1"/>
  <c r="K360" i="1"/>
  <c r="J360" i="1"/>
  <c r="K359" i="1"/>
  <c r="J359" i="1"/>
  <c r="K358" i="1"/>
  <c r="J358" i="1"/>
  <c r="J357" i="1"/>
  <c r="K356" i="1"/>
  <c r="J356" i="1"/>
  <c r="K355" i="1"/>
  <c r="J355" i="1"/>
  <c r="K354" i="1"/>
  <c r="J354" i="1"/>
  <c r="J353" i="1"/>
  <c r="K352" i="1"/>
  <c r="J352" i="1"/>
  <c r="K351" i="1"/>
  <c r="J351" i="1"/>
  <c r="K350" i="1"/>
  <c r="J350" i="1"/>
  <c r="K349" i="1"/>
  <c r="J349" i="1"/>
  <c r="K348" i="1"/>
  <c r="J348" i="1"/>
  <c r="K347" i="1"/>
  <c r="J347" i="1"/>
  <c r="J346" i="1"/>
  <c r="K345" i="1"/>
  <c r="J345" i="1"/>
  <c r="K344" i="1"/>
  <c r="J344" i="1"/>
  <c r="J343" i="1"/>
  <c r="K342" i="1"/>
  <c r="J342" i="1"/>
  <c r="K341" i="1"/>
  <c r="J341" i="1"/>
  <c r="K340" i="1"/>
  <c r="J340" i="1"/>
  <c r="J339" i="1"/>
  <c r="K338" i="1"/>
  <c r="J338" i="1"/>
  <c r="K337" i="1"/>
  <c r="J337" i="1"/>
  <c r="K336" i="1"/>
  <c r="J336" i="1"/>
  <c r="K335" i="1"/>
  <c r="J335" i="1"/>
  <c r="K334" i="1"/>
  <c r="J334" i="1"/>
  <c r="K333" i="1"/>
  <c r="J333" i="1"/>
  <c r="J332" i="1"/>
  <c r="K331" i="1"/>
  <c r="J331" i="1"/>
  <c r="K330" i="1"/>
  <c r="J330" i="1"/>
  <c r="K329" i="1"/>
  <c r="J329" i="1"/>
  <c r="K328" i="1"/>
  <c r="J328" i="1"/>
  <c r="K327" i="1"/>
  <c r="J327" i="1"/>
  <c r="K326" i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J288" i="1"/>
  <c r="K287" i="1"/>
  <c r="J287" i="1"/>
  <c r="K286" i="1"/>
  <c r="J286" i="1"/>
  <c r="J285" i="1"/>
  <c r="K284" i="1"/>
  <c r="J284" i="1"/>
  <c r="K283" i="1"/>
  <c r="J283" i="1"/>
  <c r="K282" i="1"/>
  <c r="J282" i="1"/>
  <c r="J281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J260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8" i="1"/>
  <c r="J208" i="1"/>
  <c r="K207" i="1"/>
  <c r="J207" i="1"/>
  <c r="K206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J195" i="1"/>
  <c r="K194" i="1"/>
  <c r="J194" i="1"/>
  <c r="K193" i="1"/>
  <c r="J193" i="1"/>
  <c r="K192" i="1"/>
  <c r="J192" i="1"/>
  <c r="K191" i="1"/>
  <c r="J191" i="1"/>
  <c r="J190" i="1"/>
  <c r="K189" i="1"/>
  <c r="J189" i="1"/>
  <c r="K188" i="1"/>
  <c r="J188" i="1"/>
  <c r="J187" i="1"/>
  <c r="K186" i="1"/>
  <c r="J186" i="1"/>
  <c r="K185" i="1"/>
  <c r="J185" i="1"/>
  <c r="K184" i="1"/>
  <c r="J184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J23" i="1"/>
  <c r="K22" i="1"/>
  <c r="J22" i="1"/>
  <c r="K21" i="1"/>
  <c r="J21" i="1"/>
  <c r="K20" i="1"/>
  <c r="J20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J75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KOPERASI</author>
  </authors>
  <commentList>
    <comment ref="C359" authorId="0" shapeId="0" xr:uid="{5E129483-7008-47C4-BEED-94D9D1338CB6}">
      <text>
        <r>
          <rPr>
            <b/>
            <sz val="20"/>
            <color indexed="81"/>
            <rFont val="Tahoma"/>
            <family val="2"/>
          </rPr>
          <t>KOPERASI:</t>
        </r>
        <r>
          <rPr>
            <sz val="20"/>
            <color indexed="81"/>
            <rFont val="Tahoma"/>
            <family val="2"/>
          </rPr>
          <t xml:space="preserve">
syarif ir dan syarif nuhung</t>
        </r>
      </text>
    </comment>
    <comment ref="B401" authorId="0" shapeId="0" xr:uid="{78528601-7E8A-4A3A-A6DF-7B795FE2D53D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000636&amp;000622</t>
        </r>
      </text>
    </comment>
    <comment ref="B429" authorId="0" shapeId="0" xr:uid="{962F4691-DA45-43F7-BDA4-E9EC04038416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000679 &amp; 000726</t>
        </r>
      </text>
    </comment>
    <comment ref="B494" authorId="0" shapeId="0" xr:uid="{7107FF89-E6D3-42BC-9193-0AC520444B18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000850 &amp; 000788
</t>
        </r>
      </text>
    </comment>
    <comment ref="B506" authorId="0" shapeId="0" xr:uid="{ABE07074-6986-443F-ACDB-9F8D8DB49950}">
      <text>
        <r>
          <rPr>
            <b/>
            <sz val="9"/>
            <color indexed="81"/>
            <rFont val="Tahoma"/>
            <family val="2"/>
          </rPr>
          <t>KOPERASI:</t>
        </r>
        <r>
          <rPr>
            <sz val="9"/>
            <color indexed="81"/>
            <rFont val="Tahoma"/>
            <family val="2"/>
          </rPr>
          <t xml:space="preserve">
ada 2 akun 000805 &amp;000853</t>
        </r>
      </text>
    </comment>
  </commentList>
</comments>
</file>

<file path=xl/sharedStrings.xml><?xml version="1.0" encoding="utf-8"?>
<sst xmlns="http://schemas.openxmlformats.org/spreadsheetml/2006/main" count="2302" uniqueCount="1575">
  <si>
    <t xml:space="preserve">DAFTAR SALDO SIMPANAN ANGGOTA </t>
  </si>
  <si>
    <t>KOPERASI PEGAWAI BIRO KLASIFIKASI INDONESIA</t>
  </si>
  <si>
    <t>TAHUN 2024</t>
  </si>
  <si>
    <t>NO.</t>
  </si>
  <si>
    <t>NO. ANGGOTA</t>
  </si>
  <si>
    <t>NAMA ANGGOTA</t>
  </si>
  <si>
    <t>UNIT KERJA</t>
  </si>
  <si>
    <t>JUMLAH SIMPANAN ANGGOTA TAHUN 2024</t>
  </si>
  <si>
    <t>STATUS</t>
  </si>
  <si>
    <t>POKOK</t>
  </si>
  <si>
    <t>WAJIB</t>
  </si>
  <si>
    <t>KHUSUS</t>
  </si>
  <si>
    <t>SUKARELA</t>
  </si>
  <si>
    <t>SHU</t>
  </si>
  <si>
    <t>JUMLAH</t>
  </si>
  <si>
    <t>000001</t>
  </si>
  <si>
    <t>Aan Agus F, Amd.</t>
  </si>
  <si>
    <t>SBC</t>
  </si>
  <si>
    <t>000002</t>
  </si>
  <si>
    <t>Abdul Ghofar, Ir</t>
  </si>
  <si>
    <t>DOC</t>
  </si>
  <si>
    <t>000003</t>
  </si>
  <si>
    <t>Abdul Hadi</t>
  </si>
  <si>
    <t>000006</t>
  </si>
  <si>
    <t>Abu Kasim Usman</t>
  </si>
  <si>
    <t>SB</t>
  </si>
  <si>
    <t>000009</t>
  </si>
  <si>
    <t>Achmad</t>
  </si>
  <si>
    <t>PUMA</t>
  </si>
  <si>
    <t>000013</t>
  </si>
  <si>
    <t>Achmad Muslim, Ir</t>
  </si>
  <si>
    <t>HCTIO</t>
  </si>
  <si>
    <t>000014</t>
  </si>
  <si>
    <t>Achmad Suseno, Ir</t>
  </si>
  <si>
    <t>R&amp;P</t>
  </si>
  <si>
    <t>000015</t>
  </si>
  <si>
    <t>Achmad Tawakkal</t>
  </si>
  <si>
    <t>000018</t>
  </si>
  <si>
    <t>Ade Prihadi</t>
  </si>
  <si>
    <t>CG</t>
  </si>
  <si>
    <t>000019</t>
  </si>
  <si>
    <t>Ade Sugandi</t>
  </si>
  <si>
    <t>-</t>
  </si>
  <si>
    <t>000020</t>
  </si>
  <si>
    <t>Adhitama Rama, ST.</t>
  </si>
  <si>
    <t>PHP</t>
  </si>
  <si>
    <t>000021</t>
  </si>
  <si>
    <t>Adi Iman Patria, B.Sc.</t>
  </si>
  <si>
    <t>HC&amp;L</t>
  </si>
  <si>
    <t>BUKAN ANGGOTA</t>
  </si>
  <si>
    <t>000025</t>
  </si>
  <si>
    <t>Aditia Warman</t>
  </si>
  <si>
    <t>000026</t>
  </si>
  <si>
    <t>Aditya Trisandriya P, ST</t>
  </si>
  <si>
    <t>STA</t>
  </si>
  <si>
    <t>000027</t>
  </si>
  <si>
    <t>Afrizal</t>
  </si>
  <si>
    <t>000029</t>
  </si>
  <si>
    <t>Agung Budi Arnanto. s. Com</t>
  </si>
  <si>
    <t>PU</t>
  </si>
  <si>
    <t>000030</t>
  </si>
  <si>
    <t>Agung Prihanto, Ir</t>
  </si>
  <si>
    <t>000031</t>
  </si>
  <si>
    <t>Agung Wicaksono, Ir</t>
  </si>
  <si>
    <t>000032</t>
  </si>
  <si>
    <t xml:space="preserve">Agus Siswoko  Ir </t>
  </si>
  <si>
    <t>PRB</t>
  </si>
  <si>
    <t>000033</t>
  </si>
  <si>
    <t>Agus Salim, Ir</t>
  </si>
  <si>
    <t>000037</t>
  </si>
  <si>
    <t>Agustang, ST</t>
  </si>
  <si>
    <t>BM</t>
  </si>
  <si>
    <t>000039</t>
  </si>
  <si>
    <t>Ahmad Aliyudin</t>
  </si>
  <si>
    <t>MHC</t>
  </si>
  <si>
    <t>000042</t>
  </si>
  <si>
    <t>Ahmad Rifaid, Ir</t>
  </si>
  <si>
    <t>PR</t>
  </si>
  <si>
    <t>000043</t>
  </si>
  <si>
    <t>Ahmad Sariful Anwar, ST.</t>
  </si>
  <si>
    <t>000044</t>
  </si>
  <si>
    <t>Ahmad Yunus</t>
  </si>
  <si>
    <t>000045</t>
  </si>
  <si>
    <t>Ahmad Zakky. ST</t>
  </si>
  <si>
    <t>000048</t>
  </si>
  <si>
    <t>Akhmad Muliaddin</t>
  </si>
  <si>
    <t>PBC</t>
  </si>
  <si>
    <t>000052</t>
  </si>
  <si>
    <t>Alfonsus Susilarso, AMK-C</t>
  </si>
  <si>
    <t>SV</t>
  </si>
  <si>
    <t>000053</t>
  </si>
  <si>
    <t>Ali Akbar Baso, S.T.</t>
  </si>
  <si>
    <t>TP</t>
  </si>
  <si>
    <t>000056</t>
  </si>
  <si>
    <t>Alim Saadi, Ir</t>
  </si>
  <si>
    <t>000059</t>
  </si>
  <si>
    <t>Andi Ardi Abdullah. ST</t>
  </si>
  <si>
    <t>MKSC</t>
  </si>
  <si>
    <t>000060</t>
  </si>
  <si>
    <t>Andi Arman, ST.</t>
  </si>
  <si>
    <t>000062</t>
  </si>
  <si>
    <t>Andi Lama Passesu</t>
  </si>
  <si>
    <t>PSMMO</t>
  </si>
  <si>
    <t>000064</t>
  </si>
  <si>
    <t>Andi Nur Alim Kamal. ST</t>
  </si>
  <si>
    <t>000065</t>
  </si>
  <si>
    <t>Andi P. Siagian . ST</t>
  </si>
  <si>
    <t>BN</t>
  </si>
  <si>
    <t>000067</t>
  </si>
  <si>
    <t>Andri Suryawan, SH.</t>
  </si>
  <si>
    <t>LC</t>
  </si>
  <si>
    <t>000070</t>
  </si>
  <si>
    <t>Anita Magdalena, SH</t>
  </si>
  <si>
    <t>SPI</t>
  </si>
  <si>
    <t>000071</t>
  </si>
  <si>
    <t>Anogi Akbar Ali, SE</t>
  </si>
  <si>
    <t>000072</t>
  </si>
  <si>
    <t>Antong Goli, ST</t>
  </si>
  <si>
    <t>PK</t>
  </si>
  <si>
    <t>000075</t>
  </si>
  <si>
    <t>Aquarius Setiawan, ST</t>
  </si>
  <si>
    <t>000076</t>
  </si>
  <si>
    <t>Ardhian Budi S.</t>
  </si>
  <si>
    <t>SBU MNO</t>
  </si>
  <si>
    <t>000081</t>
  </si>
  <si>
    <t>Arief Budi Permana, Ir</t>
  </si>
  <si>
    <t>DOK</t>
  </si>
  <si>
    <t>000083</t>
  </si>
  <si>
    <t>Arief Nurtjahjo, Ir</t>
  </si>
  <si>
    <t>000084</t>
  </si>
  <si>
    <t>Arief Rachman</t>
  </si>
  <si>
    <t>SBU ENI</t>
  </si>
  <si>
    <t>000085</t>
  </si>
  <si>
    <t>Arief Sofyan</t>
  </si>
  <si>
    <t>000086</t>
  </si>
  <si>
    <t>Arief Sulistiono, Ir</t>
  </si>
  <si>
    <t>BJ</t>
  </si>
  <si>
    <t>000088</t>
  </si>
  <si>
    <t>Arif Bijaksana Satria N, ST.</t>
  </si>
  <si>
    <t>BMC</t>
  </si>
  <si>
    <t>000089</t>
  </si>
  <si>
    <t>Arif Purwono, ST</t>
  </si>
  <si>
    <t>000091</t>
  </si>
  <si>
    <t>Arif Yunaedi, M.Sc.</t>
  </si>
  <si>
    <t>000094</t>
  </si>
  <si>
    <t>Arifuddin  ST</t>
  </si>
  <si>
    <t>000095</t>
  </si>
  <si>
    <t>Aris Susanto</t>
  </si>
  <si>
    <t>000096</t>
  </si>
  <si>
    <t>Armindary Arief. ST</t>
  </si>
  <si>
    <t>000097</t>
  </si>
  <si>
    <t>Arsalnan Latif, Ir</t>
  </si>
  <si>
    <t>000099</t>
  </si>
  <si>
    <t>Aryo Singgih, M.Mar.E</t>
  </si>
  <si>
    <t>BT</t>
  </si>
  <si>
    <t>000100</t>
  </si>
  <si>
    <t>Asep Supriatna</t>
  </si>
  <si>
    <t>000101</t>
  </si>
  <si>
    <t>Asep Sutrisna S, SH, MM</t>
  </si>
  <si>
    <t>000103</t>
  </si>
  <si>
    <t>Atjeh Nahan, Ing.</t>
  </si>
  <si>
    <t>DP</t>
  </si>
  <si>
    <t>000104</t>
  </si>
  <si>
    <t>Awan Setiawan</t>
  </si>
  <si>
    <t>MAC</t>
  </si>
  <si>
    <t>000111</t>
  </si>
  <si>
    <t>Azwar Firly</t>
  </si>
  <si>
    <t>000112</t>
  </si>
  <si>
    <t>Bagyono</t>
  </si>
  <si>
    <t>000113</t>
  </si>
  <si>
    <t>Bahrun Saad, Ir</t>
  </si>
  <si>
    <t>000114</t>
  </si>
  <si>
    <t>Bakir</t>
  </si>
  <si>
    <t>000116</t>
  </si>
  <si>
    <t>Bambang Hariyadi</t>
  </si>
  <si>
    <t>000117</t>
  </si>
  <si>
    <t>Bambang Irwan</t>
  </si>
  <si>
    <t>000119</t>
  </si>
  <si>
    <t>Bambang Riyanto, Ir</t>
  </si>
  <si>
    <t>000120</t>
  </si>
  <si>
    <t>Bambang Sugiono</t>
  </si>
  <si>
    <t>000121</t>
  </si>
  <si>
    <t>Bambang Sutomo, Ir</t>
  </si>
  <si>
    <t>000122</t>
  </si>
  <si>
    <t>Bambang Tri Suharto, Ir</t>
  </si>
  <si>
    <t>000123</t>
  </si>
  <si>
    <t>Bambang Wardoyo</t>
  </si>
  <si>
    <t>000124</t>
  </si>
  <si>
    <t>Bambang Wijanarko.</t>
  </si>
  <si>
    <t>000125</t>
  </si>
  <si>
    <t>Bawa Prasetyo, ST.</t>
  </si>
  <si>
    <t>000126</t>
  </si>
  <si>
    <t>Benny Hermawan, Ir</t>
  </si>
  <si>
    <t>SD</t>
  </si>
  <si>
    <t>000127</t>
  </si>
  <si>
    <t>Benny Hosbrantas, Drs</t>
  </si>
  <si>
    <t>BP</t>
  </si>
  <si>
    <t>000128</t>
  </si>
  <si>
    <t>Berman Simarmata, Amd</t>
  </si>
  <si>
    <t>000129</t>
  </si>
  <si>
    <t>Bogi Akhmad Suendar</t>
  </si>
  <si>
    <t>000130</t>
  </si>
  <si>
    <t>Budi Isrofi, Ir</t>
  </si>
  <si>
    <t>000131</t>
  </si>
  <si>
    <t>Budi Prakoso, Ir</t>
  </si>
  <si>
    <t>RKRB</t>
  </si>
  <si>
    <t>000133</t>
  </si>
  <si>
    <t>Budi Setiawan</t>
  </si>
  <si>
    <t>000135</t>
  </si>
  <si>
    <t>Budiman Johansyah, S.T</t>
  </si>
  <si>
    <t>BPC</t>
  </si>
  <si>
    <t>000136</t>
  </si>
  <si>
    <t>Burhanuddin</t>
  </si>
  <si>
    <t>000139</t>
  </si>
  <si>
    <t>Catur Achiryanto. St</t>
  </si>
  <si>
    <t>000140</t>
  </si>
  <si>
    <t>Catur Wibowo</t>
  </si>
  <si>
    <t>000141</t>
  </si>
  <si>
    <t>Chalis Umar, Ir.</t>
  </si>
  <si>
    <t>000142</t>
  </si>
  <si>
    <t>Dachlius</t>
  </si>
  <si>
    <t>000143</t>
  </si>
  <si>
    <t>Dandy Rukmana, SE</t>
  </si>
  <si>
    <t>ACD</t>
  </si>
  <si>
    <t>000144</t>
  </si>
  <si>
    <t>Dani Maulana. ST</t>
  </si>
  <si>
    <t>SM</t>
  </si>
  <si>
    <t>000145</t>
  </si>
  <si>
    <t>Darma Toding</t>
  </si>
  <si>
    <t>000148</t>
  </si>
  <si>
    <t>David Noer Syuhada, Ir</t>
  </si>
  <si>
    <t>000149</t>
  </si>
  <si>
    <t>Dede Ma'mun, SE</t>
  </si>
  <si>
    <t>AKP</t>
  </si>
  <si>
    <t>000150</t>
  </si>
  <si>
    <t>Dede Nanda S, ST</t>
  </si>
  <si>
    <t>000151</t>
  </si>
  <si>
    <t>Dedi Megananda, Ir</t>
  </si>
  <si>
    <t>000152</t>
  </si>
  <si>
    <t>Dedy Haryadi</t>
  </si>
  <si>
    <t>000153</t>
  </si>
  <si>
    <t>Defri Sumarwan, ST</t>
  </si>
  <si>
    <t>000156</t>
  </si>
  <si>
    <t>Dermawan</t>
  </si>
  <si>
    <t>000157</t>
  </si>
  <si>
    <t>Desi Hardianawati</t>
  </si>
  <si>
    <t>000158</t>
  </si>
  <si>
    <t>Dian Endang Wahyuni</t>
  </si>
  <si>
    <t>PB</t>
  </si>
  <si>
    <t>000160</t>
  </si>
  <si>
    <t>Didi Kurniadi, Ir</t>
  </si>
  <si>
    <t>000162</t>
  </si>
  <si>
    <t>Diding Suwandi, Ir</t>
  </si>
  <si>
    <t>000163</t>
  </si>
  <si>
    <t>Didiet E Firmansyah.</t>
  </si>
  <si>
    <t>ISPB</t>
  </si>
  <si>
    <t>000164</t>
  </si>
  <si>
    <t>Dino Vito Larasanto</t>
  </si>
  <si>
    <t>000165</t>
  </si>
  <si>
    <t>Dismir Abdoh</t>
  </si>
  <si>
    <t>000166</t>
  </si>
  <si>
    <t>Djoko Wahyudi. Ir</t>
  </si>
  <si>
    <t>SR</t>
  </si>
  <si>
    <t>000167</t>
  </si>
  <si>
    <t>Doan Oskar Dewandaru. Ir</t>
  </si>
  <si>
    <t>AB</t>
  </si>
  <si>
    <t>000168</t>
  </si>
  <si>
    <t>Dody Setiawan</t>
  </si>
  <si>
    <t>000169</t>
  </si>
  <si>
    <t>Donny S. Purba. Drs</t>
  </si>
  <si>
    <t>000170</t>
  </si>
  <si>
    <t>Donny Trisusilo, Ir</t>
  </si>
  <si>
    <t>000172</t>
  </si>
  <si>
    <t>Dwiana Galuh L. ST</t>
  </si>
  <si>
    <t>000175</t>
  </si>
  <si>
    <t>Edwin Olaf J.D ST</t>
  </si>
  <si>
    <t>000178</t>
  </si>
  <si>
    <t>Edy Sutrisno, Ir</t>
  </si>
  <si>
    <t>000179</t>
  </si>
  <si>
    <t>Eka Yuni Ermawati</t>
  </si>
  <si>
    <t>ST</t>
  </si>
  <si>
    <t>000180</t>
  </si>
  <si>
    <t>Eko Buana Putra</t>
  </si>
  <si>
    <t>000181</t>
  </si>
  <si>
    <t>Elis Rosida</t>
  </si>
  <si>
    <t>PKK</t>
  </si>
  <si>
    <t>000183</t>
  </si>
  <si>
    <t>Elva Moch. Ramdhani</t>
  </si>
  <si>
    <t>000184</t>
  </si>
  <si>
    <t>Endah Mustika Ningtyas</t>
  </si>
  <si>
    <t>TJSL</t>
  </si>
  <si>
    <t>000187</t>
  </si>
  <si>
    <t>Endang W</t>
  </si>
  <si>
    <t>000191</t>
  </si>
  <si>
    <t>Erlini Agung, SE</t>
  </si>
  <si>
    <t>KU</t>
  </si>
  <si>
    <t>000192</t>
  </si>
  <si>
    <t>Erry Sanjaya Djayus</t>
  </si>
  <si>
    <t>SEKPER</t>
  </si>
  <si>
    <t>000194</t>
  </si>
  <si>
    <t>Erwin, Ir</t>
  </si>
  <si>
    <t>000195</t>
  </si>
  <si>
    <t>Ery Dani Sampurno, Ir</t>
  </si>
  <si>
    <t>000196</t>
  </si>
  <si>
    <t>Efa Rosida Dwi Aditirta</t>
  </si>
  <si>
    <t>000197</t>
  </si>
  <si>
    <t>Eva Sintauli Saragih, SE</t>
  </si>
  <si>
    <t>000198</t>
  </si>
  <si>
    <t>Fahmi ST</t>
  </si>
  <si>
    <t>000199</t>
  </si>
  <si>
    <t>Fajar Nugraha, Ir</t>
  </si>
  <si>
    <t>000201</t>
  </si>
  <si>
    <t>Farid Rahman, Ir</t>
  </si>
  <si>
    <t>MRKU</t>
  </si>
  <si>
    <t>000203</t>
  </si>
  <si>
    <t>Farrah Mutia. N</t>
  </si>
  <si>
    <t>TI</t>
  </si>
  <si>
    <t>000205</t>
  </si>
  <si>
    <t>Fauzi Akbar Nasution, ST</t>
  </si>
  <si>
    <t>CN</t>
  </si>
  <si>
    <t>000206</t>
  </si>
  <si>
    <t>Febriansyah</t>
  </si>
  <si>
    <t>000207</t>
  </si>
  <si>
    <t>Fernando, Ir</t>
  </si>
  <si>
    <t>000208</t>
  </si>
  <si>
    <t>Ferry Harfianto</t>
  </si>
  <si>
    <t>000210</t>
  </si>
  <si>
    <t>Fikrah Wathani</t>
  </si>
  <si>
    <t>HCS</t>
  </si>
  <si>
    <t>000211</t>
  </si>
  <si>
    <t>Firmansyah</t>
  </si>
  <si>
    <t>000212</t>
  </si>
  <si>
    <t>Fredhi Agung. P Ir</t>
  </si>
  <si>
    <t>000213</t>
  </si>
  <si>
    <t>Guruh M. Amal. ST</t>
  </si>
  <si>
    <t>000214</t>
  </si>
  <si>
    <t>Hadi Santoso.</t>
  </si>
  <si>
    <t>000216</t>
  </si>
  <si>
    <t>Haeruddin</t>
  </si>
  <si>
    <t>000217</t>
  </si>
  <si>
    <t>Hambali Wahid</t>
  </si>
  <si>
    <t>000218</t>
  </si>
  <si>
    <t>Hanief Ridwan A, ST</t>
  </si>
  <si>
    <t>000219</t>
  </si>
  <si>
    <t>Hardi E.P. Siagian. ST</t>
  </si>
  <si>
    <t>000222</t>
  </si>
  <si>
    <t>Harrys Pahala</t>
  </si>
  <si>
    <t>000223</t>
  </si>
  <si>
    <t>Harusia Ismail</t>
  </si>
  <si>
    <t>MKS</t>
  </si>
  <si>
    <t>000225</t>
  </si>
  <si>
    <t>Heintje Angganois, Ir</t>
  </si>
  <si>
    <t>000227</t>
  </si>
  <si>
    <t>Hendra Bagus, K, M.Mer</t>
  </si>
  <si>
    <t>000229</t>
  </si>
  <si>
    <t>Hendra Kusuma, BE</t>
  </si>
  <si>
    <t>000230</t>
  </si>
  <si>
    <t>Hendry Daniel</t>
  </si>
  <si>
    <t>000232</t>
  </si>
  <si>
    <t>Herawati , S</t>
  </si>
  <si>
    <t>000233</t>
  </si>
  <si>
    <t>Herbert SH, Ir</t>
  </si>
  <si>
    <t>M&amp;K</t>
  </si>
  <si>
    <t>000234</t>
  </si>
  <si>
    <t>Herdiman Mustari. ST</t>
  </si>
  <si>
    <t>000235</t>
  </si>
  <si>
    <t>Heri Siswanto, ST</t>
  </si>
  <si>
    <t>000236</t>
  </si>
  <si>
    <t>Heri Wirawan, ST.</t>
  </si>
  <si>
    <t>BNC</t>
  </si>
  <si>
    <t>000239</t>
  </si>
  <si>
    <t>Herry Sudradjat, SH</t>
  </si>
  <si>
    <t>DMH</t>
  </si>
  <si>
    <t>000240</t>
  </si>
  <si>
    <t>Heru Susilo Budiman, Ir</t>
  </si>
  <si>
    <t>000242</t>
  </si>
  <si>
    <t>Hijrawati Muchtar ST</t>
  </si>
  <si>
    <t>000243</t>
  </si>
  <si>
    <t>Himawan</t>
  </si>
  <si>
    <t>000247</t>
  </si>
  <si>
    <t>Ika Dian Ariany</t>
  </si>
  <si>
    <t>000249</t>
  </si>
  <si>
    <t>Ilham Syahrir, ST</t>
  </si>
  <si>
    <t>000250</t>
  </si>
  <si>
    <t>Ilyas</t>
  </si>
  <si>
    <t>000251</t>
  </si>
  <si>
    <t>Ilyas Dangkeng</t>
  </si>
  <si>
    <t>000254</t>
  </si>
  <si>
    <t>Imam Suhadi, BE</t>
  </si>
  <si>
    <t>000255</t>
  </si>
  <si>
    <t>Imran</t>
  </si>
  <si>
    <t>000256</t>
  </si>
  <si>
    <t>Indra Kusuma</t>
  </si>
  <si>
    <t>000257</t>
  </si>
  <si>
    <t>Indra Permana</t>
  </si>
  <si>
    <t>000258</t>
  </si>
  <si>
    <t>ING Arimbawa, Ir</t>
  </si>
  <si>
    <t>000259</t>
  </si>
  <si>
    <t>Iqbal fikri. ir</t>
  </si>
  <si>
    <t>000262</t>
  </si>
  <si>
    <t>Irviandi, Ir</t>
  </si>
  <si>
    <t>RP</t>
  </si>
  <si>
    <t>000263</t>
  </si>
  <si>
    <t>Irwan Eko Santoso, ST</t>
  </si>
  <si>
    <t>000264</t>
  </si>
  <si>
    <t>Irwanto, B.Sc.</t>
  </si>
  <si>
    <t>000265</t>
  </si>
  <si>
    <t>Irzan Azis. ST</t>
  </si>
  <si>
    <t>000266</t>
  </si>
  <si>
    <t>Is Supriati</t>
  </si>
  <si>
    <t>000268</t>
  </si>
  <si>
    <t>Jamaluddin Gani, Drs</t>
  </si>
  <si>
    <t>000270</t>
  </si>
  <si>
    <t>Jesse SR Tarigan</t>
  </si>
  <si>
    <t>000274</t>
  </si>
  <si>
    <t>Joeliantoro, Ir</t>
  </si>
  <si>
    <t>000275</t>
  </si>
  <si>
    <t>Joko Utomo</t>
  </si>
  <si>
    <t>000276</t>
  </si>
  <si>
    <t>Jonas Tahia. Ir</t>
  </si>
  <si>
    <t>000277</t>
  </si>
  <si>
    <t>Joustra Billy, ST.</t>
  </si>
  <si>
    <t>000279</t>
  </si>
  <si>
    <t>Juto Yuwono, Amd.</t>
  </si>
  <si>
    <t>PRC</t>
  </si>
  <si>
    <t>000281</t>
  </si>
  <si>
    <t>Karmila</t>
  </si>
  <si>
    <t>000283</t>
  </si>
  <si>
    <t>Kartika Wijayanti</t>
  </si>
  <si>
    <t>000285</t>
  </si>
  <si>
    <t>Khusaini</t>
  </si>
  <si>
    <t>000289</t>
  </si>
  <si>
    <t>Kokok Yudha Cahyono, ST</t>
  </si>
  <si>
    <t>000290</t>
  </si>
  <si>
    <t>Komariah S.Kom</t>
  </si>
  <si>
    <t>000291</t>
  </si>
  <si>
    <t>Kosim Bin Mari</t>
  </si>
  <si>
    <t>000292</t>
  </si>
  <si>
    <t>Krishna Wijayadi</t>
  </si>
  <si>
    <t>000293</t>
  </si>
  <si>
    <t>Kurnia Firmansyah</t>
  </si>
  <si>
    <t>P&amp;KKO</t>
  </si>
  <si>
    <t>000298</t>
  </si>
  <si>
    <t>Lilah Kurnia Sari, ST</t>
  </si>
  <si>
    <t>000299</t>
  </si>
  <si>
    <t>Lily Pandansari</t>
  </si>
  <si>
    <t>000300</t>
  </si>
  <si>
    <t>Linda Kurniaty</t>
  </si>
  <si>
    <t>000302</t>
  </si>
  <si>
    <t>Lisa</t>
  </si>
  <si>
    <t>000303</t>
  </si>
  <si>
    <t>Lisa Sri Andayani, B.Sc.</t>
  </si>
  <si>
    <t>P&amp;A</t>
  </si>
  <si>
    <t>000304</t>
  </si>
  <si>
    <t>Liza Yuni. ST</t>
  </si>
  <si>
    <t>000305</t>
  </si>
  <si>
    <t>Lukman Hakim. Ir</t>
  </si>
  <si>
    <t>000307</t>
  </si>
  <si>
    <t>M. Arif Kurniawan</t>
  </si>
  <si>
    <t>000308</t>
  </si>
  <si>
    <t>M. Arif Maulana Wiranegar</t>
  </si>
  <si>
    <t>000309</t>
  </si>
  <si>
    <t>Muh Aspar</t>
  </si>
  <si>
    <t>000310</t>
  </si>
  <si>
    <t>M. Basarudin Aspahani, Ir</t>
  </si>
  <si>
    <t>000312</t>
  </si>
  <si>
    <t>M. Iqbal, ST</t>
  </si>
  <si>
    <t>000315</t>
  </si>
  <si>
    <t>M. Natzir</t>
  </si>
  <si>
    <t>SB/2</t>
  </si>
  <si>
    <t>000317</t>
  </si>
  <si>
    <t>M. Nur Ardam</t>
  </si>
  <si>
    <t>000321</t>
  </si>
  <si>
    <t>Mahmur Mochtar, ST</t>
  </si>
  <si>
    <t>000322</t>
  </si>
  <si>
    <t>Mamin Rifia. St</t>
  </si>
  <si>
    <t>000323</t>
  </si>
  <si>
    <t>Manahan. P. Sihombing</t>
  </si>
  <si>
    <t>000324</t>
  </si>
  <si>
    <t>Manggarseta Jatnika, Ir</t>
  </si>
  <si>
    <t>000327</t>
  </si>
  <si>
    <t>Mardiana Muchtar</t>
  </si>
  <si>
    <t>000329</t>
  </si>
  <si>
    <t>Mardini Embun Sari</t>
  </si>
  <si>
    <t>000331</t>
  </si>
  <si>
    <t>Marina Arifianti</t>
  </si>
  <si>
    <t>000333</t>
  </si>
  <si>
    <t>Marthen Tonis</t>
  </si>
  <si>
    <t>000334</t>
  </si>
  <si>
    <t>Martono, ST</t>
  </si>
  <si>
    <t>000336</t>
  </si>
  <si>
    <t>Maskarena Johanis</t>
  </si>
  <si>
    <t>000337</t>
  </si>
  <si>
    <t>Ma'sum, Ir</t>
  </si>
  <si>
    <t>000338</t>
  </si>
  <si>
    <t>Mat Hasan</t>
  </si>
  <si>
    <t>000340</t>
  </si>
  <si>
    <t>Merdiansah</t>
  </si>
  <si>
    <t>000341</t>
  </si>
  <si>
    <t>Mia Martina Indah</t>
  </si>
  <si>
    <t>000342</t>
  </si>
  <si>
    <t>Miftah Faridy, ST</t>
  </si>
  <si>
    <t>000345</t>
  </si>
  <si>
    <t>Misbahudin Aidy, Ir</t>
  </si>
  <si>
    <t>000347</t>
  </si>
  <si>
    <t>Misril</t>
  </si>
  <si>
    <t>000348</t>
  </si>
  <si>
    <t>Moch. Zaky, ST.</t>
  </si>
  <si>
    <t>000351</t>
  </si>
  <si>
    <t>Moh. Furqon, ST.</t>
  </si>
  <si>
    <t>000352</t>
  </si>
  <si>
    <t>Moh. Mukhtar</t>
  </si>
  <si>
    <t>000353</t>
  </si>
  <si>
    <t>Moh. Rico Faridz, Ir</t>
  </si>
  <si>
    <t>IT</t>
  </si>
  <si>
    <t>000354</t>
  </si>
  <si>
    <t>Moh. Sugeng, Ir</t>
  </si>
  <si>
    <t>000355</t>
  </si>
  <si>
    <t>Mohamad Cholil, Ir</t>
  </si>
  <si>
    <t>DIREKSI</t>
  </si>
  <si>
    <t>000361</t>
  </si>
  <si>
    <t>Muflikhin</t>
  </si>
  <si>
    <t>000362</t>
  </si>
  <si>
    <t>Muh. Arfah, Ir</t>
  </si>
  <si>
    <t>000363</t>
  </si>
  <si>
    <t>Muh. Fajrin M. Said ST</t>
  </si>
  <si>
    <t>000364</t>
  </si>
  <si>
    <t>Muh. Idi, Ir</t>
  </si>
  <si>
    <t>000365</t>
  </si>
  <si>
    <t>Muh. Nasir, ST.</t>
  </si>
  <si>
    <t>000366</t>
  </si>
  <si>
    <t>Muh. Saefuddin</t>
  </si>
  <si>
    <t>000367</t>
  </si>
  <si>
    <t>Muh. Sodik ST</t>
  </si>
  <si>
    <t>000369</t>
  </si>
  <si>
    <t>Muhammad Abdul Malik, ST.</t>
  </si>
  <si>
    <t>000370</t>
  </si>
  <si>
    <t>Muhammad Ichsan. ST</t>
  </si>
  <si>
    <t>000374</t>
  </si>
  <si>
    <t>Muhammadiyah ST</t>
  </si>
  <si>
    <t>000376</t>
  </si>
  <si>
    <t>Muhibuddin, ST</t>
  </si>
  <si>
    <t>000378</t>
  </si>
  <si>
    <t>Muhson Nurrochmat</t>
  </si>
  <si>
    <t>000379</t>
  </si>
  <si>
    <t>Mukti Bravita</t>
  </si>
  <si>
    <t>MS</t>
  </si>
  <si>
    <t>000382</t>
  </si>
  <si>
    <t>Mushawwir Razak</t>
  </si>
  <si>
    <t>000383</t>
  </si>
  <si>
    <t>Muslim</t>
  </si>
  <si>
    <t>000384</t>
  </si>
  <si>
    <t>Mustakim ST</t>
  </si>
  <si>
    <t>000385</t>
  </si>
  <si>
    <t>Mustari. Amk. C/MME</t>
  </si>
  <si>
    <t>000386</t>
  </si>
  <si>
    <t>Mut Ali</t>
  </si>
  <si>
    <t>000387</t>
  </si>
  <si>
    <t>Nano L, Ir</t>
  </si>
  <si>
    <t>000388</t>
  </si>
  <si>
    <t>Narso, M.Mer.E</t>
  </si>
  <si>
    <t>000390</t>
  </si>
  <si>
    <t>Nasaruddin, SE</t>
  </si>
  <si>
    <t>000392</t>
  </si>
  <si>
    <t>Nerlan Pasaribu, ST</t>
  </si>
  <si>
    <t>000393</t>
  </si>
  <si>
    <t>Nina Sri Indah Yani</t>
  </si>
  <si>
    <t>000394</t>
  </si>
  <si>
    <t>Noor Kholis</t>
  </si>
  <si>
    <t>CGC</t>
  </si>
  <si>
    <t>000395</t>
  </si>
  <si>
    <t>Nosy Osriat</t>
  </si>
  <si>
    <t>000396</t>
  </si>
  <si>
    <t>Noviansyah Pamungkas</t>
  </si>
  <si>
    <t>000397</t>
  </si>
  <si>
    <t>Nur Hasan Sidiq. ST</t>
  </si>
  <si>
    <t>000398</t>
  </si>
  <si>
    <t>Nur Rahmad Hidayat, ST</t>
  </si>
  <si>
    <t>000402</t>
  </si>
  <si>
    <t>Nurhayati</t>
  </si>
  <si>
    <t>000403</t>
  </si>
  <si>
    <t>Nusirwan</t>
  </si>
  <si>
    <t>000404</t>
  </si>
  <si>
    <t>Nurul Huda</t>
  </si>
  <si>
    <t>000406</t>
  </si>
  <si>
    <t>Ono Haryono</t>
  </si>
  <si>
    <t>000407</t>
  </si>
  <si>
    <t>Pardi</t>
  </si>
  <si>
    <t>000408</t>
  </si>
  <si>
    <t>Pardi Abbas, Ir</t>
  </si>
  <si>
    <t>000411</t>
  </si>
  <si>
    <t>Patunru Pongky, Drs.</t>
  </si>
  <si>
    <t>000412</t>
  </si>
  <si>
    <t>Pieter Petrus Paulus, Ir</t>
  </si>
  <si>
    <t>000413</t>
  </si>
  <si>
    <t>Poegoeh Setiono, Ir</t>
  </si>
  <si>
    <t>000414</t>
  </si>
  <si>
    <t>Prasetyo S.T</t>
  </si>
  <si>
    <t>000417</t>
  </si>
  <si>
    <t>Pujatmanto Bastriadi, S.Sos</t>
  </si>
  <si>
    <t>000419</t>
  </si>
  <si>
    <t>Purwantia</t>
  </si>
  <si>
    <t>000420</t>
  </si>
  <si>
    <t>Putri Nurlaksmi. SE</t>
  </si>
  <si>
    <t>000421</t>
  </si>
  <si>
    <t>R. Agus Doddy Dwisagita.</t>
  </si>
  <si>
    <t>000422</t>
  </si>
  <si>
    <t>R. Sapto Agung. P</t>
  </si>
  <si>
    <t>000423</t>
  </si>
  <si>
    <t>R.M. Kurnaefi</t>
  </si>
  <si>
    <t>000425</t>
  </si>
  <si>
    <t>Rachmadi S., Ir</t>
  </si>
  <si>
    <t>000426</t>
  </si>
  <si>
    <t>Rachmat Kurniawan</t>
  </si>
  <si>
    <t>000427</t>
  </si>
  <si>
    <t>Rahmatullah</t>
  </si>
  <si>
    <t>000428</t>
  </si>
  <si>
    <t>Radjin Sitorus</t>
  </si>
  <si>
    <t>000430</t>
  </si>
  <si>
    <t>Rahadi Sigit</t>
  </si>
  <si>
    <t>000431</t>
  </si>
  <si>
    <t>Rahmadani</t>
  </si>
  <si>
    <t>000432</t>
  </si>
  <si>
    <t>Rahman Susilo</t>
  </si>
  <si>
    <t>000434</t>
  </si>
  <si>
    <t>Ratna Dewi</t>
  </si>
  <si>
    <t>000435</t>
  </si>
  <si>
    <t>Ratna Nurcahya</t>
  </si>
  <si>
    <t>000436</t>
  </si>
  <si>
    <t>Ratna S. Rini</t>
  </si>
  <si>
    <t>000437</t>
  </si>
  <si>
    <t>Reni P Simatupang</t>
  </si>
  <si>
    <t>000439</t>
  </si>
  <si>
    <t>Ridhayani</t>
  </si>
  <si>
    <t>000440</t>
  </si>
  <si>
    <t>Ridwan Arifin, ST</t>
  </si>
  <si>
    <t>000441</t>
  </si>
  <si>
    <t>Ridwan Djajanto, Ir (Ketuker simpanan pokok sama pak Rachmadi)</t>
  </si>
  <si>
    <t>000442</t>
  </si>
  <si>
    <t>Rima Novedia  Bangun, Ir</t>
  </si>
  <si>
    <t>000443</t>
  </si>
  <si>
    <t>Rino Yan Cahyo, SE</t>
  </si>
  <si>
    <t>000445</t>
  </si>
  <si>
    <t>Riska Tri Handayani</t>
  </si>
  <si>
    <t>A&amp;P</t>
  </si>
  <si>
    <t>000446</t>
  </si>
  <si>
    <t>Riyanto</t>
  </si>
  <si>
    <t>000447</t>
  </si>
  <si>
    <t>Rizal Febrianto</t>
  </si>
  <si>
    <t>000448</t>
  </si>
  <si>
    <t>Rochmansyah</t>
  </si>
  <si>
    <t>000449</t>
  </si>
  <si>
    <t>Romillo Libra Setiadi</t>
  </si>
  <si>
    <t>000451</t>
  </si>
  <si>
    <t>Roni Karuniawan</t>
  </si>
  <si>
    <t>000453</t>
  </si>
  <si>
    <t>Rosalina Amran, SE</t>
  </si>
  <si>
    <t>000457</t>
  </si>
  <si>
    <t>Roynald Matahelumual</t>
  </si>
  <si>
    <t>000459</t>
  </si>
  <si>
    <t>Rudi Haryanto</t>
  </si>
  <si>
    <t>000460</t>
  </si>
  <si>
    <t>Rudy Sunaryadi , Ir</t>
  </si>
  <si>
    <t>000463</t>
  </si>
  <si>
    <t>Rusdin Haluddin  Ir</t>
  </si>
  <si>
    <t>000464</t>
  </si>
  <si>
    <t>Sabaruddin</t>
  </si>
  <si>
    <t>000465</t>
  </si>
  <si>
    <t>Sabrina Mutiara Fani</t>
  </si>
  <si>
    <t>000466</t>
  </si>
  <si>
    <t>Sjaifuddin, M.SC</t>
  </si>
  <si>
    <t>000467</t>
  </si>
  <si>
    <t>Safiuddin, ST</t>
  </si>
  <si>
    <t>000468</t>
  </si>
  <si>
    <t>Safril</t>
  </si>
  <si>
    <t>000469</t>
  </si>
  <si>
    <t>Saifoedin, ir</t>
  </si>
  <si>
    <t>000470</t>
  </si>
  <si>
    <t>Saifuddin Wijaya, Ir</t>
  </si>
  <si>
    <t>000471</t>
  </si>
  <si>
    <t>Salvinus Patangke, Ir</t>
  </si>
  <si>
    <t>000472</t>
  </si>
  <si>
    <t>Samsul Arif. ST</t>
  </si>
  <si>
    <t>000474</t>
  </si>
  <si>
    <t>Saptono</t>
  </si>
  <si>
    <t>000476</t>
  </si>
  <si>
    <t>Sari Putri Pertiwi</t>
  </si>
  <si>
    <t>000477</t>
  </si>
  <si>
    <t>Saridi</t>
  </si>
  <si>
    <t>000479</t>
  </si>
  <si>
    <t>Sefia Helmina, ST</t>
  </si>
  <si>
    <t>000481</t>
  </si>
  <si>
    <t>Shindu Purwanto, Ir</t>
  </si>
  <si>
    <t>JB</t>
  </si>
  <si>
    <t>000482</t>
  </si>
  <si>
    <t>Sigit Prastowo, Ir</t>
  </si>
  <si>
    <t>000485</t>
  </si>
  <si>
    <t>Siswanto ,ST</t>
  </si>
  <si>
    <t>000487</t>
  </si>
  <si>
    <t>Siti Komariah. ir</t>
  </si>
  <si>
    <t>000494</t>
  </si>
  <si>
    <t>Sofyan Hadi. ST</t>
  </si>
  <si>
    <t>000495</t>
  </si>
  <si>
    <t>Soleh Abidin</t>
  </si>
  <si>
    <t>000498</t>
  </si>
  <si>
    <t>Sri Atik, Dra</t>
  </si>
  <si>
    <t>000499</t>
  </si>
  <si>
    <t>Sri Dewi Amalia, Ir</t>
  </si>
  <si>
    <t>000500</t>
  </si>
  <si>
    <t>Sri Jatmiko, Ir</t>
  </si>
  <si>
    <t>000501</t>
  </si>
  <si>
    <t>Sri Mulyanti</t>
  </si>
  <si>
    <t>000502</t>
  </si>
  <si>
    <t>Sri Rachmi Andayani, Ir</t>
  </si>
  <si>
    <t>000505</t>
  </si>
  <si>
    <t>Sriyati</t>
  </si>
  <si>
    <t>000506</t>
  </si>
  <si>
    <t>Su'ad Syuhada, SE, MM</t>
  </si>
  <si>
    <t>000507</t>
  </si>
  <si>
    <t>Subur</t>
  </si>
  <si>
    <t>000510</t>
  </si>
  <si>
    <t>Sudirman, SE</t>
  </si>
  <si>
    <t>000511</t>
  </si>
  <si>
    <t>Sudiro, A.md.</t>
  </si>
  <si>
    <t>000512</t>
  </si>
  <si>
    <t>Sugeng Yulianto, Ir</t>
  </si>
  <si>
    <t>000513</t>
  </si>
  <si>
    <t>Suhar Chandra Kurniawan, ST</t>
  </si>
  <si>
    <t>000514</t>
  </si>
  <si>
    <t>Suherman Sardi</t>
  </si>
  <si>
    <t>000515</t>
  </si>
  <si>
    <t>Suhita Wardani, SE</t>
  </si>
  <si>
    <t>000516</t>
  </si>
  <si>
    <t>Suismono</t>
  </si>
  <si>
    <t>BUKAN AKTIF</t>
  </si>
  <si>
    <t>000517</t>
  </si>
  <si>
    <t>Sukadi Redji</t>
  </si>
  <si>
    <t>000518</t>
  </si>
  <si>
    <t>Sukiyo, Drs</t>
  </si>
  <si>
    <t>000519</t>
  </si>
  <si>
    <t>Sukma Maharani, ST</t>
  </si>
  <si>
    <t>000520</t>
  </si>
  <si>
    <t>Sukria</t>
  </si>
  <si>
    <t>000521</t>
  </si>
  <si>
    <t>Sukron Makmun ST</t>
  </si>
  <si>
    <t>000522</t>
  </si>
  <si>
    <t>Sulaeman</t>
  </si>
  <si>
    <t>KOP</t>
  </si>
  <si>
    <t>000523</t>
  </si>
  <si>
    <t>Sulaiman Bulahari</t>
  </si>
  <si>
    <t>000524</t>
  </si>
  <si>
    <t>Sulasman Ardi, Ir.</t>
  </si>
  <si>
    <t>000526</t>
  </si>
  <si>
    <t>Sulthan Said, M.Sc.</t>
  </si>
  <si>
    <t>000527</t>
  </si>
  <si>
    <t>Sumartini</t>
  </si>
  <si>
    <t>000529</t>
  </si>
  <si>
    <t>Sunaryoko, Ir</t>
  </si>
  <si>
    <t>000530</t>
  </si>
  <si>
    <t>Supardi, SE</t>
  </si>
  <si>
    <t>000531</t>
  </si>
  <si>
    <t>Suprapti</t>
  </si>
  <si>
    <t>000533</t>
  </si>
  <si>
    <t>Suratman, Drs</t>
  </si>
  <si>
    <t>000534</t>
  </si>
  <si>
    <t>Suriaty Paramita Putri, ST</t>
  </si>
  <si>
    <t>000535</t>
  </si>
  <si>
    <t>Suroso Tumidiono</t>
  </si>
  <si>
    <t>000536</t>
  </si>
  <si>
    <t>Suroyo</t>
  </si>
  <si>
    <t>000538</t>
  </si>
  <si>
    <t>Suryanto</t>
  </si>
  <si>
    <t>000539</t>
  </si>
  <si>
    <t>Susetyo Wijanarko</t>
  </si>
  <si>
    <t>000541</t>
  </si>
  <si>
    <t>Sutrisno</t>
  </si>
  <si>
    <t>000542</t>
  </si>
  <si>
    <t>Suwandi, Ir</t>
  </si>
  <si>
    <t>000543</t>
  </si>
  <si>
    <t>Suyani</t>
  </si>
  <si>
    <t>000544</t>
  </si>
  <si>
    <t>Syahruddin Nur, Ir</t>
  </si>
  <si>
    <t>000545</t>
  </si>
  <si>
    <t>Syahlir</t>
  </si>
  <si>
    <t>000547</t>
  </si>
  <si>
    <t>Syamsul Bahri, Ir</t>
  </si>
  <si>
    <t>000548</t>
  </si>
  <si>
    <t>Syarif Hidayat</t>
  </si>
  <si>
    <t>000549</t>
  </si>
  <si>
    <t>Syarif, Ir</t>
  </si>
  <si>
    <t>000550</t>
  </si>
  <si>
    <t>Tantyo Prayogo, Ir</t>
  </si>
  <si>
    <t>000552</t>
  </si>
  <si>
    <t>Taufik Hidayat, SE, MM.</t>
  </si>
  <si>
    <t>000554</t>
  </si>
  <si>
    <t>Teguh Andani S.Sos</t>
  </si>
  <si>
    <t>000555</t>
  </si>
  <si>
    <t>Teguh Budi Santoso. Ir</t>
  </si>
  <si>
    <t>000557</t>
  </si>
  <si>
    <t>Teko Prantoko, Ir</t>
  </si>
  <si>
    <t>000558</t>
  </si>
  <si>
    <t>Togap Hidayat. Ir</t>
  </si>
  <si>
    <t>000560</t>
  </si>
  <si>
    <t>Toni Syarif Hidayat</t>
  </si>
  <si>
    <t>000561</t>
  </si>
  <si>
    <t>Topan Firmandha. ST</t>
  </si>
  <si>
    <t>000562</t>
  </si>
  <si>
    <t>Totok Achmad, Ir</t>
  </si>
  <si>
    <t>000563</t>
  </si>
  <si>
    <t>Tri Buana Galaxi</t>
  </si>
  <si>
    <t>000564</t>
  </si>
  <si>
    <t>Tri Januar Pratama</t>
  </si>
  <si>
    <t>000565</t>
  </si>
  <si>
    <t>Tri Laksono, Ir</t>
  </si>
  <si>
    <t>000567</t>
  </si>
  <si>
    <t>Triyono Samuel, ST.</t>
  </si>
  <si>
    <t>000570</t>
  </si>
  <si>
    <t>Untung Prasetyo</t>
  </si>
  <si>
    <t>000571</t>
  </si>
  <si>
    <t>Vecky Budiman CI</t>
  </si>
  <si>
    <t>000573</t>
  </si>
  <si>
    <t>Wahidin</t>
  </si>
  <si>
    <t>000574</t>
  </si>
  <si>
    <t>Wahjoe Ario Tedjo, Ir</t>
  </si>
  <si>
    <t>PKC</t>
  </si>
  <si>
    <t>000575</t>
  </si>
  <si>
    <t>Wahyu Priambodo, ST.</t>
  </si>
  <si>
    <t>000579</t>
  </si>
  <si>
    <t>Wasito Abdul Mukit, Ir</t>
  </si>
  <si>
    <t>000581</t>
  </si>
  <si>
    <t>Wawan Priya Widyanta</t>
  </si>
  <si>
    <t>000582</t>
  </si>
  <si>
    <t>Wawan Sulaeman</t>
  </si>
  <si>
    <t>000584</t>
  </si>
  <si>
    <t>Wibisono R.  Ir</t>
  </si>
  <si>
    <t>000585</t>
  </si>
  <si>
    <t>Widodo</t>
  </si>
  <si>
    <t>000586</t>
  </si>
  <si>
    <t>Winarto</t>
  </si>
  <si>
    <t>000587</t>
  </si>
  <si>
    <t>Wiyono, Ir</t>
  </si>
  <si>
    <t>000589</t>
  </si>
  <si>
    <t>Yansen Miri, Ir</t>
  </si>
  <si>
    <t>000593</t>
  </si>
  <si>
    <t>Yohana Kaonseng</t>
  </si>
  <si>
    <t>000594</t>
  </si>
  <si>
    <t>Yudas Pasomba</t>
  </si>
  <si>
    <t>PPO</t>
  </si>
  <si>
    <t>PASIF</t>
  </si>
  <si>
    <t>000595</t>
  </si>
  <si>
    <t>Yudhi Ardikusuma AMK-C.</t>
  </si>
  <si>
    <t>000596</t>
  </si>
  <si>
    <t>Yudi Wasianto, Ir</t>
  </si>
  <si>
    <t>000597</t>
  </si>
  <si>
    <t>Yulia Dian Anggraini</t>
  </si>
  <si>
    <t>000598</t>
  </si>
  <si>
    <t>Yulian Apriyanto. Ir</t>
  </si>
  <si>
    <t>000599</t>
  </si>
  <si>
    <t>Yulid Anji. ST</t>
  </si>
  <si>
    <t>000603</t>
  </si>
  <si>
    <t>Yusfi Noer Aryani</t>
  </si>
  <si>
    <t>000604</t>
  </si>
  <si>
    <t>Yusman Susa</t>
  </si>
  <si>
    <t>000621</t>
  </si>
  <si>
    <t>Edo Dody Handradi, ST.</t>
  </si>
  <si>
    <t>000624</t>
  </si>
  <si>
    <t>Marwanto</t>
  </si>
  <si>
    <t>000626</t>
  </si>
  <si>
    <t>Ratih Putri Arifianti, ST</t>
  </si>
  <si>
    <t>000630</t>
  </si>
  <si>
    <t>Andi Gunawan Sunre</t>
  </si>
  <si>
    <t>000632</t>
  </si>
  <si>
    <t>Umar Agus Irianto</t>
  </si>
  <si>
    <t>000635</t>
  </si>
  <si>
    <t>Sumardi (Sopir)</t>
  </si>
  <si>
    <t>000636</t>
  </si>
  <si>
    <t>Awaludin Painging, ST.</t>
  </si>
  <si>
    <t>000638</t>
  </si>
  <si>
    <t>Fitriani A. Md.</t>
  </si>
  <si>
    <t>000639</t>
  </si>
  <si>
    <t>M. Rizky Purnama</t>
  </si>
  <si>
    <t>000641</t>
  </si>
  <si>
    <t>Renza Muharam</t>
  </si>
  <si>
    <t>000643</t>
  </si>
  <si>
    <t>Warini</t>
  </si>
  <si>
    <t>000646</t>
  </si>
  <si>
    <t>Adhi kholidin</t>
  </si>
  <si>
    <t>000647</t>
  </si>
  <si>
    <t>Adi Yudho Wijayanto, ST</t>
  </si>
  <si>
    <t>000648</t>
  </si>
  <si>
    <t>Agris Setyawan, ST.</t>
  </si>
  <si>
    <t>000649</t>
  </si>
  <si>
    <t>Ahmad Syaifulloh</t>
  </si>
  <si>
    <t>000650</t>
  </si>
  <si>
    <t>Andre Guntur Teguh WS, ST.</t>
  </si>
  <si>
    <t>000651</t>
  </si>
  <si>
    <t>Angga Santoso</t>
  </si>
  <si>
    <t>000652</t>
  </si>
  <si>
    <t>Angga Yustiawan, ST.</t>
  </si>
  <si>
    <t>000653</t>
  </si>
  <si>
    <t>Angjuang Adi Panju P. , ST.</t>
  </si>
  <si>
    <t>000655</t>
  </si>
  <si>
    <t>Bambang Tri Nugroho</t>
  </si>
  <si>
    <t>BJC</t>
  </si>
  <si>
    <t>000656</t>
  </si>
  <si>
    <t>Bayu Mahardika W, ST.</t>
  </si>
  <si>
    <t>000658</t>
  </si>
  <si>
    <t>Bobby A. Novrianto</t>
  </si>
  <si>
    <t>000660</t>
  </si>
  <si>
    <t>Budi Fitriawan, ST.</t>
  </si>
  <si>
    <t>000661</t>
  </si>
  <si>
    <t>Budiwansyah</t>
  </si>
  <si>
    <t>000662</t>
  </si>
  <si>
    <t>Busrol</t>
  </si>
  <si>
    <t>000663</t>
  </si>
  <si>
    <t>Donny Putra Santika</t>
  </si>
  <si>
    <t>000664</t>
  </si>
  <si>
    <t>Eko Maja Priyanto, ST.</t>
  </si>
  <si>
    <t>000665</t>
  </si>
  <si>
    <t>Fachruddin, ST.</t>
  </si>
  <si>
    <t>000666</t>
  </si>
  <si>
    <t>Fachruddin Nur, ST.</t>
  </si>
  <si>
    <t>000667</t>
  </si>
  <si>
    <t>Firmansyah Putra AM, ST.</t>
  </si>
  <si>
    <t>000669</t>
  </si>
  <si>
    <t>Hendra, ST,</t>
  </si>
  <si>
    <t>000671</t>
  </si>
  <si>
    <t>Hendra Saputra</t>
  </si>
  <si>
    <t>000672</t>
  </si>
  <si>
    <t>I Gusti Ngurah Wira P, ST.</t>
  </si>
  <si>
    <t>000676</t>
  </si>
  <si>
    <t>Indra Mariska Amd.</t>
  </si>
  <si>
    <t>000679</t>
  </si>
  <si>
    <t>Kartika Kushendra, Dr.</t>
  </si>
  <si>
    <t>MNO</t>
  </si>
  <si>
    <t>000680</t>
  </si>
  <si>
    <t>Khairul Akbar ST.</t>
  </si>
  <si>
    <t>000681</t>
  </si>
  <si>
    <t>LA Ode Abdul Rahman F, ST.</t>
  </si>
  <si>
    <t>000683</t>
  </si>
  <si>
    <t>M. Yudi Oktavianto, ST.</t>
  </si>
  <si>
    <t>000684</t>
  </si>
  <si>
    <t>Mahesa Saga, ST.</t>
  </si>
  <si>
    <t>000685</t>
  </si>
  <si>
    <t>Muh. Asqar, ST.</t>
  </si>
  <si>
    <t>000686</t>
  </si>
  <si>
    <t>Muhammad Irfan, ST.</t>
  </si>
  <si>
    <t>000689</t>
  </si>
  <si>
    <t>Neni Yuniarti</t>
  </si>
  <si>
    <t>000690</t>
  </si>
  <si>
    <t>Nevi Eko Yuliananto, ST.</t>
  </si>
  <si>
    <t>000691</t>
  </si>
  <si>
    <t>Noah Cahyasasnita, ST.</t>
  </si>
  <si>
    <t>000692</t>
  </si>
  <si>
    <t>Ridwan Ahmad Fauzi, ST.</t>
  </si>
  <si>
    <t>000693</t>
  </si>
  <si>
    <t>Riska Deriani M, ST.</t>
  </si>
  <si>
    <t>000694</t>
  </si>
  <si>
    <t>Riswan Akbar, ST.</t>
  </si>
  <si>
    <t>000695</t>
  </si>
  <si>
    <t>Ruri Apridah</t>
  </si>
  <si>
    <t>000696</t>
  </si>
  <si>
    <t>Sigit Suhakso</t>
  </si>
  <si>
    <t>000699</t>
  </si>
  <si>
    <t>Suwandy, ST.</t>
  </si>
  <si>
    <t>000700</t>
  </si>
  <si>
    <t>Syari Dodi A.Yani</t>
  </si>
  <si>
    <t>000701</t>
  </si>
  <si>
    <t>Syariful Mahsyar, ST.</t>
  </si>
  <si>
    <t>000702</t>
  </si>
  <si>
    <t>Trian Indrawan, ST.</t>
  </si>
  <si>
    <t>000703</t>
  </si>
  <si>
    <t>Wanginingastuti M, ST.</t>
  </si>
  <si>
    <t>000705</t>
  </si>
  <si>
    <t>Zainal ST.</t>
  </si>
  <si>
    <t>000706</t>
  </si>
  <si>
    <t>Jakaria</t>
  </si>
  <si>
    <t>000707</t>
  </si>
  <si>
    <t>Hendro Lukito</t>
  </si>
  <si>
    <t>000711</t>
  </si>
  <si>
    <t>Lucky Lukman Nur Hakim</t>
  </si>
  <si>
    <t>BALIKPAPAN</t>
  </si>
  <si>
    <t>000712</t>
  </si>
  <si>
    <t>Hendry Kurniawan</t>
  </si>
  <si>
    <t>000714</t>
  </si>
  <si>
    <t>Capt. Iman Satria Utama</t>
  </si>
  <si>
    <t>000716</t>
  </si>
  <si>
    <t>Muhammad Rizky Satrio</t>
  </si>
  <si>
    <t>000727</t>
  </si>
  <si>
    <t>Abdur Rahman, S.T</t>
  </si>
  <si>
    <t>000728</t>
  </si>
  <si>
    <t>Sari Gita Tantini</t>
  </si>
  <si>
    <t>000729</t>
  </si>
  <si>
    <t>Dwi Cahyo Kurniawan</t>
  </si>
  <si>
    <t>000730</t>
  </si>
  <si>
    <t>Bayu Indra Purbaya</t>
  </si>
  <si>
    <t>000731</t>
  </si>
  <si>
    <t>Riki Sanjaya</t>
  </si>
  <si>
    <t>000743</t>
  </si>
  <si>
    <t>Agus Sunarto</t>
  </si>
  <si>
    <t>000744</t>
  </si>
  <si>
    <t>May Setiawan</t>
  </si>
  <si>
    <t>000746</t>
  </si>
  <si>
    <t>Slamet Apriadi</t>
  </si>
  <si>
    <t>000747</t>
  </si>
  <si>
    <t>Agah Dirgapatria D, ST</t>
  </si>
  <si>
    <t>000748</t>
  </si>
  <si>
    <t>Afif Amrullah, ST</t>
  </si>
  <si>
    <t>000749</t>
  </si>
  <si>
    <t>Andik Eko Saputro, ST</t>
  </si>
  <si>
    <t>000750</t>
  </si>
  <si>
    <t>Nomo Prihasta, ST</t>
  </si>
  <si>
    <t>000751</t>
  </si>
  <si>
    <t>Wawan Widiatmoko, ST</t>
  </si>
  <si>
    <t>000752</t>
  </si>
  <si>
    <t>Taufik Akbar, ST</t>
  </si>
  <si>
    <t>000753</t>
  </si>
  <si>
    <t>Abdul Kholick, ST</t>
  </si>
  <si>
    <t>000754</t>
  </si>
  <si>
    <t>Agus Ericson Sianipar, ST</t>
  </si>
  <si>
    <t>000755</t>
  </si>
  <si>
    <t>Alfan Fadhli, ST</t>
  </si>
  <si>
    <t>000757</t>
  </si>
  <si>
    <t>Amir Hamzah, ST</t>
  </si>
  <si>
    <t>000759</t>
  </si>
  <si>
    <t>Arifin Gustian Pramoko, ST</t>
  </si>
  <si>
    <t>000760</t>
  </si>
  <si>
    <t>Eka Nanda Pratama S, ST</t>
  </si>
  <si>
    <t>000761</t>
  </si>
  <si>
    <t>Ferry Fadli, ST</t>
  </si>
  <si>
    <t>000762</t>
  </si>
  <si>
    <t>Fuad Umar Faisal, ST</t>
  </si>
  <si>
    <t>000763</t>
  </si>
  <si>
    <t>Gary Simon</t>
  </si>
  <si>
    <t>000764</t>
  </si>
  <si>
    <t>I Nyoman Eriksandika P, ST</t>
  </si>
  <si>
    <t>000765</t>
  </si>
  <si>
    <t>La Ode Abdul Haslan P, ST</t>
  </si>
  <si>
    <t>000766</t>
  </si>
  <si>
    <t>Sandi Nandarianto, ST</t>
  </si>
  <si>
    <t>000767</t>
  </si>
  <si>
    <t>Sang Lanang S, ST</t>
  </si>
  <si>
    <t>000768</t>
  </si>
  <si>
    <t>Sigit Pamungkas, ST</t>
  </si>
  <si>
    <t>000769</t>
  </si>
  <si>
    <t>Yogia Rivaldhi, ST</t>
  </si>
  <si>
    <t>000770</t>
  </si>
  <si>
    <t>Bambang Firdiansyah H. K, ST</t>
  </si>
  <si>
    <t>000771</t>
  </si>
  <si>
    <t>I Gusti Putu Suantara, ST</t>
  </si>
  <si>
    <t>000773</t>
  </si>
  <si>
    <t xml:space="preserve">Septi Wulandari, </t>
  </si>
  <si>
    <t>000774</t>
  </si>
  <si>
    <t>Irawati, ST</t>
  </si>
  <si>
    <t>000775</t>
  </si>
  <si>
    <t>Gde Sandhyana P, S.KOM</t>
  </si>
  <si>
    <t>000776</t>
  </si>
  <si>
    <t>Ndaru Triwibowo</t>
  </si>
  <si>
    <t>000778</t>
  </si>
  <si>
    <t>Misbahul Munir</t>
  </si>
  <si>
    <t>000780</t>
  </si>
  <si>
    <t>Hardian, S.KOM.</t>
  </si>
  <si>
    <t>000781</t>
  </si>
  <si>
    <t>Muhamad Sofian Ibrahim</t>
  </si>
  <si>
    <t>000788</t>
  </si>
  <si>
    <t>Aziz Husain</t>
  </si>
  <si>
    <t>000789</t>
  </si>
  <si>
    <t>Aziza</t>
  </si>
  <si>
    <t>000791</t>
  </si>
  <si>
    <t>Agiyani Permana Putra</t>
  </si>
  <si>
    <t>000792</t>
  </si>
  <si>
    <t>Agung Prasetyo</t>
  </si>
  <si>
    <t>000793</t>
  </si>
  <si>
    <t>Apriansyah</t>
  </si>
  <si>
    <t>000794</t>
  </si>
  <si>
    <t>M. Abdurrahman Ali</t>
  </si>
  <si>
    <t>000795</t>
  </si>
  <si>
    <t>Sahdat Farma Ridho</t>
  </si>
  <si>
    <t>000796</t>
  </si>
  <si>
    <t>Yulia Fajri Kinanti</t>
  </si>
  <si>
    <t>000797</t>
  </si>
  <si>
    <t>Itqan Harchia</t>
  </si>
  <si>
    <t>000798</t>
  </si>
  <si>
    <t>Holis Nor Aini</t>
  </si>
  <si>
    <t>000799</t>
  </si>
  <si>
    <t>Muchlis Rachman, S.Kom.</t>
  </si>
  <si>
    <t>000801</t>
  </si>
  <si>
    <t>Ahmad Barnes</t>
  </si>
  <si>
    <t>000805</t>
  </si>
  <si>
    <t>M. Rahmat Akbar Ramadhan, S.KOM.</t>
  </si>
  <si>
    <t>000807</t>
  </si>
  <si>
    <t>Tri Budiyanto</t>
  </si>
  <si>
    <t>000809</t>
  </si>
  <si>
    <t>Atika Nurhikmah</t>
  </si>
  <si>
    <t>000815</t>
  </si>
  <si>
    <t>Muslim Dermawan B</t>
  </si>
  <si>
    <t>000817</t>
  </si>
  <si>
    <t>Sadi Wijaya</t>
  </si>
  <si>
    <t>000818</t>
  </si>
  <si>
    <t>Edit Hasta Prihantika</t>
  </si>
  <si>
    <t>000819</t>
  </si>
  <si>
    <t>Satria Aldi Permana</t>
  </si>
  <si>
    <t>000820</t>
  </si>
  <si>
    <t>Azhar Ghifari</t>
  </si>
  <si>
    <t>000822</t>
  </si>
  <si>
    <t>Andi Dina</t>
  </si>
  <si>
    <t>000824</t>
  </si>
  <si>
    <t>Rudiyanto, Ir</t>
  </si>
  <si>
    <t>000827</t>
  </si>
  <si>
    <t>Krisna jaya Pratama</t>
  </si>
  <si>
    <t>000828</t>
  </si>
  <si>
    <t>M. Radiansyah</t>
  </si>
  <si>
    <t>000829</t>
  </si>
  <si>
    <t xml:space="preserve">Sahat </t>
  </si>
  <si>
    <t>000830</t>
  </si>
  <si>
    <t>Feriza Yusfi</t>
  </si>
  <si>
    <t>000831</t>
  </si>
  <si>
    <t>Dian Febrian, S.T</t>
  </si>
  <si>
    <t>000832</t>
  </si>
  <si>
    <t>Andi Dian Eka Anggriani, S.T</t>
  </si>
  <si>
    <t>000833</t>
  </si>
  <si>
    <t>Rizki Aldila Tamtura, S.T</t>
  </si>
  <si>
    <t>000834</t>
  </si>
  <si>
    <t>Deborah Nindya Pawestri, SH</t>
  </si>
  <si>
    <t>000835</t>
  </si>
  <si>
    <t>Willy Adi Nugroho, SH</t>
  </si>
  <si>
    <t>000837</t>
  </si>
  <si>
    <t>Faulincia, S.T</t>
  </si>
  <si>
    <t>000839</t>
  </si>
  <si>
    <t>Lutfi Palam Paraya, S.T</t>
  </si>
  <si>
    <t>000842</t>
  </si>
  <si>
    <t>Muhamad Baqi, S.T</t>
  </si>
  <si>
    <t>000843</t>
  </si>
  <si>
    <t>Rangsang Kusumadilaga, S.T</t>
  </si>
  <si>
    <t>000844</t>
  </si>
  <si>
    <t>Septian Aji Dewangkara</t>
  </si>
  <si>
    <t>000845</t>
  </si>
  <si>
    <t>Setiono Prabowo, S.T</t>
  </si>
  <si>
    <t>000846</t>
  </si>
  <si>
    <t>Tesi Hidayati</t>
  </si>
  <si>
    <t>000849</t>
  </si>
  <si>
    <t>Timbul Tambunan</t>
  </si>
  <si>
    <t>000851</t>
  </si>
  <si>
    <t>Andri Rezeki</t>
  </si>
  <si>
    <t>000855</t>
  </si>
  <si>
    <t>Edi Zulkarnain</t>
  </si>
  <si>
    <t>000856</t>
  </si>
  <si>
    <t>Brams Firnandes</t>
  </si>
  <si>
    <t>000857</t>
  </si>
  <si>
    <t>Fauzi S, ST</t>
  </si>
  <si>
    <t>000858</t>
  </si>
  <si>
    <t>Stefani Nur Fitri</t>
  </si>
  <si>
    <t>000859</t>
  </si>
  <si>
    <t>Samsul Muslim</t>
  </si>
  <si>
    <t>000861</t>
  </si>
  <si>
    <t>M. Adityo Nugroho</t>
  </si>
  <si>
    <t>000862</t>
  </si>
  <si>
    <t>Dedie Achmad Wahyono</t>
  </si>
  <si>
    <t>000863</t>
  </si>
  <si>
    <t>Bonor Samuel Charles</t>
  </si>
  <si>
    <t>000864</t>
  </si>
  <si>
    <t>M. Setiawan</t>
  </si>
  <si>
    <t>000868</t>
  </si>
  <si>
    <t>Saepul</t>
  </si>
  <si>
    <t>000869</t>
  </si>
  <si>
    <t>Annissa Fadhillah</t>
  </si>
  <si>
    <t>000870</t>
  </si>
  <si>
    <t>Rudi Arfiansyah</t>
  </si>
  <si>
    <t>000871</t>
  </si>
  <si>
    <t>Yudi Prawoto</t>
  </si>
  <si>
    <t>000872</t>
  </si>
  <si>
    <t>Efry Tallamma</t>
  </si>
  <si>
    <t>000873</t>
  </si>
  <si>
    <t>Sudarma Edy Saragih</t>
  </si>
  <si>
    <t>000874</t>
  </si>
  <si>
    <t>Alwin Ridwan</t>
  </si>
  <si>
    <t>000875</t>
  </si>
  <si>
    <t>Berselina</t>
  </si>
  <si>
    <t>000876</t>
  </si>
  <si>
    <t>Fatkhurrohman</t>
  </si>
  <si>
    <t>000877</t>
  </si>
  <si>
    <t>Fikram Sudarmadi</t>
  </si>
  <si>
    <t>000878</t>
  </si>
  <si>
    <t>Ishak Christian Megawe</t>
  </si>
  <si>
    <t>000879</t>
  </si>
  <si>
    <t>Jaelani</t>
  </si>
  <si>
    <t>000880</t>
  </si>
  <si>
    <t>Joko Susilo</t>
  </si>
  <si>
    <t>000881</t>
  </si>
  <si>
    <t>Michelle Chantal Mustamu</t>
  </si>
  <si>
    <t>000882</t>
  </si>
  <si>
    <t>Randi Rante</t>
  </si>
  <si>
    <t>000883</t>
  </si>
  <si>
    <t>Soepriyanto</t>
  </si>
  <si>
    <t>000884</t>
  </si>
  <si>
    <t>Noval Der Sartapayu</t>
  </si>
  <si>
    <t>000886</t>
  </si>
  <si>
    <t>Raga D Purwanto</t>
  </si>
  <si>
    <t>000887</t>
  </si>
  <si>
    <t>Ibnu Nafis</t>
  </si>
  <si>
    <t>000888</t>
  </si>
  <si>
    <t>Airin Christine</t>
  </si>
  <si>
    <t>000889</t>
  </si>
  <si>
    <t>Agus Setyowinarno</t>
  </si>
  <si>
    <t>000891</t>
  </si>
  <si>
    <t>Berthy Charles</t>
  </si>
  <si>
    <t>000894</t>
  </si>
  <si>
    <t>Hery Alwis</t>
  </si>
  <si>
    <t>000895</t>
  </si>
  <si>
    <t>Ishak Sudradjat</t>
  </si>
  <si>
    <t>000896</t>
  </si>
  <si>
    <t>Ismail</t>
  </si>
  <si>
    <t>SMC</t>
  </si>
  <si>
    <t>000897</t>
  </si>
  <si>
    <t>Jhon Nicodemus P</t>
  </si>
  <si>
    <t>000898</t>
  </si>
  <si>
    <t>Muchtar Kartoulomo</t>
  </si>
  <si>
    <t>000899</t>
  </si>
  <si>
    <t>Nindia Laurina</t>
  </si>
  <si>
    <t>000900</t>
  </si>
  <si>
    <t>Bayu Kadir</t>
  </si>
  <si>
    <t>000903</t>
  </si>
  <si>
    <t>Bina Aji Nugraha</t>
  </si>
  <si>
    <t>000904</t>
  </si>
  <si>
    <t>Muhammad Idam Yon Arif</t>
  </si>
  <si>
    <t>000905</t>
  </si>
  <si>
    <t>Ahmad Riadus Sholihivi</t>
  </si>
  <si>
    <t>000906</t>
  </si>
  <si>
    <t>Fajar Nugraha, S.T</t>
  </si>
  <si>
    <t>000907</t>
  </si>
  <si>
    <t>Mian Saroha Simangunsong</t>
  </si>
  <si>
    <t>000908</t>
  </si>
  <si>
    <t>Andrew Cristiant Pramusinta</t>
  </si>
  <si>
    <t>000909</t>
  </si>
  <si>
    <t>Yhoga Susila Wardanu</t>
  </si>
  <si>
    <t>000910</t>
  </si>
  <si>
    <t>AKTIF</t>
  </si>
  <si>
    <t>000911</t>
  </si>
  <si>
    <t>Purwoko Widhyanto Wirawan</t>
  </si>
  <si>
    <t>000912</t>
  </si>
  <si>
    <t>Fahrul Nur Hidayat</t>
  </si>
  <si>
    <t>000913</t>
  </si>
  <si>
    <t>Yohanes Ardianto Nugroho</t>
  </si>
  <si>
    <t>000914</t>
  </si>
  <si>
    <t>Agus Rizqiansyah</t>
  </si>
  <si>
    <t>000915</t>
  </si>
  <si>
    <t>Muhammad Aulia</t>
  </si>
  <si>
    <t>000916</t>
  </si>
  <si>
    <t>Dwi Aryanto</t>
  </si>
  <si>
    <t>000919</t>
  </si>
  <si>
    <t>Janu Harimurti Taka</t>
  </si>
  <si>
    <t>000920</t>
  </si>
  <si>
    <t>Tulus Setiyawan W K</t>
  </si>
  <si>
    <t>000921</t>
  </si>
  <si>
    <t>Alwi</t>
  </si>
  <si>
    <t>000922</t>
  </si>
  <si>
    <t>Risky Hari Prasetyo</t>
  </si>
  <si>
    <t>000923</t>
  </si>
  <si>
    <t>Fivid Rivantoro</t>
  </si>
  <si>
    <t>000924</t>
  </si>
  <si>
    <t>Eko Haryanto</t>
  </si>
  <si>
    <t>000925</t>
  </si>
  <si>
    <t>Adityo Aji Kurniawan</t>
  </si>
  <si>
    <t>000926</t>
  </si>
  <si>
    <t>Ryan Hangga Sri Wijiharto</t>
  </si>
  <si>
    <t>000927</t>
  </si>
  <si>
    <t>Mokhammad Yufian R</t>
  </si>
  <si>
    <t>000928</t>
  </si>
  <si>
    <t>Bramanti Pramawedha S P</t>
  </si>
  <si>
    <t>000929</t>
  </si>
  <si>
    <t>Elvino Yusca Putra</t>
  </si>
  <si>
    <t>000930</t>
  </si>
  <si>
    <t>Muh Ali Hasan</t>
  </si>
  <si>
    <t>000931</t>
  </si>
  <si>
    <t>Ardiansyah Dahlan, S.T.</t>
  </si>
  <si>
    <t>000933</t>
  </si>
  <si>
    <t>Mokhammad Fakhrur Rizal</t>
  </si>
  <si>
    <t>000934</t>
  </si>
  <si>
    <t>M Rizqi Fitra H</t>
  </si>
  <si>
    <t>000935</t>
  </si>
  <si>
    <t>Sony Anggara</t>
  </si>
  <si>
    <t>000937</t>
  </si>
  <si>
    <t>M Teguh Widodo</t>
  </si>
  <si>
    <t>000938</t>
  </si>
  <si>
    <t>La Ode Muhammad Ichsan, S.T.</t>
  </si>
  <si>
    <t>000939</t>
  </si>
  <si>
    <t>Andi Dian Aulya</t>
  </si>
  <si>
    <t>000940</t>
  </si>
  <si>
    <t>Haryanti</t>
  </si>
  <si>
    <t>000941</t>
  </si>
  <si>
    <t>Khasful Waly</t>
  </si>
  <si>
    <t>000942</t>
  </si>
  <si>
    <t>Munaseh</t>
  </si>
  <si>
    <t>000943</t>
  </si>
  <si>
    <t>Sali Sartika</t>
  </si>
  <si>
    <t>000944</t>
  </si>
  <si>
    <t>Febri Denyanto</t>
  </si>
  <si>
    <t>000945</t>
  </si>
  <si>
    <t>Rio Fegi</t>
  </si>
  <si>
    <t>000946</t>
  </si>
  <si>
    <t>Fatma Kurniasari</t>
  </si>
  <si>
    <t>000947</t>
  </si>
  <si>
    <t>Luganda Siahaan</t>
  </si>
  <si>
    <t>000948</t>
  </si>
  <si>
    <t>Satria Adi Sukma Negara, ST</t>
  </si>
  <si>
    <t>000949</t>
  </si>
  <si>
    <t>Irma Yuniati</t>
  </si>
  <si>
    <t>000950</t>
  </si>
  <si>
    <t>Bayu Rista, S.T.</t>
  </si>
  <si>
    <t>000951</t>
  </si>
  <si>
    <t>Daniel Mahardika, S.T.</t>
  </si>
  <si>
    <t>000952</t>
  </si>
  <si>
    <t>Deny Cahyo Nugroho, S.T.</t>
  </si>
  <si>
    <t>000953</t>
  </si>
  <si>
    <t>Jiadan, S.T.</t>
  </si>
  <si>
    <t>000954</t>
  </si>
  <si>
    <t>Muhammad Aris Sultan</t>
  </si>
  <si>
    <t>000956</t>
  </si>
  <si>
    <t>Yasin Besari Mustofa, S.T.</t>
  </si>
  <si>
    <t>000957</t>
  </si>
  <si>
    <t>Akbar Rakanda Prakasa, S.T.</t>
  </si>
  <si>
    <t>000959</t>
  </si>
  <si>
    <t>Vina Nanda Garjati, S.T.</t>
  </si>
  <si>
    <t>000960</t>
  </si>
  <si>
    <t>Rizky Prasetya Ade N</t>
  </si>
  <si>
    <t>000961</t>
  </si>
  <si>
    <t>Ade Nursal, S.T.</t>
  </si>
  <si>
    <t>000962</t>
  </si>
  <si>
    <t>Fajar Lutfialayubi, S.T.</t>
  </si>
  <si>
    <t>000964</t>
  </si>
  <si>
    <t>Rahmi Sartika Permana Dora</t>
  </si>
  <si>
    <t>000965</t>
  </si>
  <si>
    <t>Erick Marcos Kiuk</t>
  </si>
  <si>
    <t>000966</t>
  </si>
  <si>
    <t>Irsal</t>
  </si>
  <si>
    <t>000967</t>
  </si>
  <si>
    <t>Deni</t>
  </si>
  <si>
    <t>000968</t>
  </si>
  <si>
    <t>Petrus Jacob Matuankotta</t>
  </si>
  <si>
    <t>000969</t>
  </si>
  <si>
    <t>Muhamad Ardiansyah</t>
  </si>
  <si>
    <t>000970</t>
  </si>
  <si>
    <t>Murdiyanta</t>
  </si>
  <si>
    <t>000971</t>
  </si>
  <si>
    <t>Syarifuddin Yamin, S.T.</t>
  </si>
  <si>
    <t>000972</t>
  </si>
  <si>
    <t>Choirun Cahyoabdi, S.T.</t>
  </si>
  <si>
    <t>000973</t>
  </si>
  <si>
    <t>Muhammad Asrul La Saripi, S.T.</t>
  </si>
  <si>
    <t>000975</t>
  </si>
  <si>
    <t>M Irfan</t>
  </si>
  <si>
    <t>000976</t>
  </si>
  <si>
    <t>Guntur Cahyo N, ST</t>
  </si>
  <si>
    <t>000977</t>
  </si>
  <si>
    <t>Khoirul Asnawi, AMD</t>
  </si>
  <si>
    <t>000978</t>
  </si>
  <si>
    <t>Riskita Novita Sari</t>
  </si>
  <si>
    <t>000979</t>
  </si>
  <si>
    <t>Oki Dwi Anggoro</t>
  </si>
  <si>
    <t>000981</t>
  </si>
  <si>
    <t>Abdillah</t>
  </si>
  <si>
    <t>000982</t>
  </si>
  <si>
    <t>Kamaruddin</t>
  </si>
  <si>
    <t>000983</t>
  </si>
  <si>
    <t>Bari</t>
  </si>
  <si>
    <t>000984</t>
  </si>
  <si>
    <t>Adi Ismanto</t>
  </si>
  <si>
    <t>000986</t>
  </si>
  <si>
    <t>Rahmat S</t>
  </si>
  <si>
    <t>000987</t>
  </si>
  <si>
    <t>M. Hatta Baco B</t>
  </si>
  <si>
    <t>000988</t>
  </si>
  <si>
    <t>Ekondro</t>
  </si>
  <si>
    <t>000989</t>
  </si>
  <si>
    <t>Rony Wiranto S</t>
  </si>
  <si>
    <t>000990</t>
  </si>
  <si>
    <t>Marisa Theresia</t>
  </si>
  <si>
    <t>000991</t>
  </si>
  <si>
    <t>Poppy Ayundari</t>
  </si>
  <si>
    <t>000992</t>
  </si>
  <si>
    <t>Femmy Anantia Lestari</t>
  </si>
  <si>
    <t>000993</t>
  </si>
  <si>
    <t>Rahmawaty</t>
  </si>
  <si>
    <t>000994</t>
  </si>
  <si>
    <t>Ahmad Gufran M</t>
  </si>
  <si>
    <t>000995</t>
  </si>
  <si>
    <t>Jefry Kurniawan</t>
  </si>
  <si>
    <t>000996</t>
  </si>
  <si>
    <t>La Ode Abdul Rajab Azis</t>
  </si>
  <si>
    <t>000997</t>
  </si>
  <si>
    <t>Sulaeman Mustafa</t>
  </si>
  <si>
    <t>000998</t>
  </si>
  <si>
    <t>Yosua R Palentek,ST</t>
  </si>
  <si>
    <t>000999</t>
  </si>
  <si>
    <t>Afnita Citra Utama</t>
  </si>
  <si>
    <t>001000</t>
  </si>
  <si>
    <t>Defi Rizki Mauliani</t>
  </si>
  <si>
    <t>001001</t>
  </si>
  <si>
    <t>Said Taufik</t>
  </si>
  <si>
    <t>001002</t>
  </si>
  <si>
    <t>Fitria, S.Kom</t>
  </si>
  <si>
    <t>001003</t>
  </si>
  <si>
    <t>Nur Cahyo Febrianto Putro</t>
  </si>
  <si>
    <t>001004</t>
  </si>
  <si>
    <t>Andi Apriadi Awe</t>
  </si>
  <si>
    <t>001006</t>
  </si>
  <si>
    <t>A. Rasyid Alimuddin</t>
  </si>
  <si>
    <t>001007</t>
  </si>
  <si>
    <t>Sultan Malik</t>
  </si>
  <si>
    <t>001008</t>
  </si>
  <si>
    <t>Tunjung Widyatmo H, S.T.</t>
  </si>
  <si>
    <t>001009</t>
  </si>
  <si>
    <t>Hediar Hapri Bangabua</t>
  </si>
  <si>
    <t>001010</t>
  </si>
  <si>
    <t>R Ade Wardoyo</t>
  </si>
  <si>
    <t>001011</t>
  </si>
  <si>
    <t>Willem Gerrit Pieter, S.E</t>
  </si>
  <si>
    <t>001012</t>
  </si>
  <si>
    <t>Zulfaeni</t>
  </si>
  <si>
    <t>001013</t>
  </si>
  <si>
    <t>Rozi Delfemi Irawati</t>
  </si>
  <si>
    <t>001014</t>
  </si>
  <si>
    <t>Tantry Octaviani</t>
  </si>
  <si>
    <t>001016</t>
  </si>
  <si>
    <t>Adnan</t>
  </si>
  <si>
    <t>001017</t>
  </si>
  <si>
    <t>Sudaryono</t>
  </si>
  <si>
    <t>001018</t>
  </si>
  <si>
    <t>Zul Fajrin Azdin</t>
  </si>
  <si>
    <t>001019</t>
  </si>
  <si>
    <t>Yusriadi</t>
  </si>
  <si>
    <t>001020</t>
  </si>
  <si>
    <t>Bandung Pardede</t>
  </si>
  <si>
    <t>001021</t>
  </si>
  <si>
    <t>Dimas Putra Prasetyo</t>
  </si>
  <si>
    <t>001022</t>
  </si>
  <si>
    <t>Desi Annike Putri</t>
  </si>
  <si>
    <t>001023</t>
  </si>
  <si>
    <t>Lulu Ufikal Azmi</t>
  </si>
  <si>
    <t>001024</t>
  </si>
  <si>
    <t>Rian Eka Saputra</t>
  </si>
  <si>
    <t>001026</t>
  </si>
  <si>
    <t>Megawati Rosalio Putri</t>
  </si>
  <si>
    <t>PKO</t>
  </si>
  <si>
    <t>001027</t>
  </si>
  <si>
    <t>Henky Viedian Santoso</t>
  </si>
  <si>
    <t>001028</t>
  </si>
  <si>
    <t>Sudarman /  Budi</t>
  </si>
  <si>
    <t>001029</t>
  </si>
  <si>
    <t>Shaidatun Rohmah</t>
  </si>
  <si>
    <t>001030</t>
  </si>
  <si>
    <t>Irawan Wijayanto</t>
  </si>
  <si>
    <t>001031</t>
  </si>
  <si>
    <t>Dicky Aldoko</t>
  </si>
  <si>
    <t>001032</t>
  </si>
  <si>
    <t>Annisyah Fazrin</t>
  </si>
  <si>
    <t>001033</t>
  </si>
  <si>
    <t>Riana Patricia</t>
  </si>
  <si>
    <t>001034</t>
  </si>
  <si>
    <t>Salma Fadhilah Widityani</t>
  </si>
  <si>
    <t>001035</t>
  </si>
  <si>
    <t>Deny Hardiansyah</t>
  </si>
  <si>
    <t>001036</t>
  </si>
  <si>
    <t>Irmarinda Sheyna C</t>
  </si>
  <si>
    <t>001037</t>
  </si>
  <si>
    <t>Nurkumala Sakti</t>
  </si>
  <si>
    <t>001038</t>
  </si>
  <si>
    <t>Adesta Munas Latief</t>
  </si>
  <si>
    <t>001039</t>
  </si>
  <si>
    <t>Luthfi Setia Mardani</t>
  </si>
  <si>
    <t>001040</t>
  </si>
  <si>
    <t>Chrisantya Dian Eka W</t>
  </si>
  <si>
    <t>001041</t>
  </si>
  <si>
    <t>N. Karindita Ekibdwi Putri</t>
  </si>
  <si>
    <t>001042</t>
  </si>
  <si>
    <t>Abdil Hafizh Zhafran</t>
  </si>
  <si>
    <t>001043</t>
  </si>
  <si>
    <t>Aldicio William Schuurman</t>
  </si>
  <si>
    <t>DMP</t>
  </si>
  <si>
    <t>001044</t>
  </si>
  <si>
    <t>Kevin Iqbal Rizaldi</t>
  </si>
  <si>
    <t>001045</t>
  </si>
  <si>
    <t>Faishal Abdurrahman Labib</t>
  </si>
  <si>
    <t>001046</t>
  </si>
  <si>
    <t>Aditya Putri Anggraini</t>
  </si>
  <si>
    <t>001047</t>
  </si>
  <si>
    <t>Muhammad Irvan Widya</t>
  </si>
  <si>
    <t>001048</t>
  </si>
  <si>
    <t>Muhammad Rio</t>
  </si>
  <si>
    <t>001049</t>
  </si>
  <si>
    <t>Muhammad Ridwan</t>
  </si>
  <si>
    <t>001050</t>
  </si>
  <si>
    <t>Harry Santoso</t>
  </si>
  <si>
    <t>001051</t>
  </si>
  <si>
    <t>Djatniko Santoso</t>
  </si>
  <si>
    <t>001055</t>
  </si>
  <si>
    <t>Deni Apriyanto</t>
  </si>
  <si>
    <t>001056</t>
  </si>
  <si>
    <t>Sujatnika</t>
  </si>
  <si>
    <t>001057</t>
  </si>
  <si>
    <t>Andri Somantri</t>
  </si>
  <si>
    <t>001058</t>
  </si>
  <si>
    <t>Henky Prabowo</t>
  </si>
  <si>
    <t>001059</t>
  </si>
  <si>
    <t>Sudirman Majid</t>
  </si>
  <si>
    <t>001060</t>
  </si>
  <si>
    <t>Yosida Isdianawati</t>
  </si>
  <si>
    <t>001061</t>
  </si>
  <si>
    <t>Andre L Latuihamalo</t>
  </si>
  <si>
    <t>001062</t>
  </si>
  <si>
    <t>Abd. Rahman ST</t>
  </si>
  <si>
    <t>001063</t>
  </si>
  <si>
    <t>Ratna Damayanti</t>
  </si>
  <si>
    <t>001064</t>
  </si>
  <si>
    <t>Aldi Muhammad Rianto</t>
  </si>
  <si>
    <t>001065</t>
  </si>
  <si>
    <t>Aldi Wahyu Prasetyo</t>
  </si>
  <si>
    <t>001066</t>
  </si>
  <si>
    <t>Iqbal Rezky</t>
  </si>
  <si>
    <t>001069</t>
  </si>
  <si>
    <t>Ade Sintya Kusumawardani</t>
  </si>
  <si>
    <t>001070</t>
  </si>
  <si>
    <t>Rozainbahri Noor</t>
  </si>
  <si>
    <t>001071</t>
  </si>
  <si>
    <t>Fandi Akbar (Cek Simpanan Pokok)</t>
  </si>
  <si>
    <t>001072</t>
  </si>
  <si>
    <t>Nadia Listiyani</t>
  </si>
  <si>
    <t>001073</t>
  </si>
  <si>
    <t>Faried, ST</t>
  </si>
  <si>
    <t>001074</t>
  </si>
  <si>
    <t>Arisudono Soerono</t>
  </si>
  <si>
    <t>001075</t>
  </si>
  <si>
    <t>Benny Susanto</t>
  </si>
  <si>
    <t>001076</t>
  </si>
  <si>
    <t>Mira Virlianita</t>
  </si>
  <si>
    <t>001078</t>
  </si>
  <si>
    <t xml:space="preserve">Aji Abdul Aziz </t>
  </si>
  <si>
    <t>001079</t>
  </si>
  <si>
    <t>David Haryanto</t>
  </si>
  <si>
    <t>001081</t>
  </si>
  <si>
    <t>Agus Syarif Maolana</t>
  </si>
  <si>
    <t>001082</t>
  </si>
  <si>
    <t>Bakti Nugroho Dwi Kushadianto</t>
  </si>
  <si>
    <t>001083</t>
  </si>
  <si>
    <t xml:space="preserve">Wildanis Miftahul Abror </t>
  </si>
  <si>
    <t>001084</t>
  </si>
  <si>
    <t>Abdul Rifani Praja Nurrahman</t>
  </si>
  <si>
    <t>001085</t>
  </si>
  <si>
    <t>Farhan Abdul Karim</t>
  </si>
  <si>
    <t>001086</t>
  </si>
  <si>
    <t>Muhtar</t>
  </si>
  <si>
    <t>001087</t>
  </si>
  <si>
    <t>Ibnul Qayyim</t>
  </si>
  <si>
    <t>Kenedi Pangaribuan, ST.</t>
  </si>
  <si>
    <t>Novella Musya</t>
  </si>
  <si>
    <t>Regiyan Drinin Kawasugi</t>
  </si>
  <si>
    <t>Raka Dwita Setyanegara</t>
  </si>
  <si>
    <t>Hendi Zulfan</t>
  </si>
  <si>
    <t>Elmy Mufidah</t>
  </si>
  <si>
    <t>Muhammad Rafi Amrullah</t>
  </si>
  <si>
    <t>Muhammad Dafa'anh Murya Tsani</t>
  </si>
  <si>
    <t>Aditya Ilham Septiawan</t>
  </si>
  <si>
    <t>Jasmine Pratiwi</t>
  </si>
  <si>
    <t>Izza Fajri Syafira</t>
  </si>
  <si>
    <t>Mariyana Astri Fandani</t>
  </si>
  <si>
    <t>Ardhianti Noviandita</t>
  </si>
  <si>
    <t>Thomas Mahendra</t>
  </si>
  <si>
    <t>Krisanti Cahya Kaheraing</t>
  </si>
  <si>
    <t>Zeid Rizaldi</t>
  </si>
  <si>
    <t>Vivi Hazlinda</t>
  </si>
  <si>
    <t>Total Buku</t>
  </si>
  <si>
    <t>Total Sistem</t>
  </si>
  <si>
    <t>Selisih</t>
  </si>
  <si>
    <t>Simpanan Pokok</t>
  </si>
  <si>
    <t xml:space="preserve">Selisih 5500 atas simpanan pokok an Fandy Akbar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</si>
</sst>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.00_)"/>
  </numFmts>
  <fonts count="9" x14ac:knownFonts="1">
    <font>
      <sz val="12"/>
      <name val="Helv"/>
    </font>
    <font>
      <sz val="12"/>
      <name val="Helv"/>
    </font>
    <font>
      <b/>
      <sz val="11"/>
      <name val="Arial Narrow"/>
      <family val="2"/>
    </font>
    <font>
      <sz val="11"/>
      <name val="Arial Narrow"/>
      <family val="2"/>
    </font>
    <font>
      <sz val="12"/>
      <name val="Arial Narrow"/>
      <family val="2"/>
    </font>
    <font>
      <b/>
      <sz val="20"/>
      <color indexed="81"/>
      <name val="Tahoma"/>
      <family val="2"/>
    </font>
    <font>
      <sz val="20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166" fontId="0" fillId="0" borderId="0"/>
    <xf numFmtId="164" fontId="1" fillId="0" borderId="0" applyFont="0" applyFill="0" applyBorder="0" applyAlignment="0" applyProtection="0"/>
  </cellStyleXfs>
  <cellXfs count="43">
    <xf numFmtId="166" fontId="0" fillId="0" borderId="0" xfId="0"/>
    <xf numFmtId="165" fontId="2" fillId="0" borderId="0" xfId="1" applyNumberFormat="1" applyFont="1" applyFill="1"/>
    <xf numFmtId="165" fontId="3" fillId="0" borderId="0" xfId="1" applyNumberFormat="1" applyFont="1" applyFill="1"/>
    <xf numFmtId="166" fontId="4" fillId="0" borderId="0" xfId="0" applyFont="1"/>
    <xf numFmtId="165" fontId="2" fillId="0" borderId="1" xfId="1" applyNumberFormat="1" applyFont="1" applyFill="1" applyBorder="1" applyAlignment="1" applyProtection="1">
      <alignment horizontal="center" vertical="center"/>
    </xf>
    <xf numFmtId="165" fontId="2" fillId="0" borderId="1" xfId="1" applyNumberFormat="1" applyFont="1" applyFill="1" applyBorder="1" applyAlignment="1" applyProtection="1">
      <alignment horizontal="center" vertical="center" wrapText="1"/>
    </xf>
    <xf numFmtId="165" fontId="2" fillId="0" borderId="1" xfId="1" applyNumberFormat="1" applyFont="1" applyFill="1" applyBorder="1" applyAlignment="1">
      <alignment horizontal="center" vertical="center" wrapText="1"/>
    </xf>
    <xf numFmtId="165" fontId="3" fillId="0" borderId="2" xfId="1" applyNumberFormat="1" applyFont="1" applyFill="1" applyBorder="1" applyAlignment="1">
      <alignment horizontal="center"/>
    </xf>
    <xf numFmtId="165" fontId="3" fillId="0" borderId="3" xfId="1" applyNumberFormat="1" applyFont="1" applyFill="1" applyBorder="1" applyAlignment="1">
      <alignment horizontal="center"/>
    </xf>
    <xf numFmtId="165" fontId="3" fillId="0" borderId="4" xfId="1" applyNumberFormat="1" applyFont="1" applyFill="1" applyBorder="1" applyAlignment="1">
      <alignment horizontal="center"/>
    </xf>
    <xf numFmtId="165" fontId="4" fillId="0" borderId="1" xfId="1" applyNumberFormat="1" applyFont="1" applyFill="1" applyBorder="1" applyAlignment="1">
      <alignment horizontal="center"/>
    </xf>
    <xf numFmtId="165" fontId="2" fillId="0" borderId="5" xfId="1" applyNumberFormat="1" applyFont="1" applyFill="1" applyBorder="1" applyAlignment="1" applyProtection="1">
      <alignment horizontal="center" vertical="center"/>
    </xf>
    <xf numFmtId="165" fontId="2" fillId="0" borderId="5" xfId="1" applyNumberFormat="1" applyFont="1" applyFill="1" applyBorder="1" applyAlignment="1" applyProtection="1">
      <alignment horizontal="center" vertical="center" wrapText="1"/>
    </xf>
    <xf numFmtId="165" fontId="2" fillId="0" borderId="5" xfId="1" applyNumberFormat="1" applyFont="1" applyFill="1" applyBorder="1" applyAlignment="1">
      <alignment horizontal="center" vertical="center" wrapText="1"/>
    </xf>
    <xf numFmtId="165" fontId="3" fillId="0" borderId="5" xfId="1" applyNumberFormat="1" applyFont="1" applyFill="1" applyBorder="1"/>
    <xf numFmtId="165" fontId="4" fillId="0" borderId="5" xfId="1" applyNumberFormat="1" applyFont="1" applyFill="1" applyBorder="1" applyAlignment="1">
      <alignment horizontal="center"/>
    </xf>
    <xf numFmtId="165" fontId="2" fillId="0" borderId="6" xfId="1" applyNumberFormat="1" applyFont="1" applyFill="1" applyBorder="1" applyAlignment="1" applyProtection="1">
      <alignment horizontal="center" vertical="center"/>
    </xf>
    <xf numFmtId="165" fontId="2" fillId="0" borderId="6" xfId="1" quotePrefix="1" applyNumberFormat="1" applyFont="1" applyFill="1" applyBorder="1" applyAlignment="1" applyProtection="1">
      <alignment horizontal="center" vertical="center"/>
    </xf>
    <xf numFmtId="165" fontId="2" fillId="0" borderId="6" xfId="1" applyNumberFormat="1" applyFont="1" applyFill="1" applyBorder="1" applyAlignment="1">
      <alignment horizontal="left" vertical="center"/>
    </xf>
    <xf numFmtId="165" fontId="2" fillId="0" borderId="6" xfId="1" applyNumberFormat="1" applyFont="1" applyFill="1" applyBorder="1" applyAlignment="1">
      <alignment horizontal="center" vertical="center"/>
    </xf>
    <xf numFmtId="165" fontId="3" fillId="0" borderId="6" xfId="1" applyNumberFormat="1" applyFont="1" applyFill="1" applyBorder="1"/>
    <xf numFmtId="165" fontId="4" fillId="0" borderId="6" xfId="1" applyNumberFormat="1" applyFont="1" applyFill="1" applyBorder="1"/>
    <xf numFmtId="165" fontId="2" fillId="0" borderId="7" xfId="1" applyNumberFormat="1" applyFont="1" applyFill="1" applyBorder="1" applyAlignment="1" applyProtection="1">
      <alignment horizontal="center" vertical="center"/>
    </xf>
    <xf numFmtId="165" fontId="2" fillId="0" borderId="7" xfId="1" quotePrefix="1" applyNumberFormat="1" applyFont="1" applyFill="1" applyBorder="1" applyAlignment="1" applyProtection="1">
      <alignment horizontal="center" vertical="center"/>
    </xf>
    <xf numFmtId="165" fontId="2" fillId="0" borderId="7" xfId="1" applyNumberFormat="1" applyFont="1" applyFill="1" applyBorder="1" applyAlignment="1">
      <alignment horizontal="left" vertical="center"/>
    </xf>
    <xf numFmtId="165" fontId="2" fillId="0" borderId="7" xfId="1" applyNumberFormat="1" applyFont="1" applyFill="1" applyBorder="1" applyAlignment="1">
      <alignment horizontal="center" vertical="center"/>
    </xf>
    <xf numFmtId="165" fontId="3" fillId="0" borderId="7" xfId="1" applyNumberFormat="1" applyFont="1" applyFill="1" applyBorder="1"/>
    <xf numFmtId="165" fontId="2" fillId="0" borderId="7" xfId="1" applyNumberFormat="1" applyFont="1" applyFill="1" applyBorder="1" applyAlignment="1">
      <alignment vertical="center"/>
    </xf>
    <xf numFmtId="165" fontId="2" fillId="2" borderId="7" xfId="1" applyNumberFormat="1" applyFont="1" applyFill="1" applyBorder="1" applyAlignment="1" applyProtection="1">
      <alignment horizontal="center" vertical="center"/>
    </xf>
    <xf numFmtId="165" fontId="2" fillId="2" borderId="7" xfId="1" quotePrefix="1" applyNumberFormat="1" applyFont="1" applyFill="1" applyBorder="1" applyAlignment="1" applyProtection="1">
      <alignment horizontal="center" vertical="center"/>
    </xf>
    <xf numFmtId="165" fontId="2" fillId="2" borderId="7" xfId="1" applyNumberFormat="1" applyFont="1" applyFill="1" applyBorder="1" applyAlignment="1">
      <alignment horizontal="left" vertical="center"/>
    </xf>
    <xf numFmtId="165" fontId="2" fillId="2" borderId="7" xfId="1" applyNumberFormat="1" applyFont="1" applyFill="1" applyBorder="1" applyAlignment="1">
      <alignment horizontal="center" vertical="center"/>
    </xf>
    <xf numFmtId="165" fontId="3" fillId="2" borderId="7" xfId="1" applyNumberFormat="1" applyFont="1" applyFill="1" applyBorder="1"/>
    <xf numFmtId="165" fontId="3" fillId="2" borderId="6" xfId="1" applyNumberFormat="1" applyFont="1" applyFill="1" applyBorder="1"/>
    <xf numFmtId="165" fontId="4" fillId="2" borderId="6" xfId="1" applyNumberFormat="1" applyFont="1" applyFill="1" applyBorder="1"/>
    <xf numFmtId="165" fontId="2" fillId="0" borderId="7" xfId="1" applyNumberFormat="1" applyFont="1" applyFill="1" applyBorder="1" applyAlignment="1" applyProtection="1">
      <alignment horizontal="left" vertical="center"/>
    </xf>
    <xf numFmtId="166" fontId="4" fillId="3" borderId="0" xfId="0" applyFont="1" applyFill="1"/>
    <xf numFmtId="165" fontId="2" fillId="0" borderId="8" xfId="1" applyNumberFormat="1" applyFont="1" applyFill="1" applyBorder="1" applyAlignment="1">
      <alignment horizontal="center"/>
    </xf>
    <xf numFmtId="165" fontId="2" fillId="0" borderId="9" xfId="1" applyNumberFormat="1" applyFont="1" applyFill="1" applyBorder="1" applyAlignment="1">
      <alignment horizontal="center"/>
    </xf>
    <xf numFmtId="165" fontId="2" fillId="0" borderId="10" xfId="1" applyNumberFormat="1" applyFont="1" applyFill="1" applyBorder="1" applyAlignment="1">
      <alignment horizontal="center"/>
    </xf>
    <xf numFmtId="165" fontId="2" fillId="0" borderId="11" xfId="1" applyNumberFormat="1" applyFont="1" applyFill="1" applyBorder="1" applyAlignment="1">
      <alignment horizontal="center"/>
    </xf>
    <xf numFmtId="165" fontId="2" fillId="0" borderId="12" xfId="1" applyNumberFormat="1" applyFont="1" applyFill="1" applyBorder="1" applyAlignment="1">
      <alignment horizontal="center"/>
    </xf>
    <xf numFmtId="165" fontId="2" fillId="0" borderId="13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IDARH\Desktop\2025%20-%20SHAIDATUN%20ROHMAH\2024%20-%20SHAIDATUN%20ROHMAH\C.%20LAPORAN%202023\SHU%202023.xlsx" TargetMode="External"/><Relationship Id="rId1" Type="http://schemas.openxmlformats.org/officeDocument/2006/relationships/externalLinkPath" Target="/Users/SHAIDARH/Desktop/2025%20-%20SHAIDATUN%20ROHMAH/2024%20-%20SHAIDATUN%20ROHMAH/C.%20LAPORAN%202023/SHU%2020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adw\Downloads\5.%20SIMPANAN%20ANGGOTA%202024%20DAN%20SHU_REVISI.xlsx" TargetMode="External"/><Relationship Id="rId1" Type="http://schemas.openxmlformats.org/officeDocument/2006/relationships/externalLinkPath" Target="5.%20SIMPANAN%20ANGGOTA%202024%20DAN%20SHU_REVIS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ANAN MANUAL 2023"/>
      <sheetName val="LAPORAN - SIMPANAN FIX"/>
      <sheetName val="SHU 2023"/>
      <sheetName val="SHU 2023-SPLIT SHU"/>
    </sheetNames>
    <sheetDataSet>
      <sheetData sheetId="0"/>
      <sheetData sheetId="1"/>
      <sheetData sheetId="2">
        <row r="9">
          <cell r="C9" t="str">
            <v>Aan Agus F, Amd.</v>
          </cell>
          <cell r="D9" t="str">
            <v>SBC</v>
          </cell>
          <cell r="E9">
            <v>5000</v>
          </cell>
          <cell r="F9">
            <v>15440660</v>
          </cell>
          <cell r="G9">
            <v>0</v>
          </cell>
          <cell r="H9">
            <v>1766475.5137382725</v>
          </cell>
          <cell r="I9">
            <v>449119.6505742509</v>
          </cell>
          <cell r="J9">
            <v>17212135.513738271</v>
          </cell>
          <cell r="K9" t="str">
            <v>AKTIF</v>
          </cell>
        </row>
        <row r="10">
          <cell r="C10" t="str">
            <v>Abdul Ghofar, Ir</v>
          </cell>
          <cell r="D10" t="str">
            <v>DOC</v>
          </cell>
          <cell r="E10">
            <v>0</v>
          </cell>
          <cell r="F10">
            <v>0</v>
          </cell>
          <cell r="G10">
            <v>0</v>
          </cell>
          <cell r="H10">
            <v>6106783.4066690626</v>
          </cell>
          <cell r="I10">
            <v>159345.50524231646</v>
          </cell>
          <cell r="J10">
            <v>6106783.4066690626</v>
          </cell>
          <cell r="K10" t="str">
            <v>BUKAN ANGGOTA</v>
          </cell>
        </row>
        <row r="11">
          <cell r="C11" t="str">
            <v>Abdul Hadi</v>
          </cell>
          <cell r="D11"/>
          <cell r="E11">
            <v>0</v>
          </cell>
          <cell r="F11">
            <v>150000</v>
          </cell>
          <cell r="G11">
            <v>0</v>
          </cell>
          <cell r="H11">
            <v>6155</v>
          </cell>
          <cell r="I11">
            <v>4074.5832485134933</v>
          </cell>
          <cell r="J11">
            <v>156155</v>
          </cell>
          <cell r="K11" t="str">
            <v>BUKAN ANGGOTA</v>
          </cell>
        </row>
        <row r="12">
          <cell r="C12" t="str">
            <v>Abu Kasim Usman</v>
          </cell>
          <cell r="D12" t="str">
            <v>SB</v>
          </cell>
          <cell r="E12">
            <v>5000</v>
          </cell>
          <cell r="F12">
            <v>8809532</v>
          </cell>
          <cell r="G12">
            <v>0</v>
          </cell>
          <cell r="H12">
            <v>1084607.4832667212</v>
          </cell>
          <cell r="I12">
            <v>258300.20116689891</v>
          </cell>
          <cell r="J12">
            <v>9899139.4832667205</v>
          </cell>
          <cell r="K12" t="str">
            <v>AKTIF</v>
          </cell>
        </row>
        <row r="13">
          <cell r="C13" t="str">
            <v>Achmad</v>
          </cell>
          <cell r="D13" t="str">
            <v>PU</v>
          </cell>
          <cell r="E13">
            <v>5000</v>
          </cell>
          <cell r="F13">
            <v>23052898</v>
          </cell>
          <cell r="G13">
            <v>795000</v>
          </cell>
          <cell r="H13">
            <v>1884489.0063331584</v>
          </cell>
          <cell r="I13">
            <v>671570.72112013015</v>
          </cell>
          <cell r="J13">
            <v>25737387.006333157</v>
          </cell>
          <cell r="K13" t="str">
            <v>AKTIF</v>
          </cell>
        </row>
        <row r="14">
          <cell r="C14" t="str">
            <v>Achmad Muslim, Ir</v>
          </cell>
          <cell r="D14" t="str">
            <v>M&amp;K</v>
          </cell>
          <cell r="E14">
            <v>5000</v>
          </cell>
          <cell r="F14">
            <v>31699463</v>
          </cell>
          <cell r="G14">
            <v>37500</v>
          </cell>
          <cell r="H14">
            <v>14443054.893513422</v>
          </cell>
          <cell r="I14">
            <v>1205114.7913368496</v>
          </cell>
          <cell r="J14">
            <v>46185017.893513426</v>
          </cell>
          <cell r="K14" t="str">
            <v>AKTIF</v>
          </cell>
        </row>
        <row r="15">
          <cell r="C15" t="str">
            <v>Achmad Suseno, Ir</v>
          </cell>
          <cell r="D15" t="str">
            <v>R&amp;P</v>
          </cell>
          <cell r="E15">
            <v>0</v>
          </cell>
          <cell r="F15">
            <v>0</v>
          </cell>
          <cell r="G15">
            <v>0</v>
          </cell>
          <cell r="H15">
            <v>250663.24936907971</v>
          </cell>
          <cell r="I15">
            <v>6540.6056603836741</v>
          </cell>
          <cell r="J15">
            <v>250663.24936907971</v>
          </cell>
          <cell r="K15" t="str">
            <v>PASIF</v>
          </cell>
        </row>
        <row r="16">
          <cell r="C16" t="str">
            <v>Achmad Tawakkal</v>
          </cell>
          <cell r="D16" t="str">
            <v>SBU MNO</v>
          </cell>
          <cell r="E16">
            <v>5000</v>
          </cell>
          <cell r="F16">
            <v>31674262</v>
          </cell>
          <cell r="G16">
            <v>0</v>
          </cell>
          <cell r="H16">
            <v>4627606.0947436476</v>
          </cell>
          <cell r="I16">
            <v>947362.27815203788</v>
          </cell>
          <cell r="J16">
            <v>36306868.094743647</v>
          </cell>
          <cell r="K16" t="str">
            <v>AKTIF</v>
          </cell>
        </row>
        <row r="17">
          <cell r="C17" t="str">
            <v>Ade Prihadi</v>
          </cell>
          <cell r="D17" t="str">
            <v>CG</v>
          </cell>
          <cell r="E17">
            <v>0</v>
          </cell>
          <cell r="F17">
            <v>0</v>
          </cell>
          <cell r="G17">
            <v>0</v>
          </cell>
          <cell r="H17">
            <v>655986</v>
          </cell>
          <cell r="I17">
            <v>17116.772225413035</v>
          </cell>
          <cell r="J17">
            <v>655986</v>
          </cell>
          <cell r="K17" t="str">
            <v>PASIF</v>
          </cell>
        </row>
        <row r="18">
          <cell r="C18" t="str">
            <v>Ade Sugandi</v>
          </cell>
          <cell r="D18" t="str">
            <v>-</v>
          </cell>
          <cell r="E18">
            <v>0</v>
          </cell>
          <cell r="F18">
            <v>250000</v>
          </cell>
          <cell r="G18">
            <v>100000</v>
          </cell>
          <cell r="H18">
            <v>214116.93703242391</v>
          </cell>
          <cell r="I18">
            <v>14719.614625436621</v>
          </cell>
          <cell r="J18">
            <v>564116.93703242391</v>
          </cell>
          <cell r="K18" t="str">
            <v>PASIF</v>
          </cell>
        </row>
        <row r="19">
          <cell r="C19" t="str">
            <v>Adhitama Rama, ST.</v>
          </cell>
          <cell r="D19" t="str">
            <v>PHP</v>
          </cell>
          <cell r="E19">
            <v>0</v>
          </cell>
          <cell r="F19">
            <v>0</v>
          </cell>
          <cell r="G19">
            <v>0</v>
          </cell>
          <cell r="H19">
            <v>178433</v>
          </cell>
          <cell r="I19">
            <v>4655.8875014057066</v>
          </cell>
          <cell r="J19">
            <v>178433</v>
          </cell>
          <cell r="K19" t="str">
            <v>PASIF</v>
          </cell>
        </row>
        <row r="20">
          <cell r="C20" t="str">
            <v>Adi Iman Patria, B.Sc.</v>
          </cell>
          <cell r="D20" t="str">
            <v>MHC</v>
          </cell>
          <cell r="E20">
            <v>5000</v>
          </cell>
          <cell r="F20">
            <v>51003860</v>
          </cell>
          <cell r="G20">
            <v>805000</v>
          </cell>
          <cell r="H20">
            <v>4972176.1588893868</v>
          </cell>
          <cell r="I20">
            <v>1481729.2541544761</v>
          </cell>
          <cell r="J20">
            <v>56786036.158889383</v>
          </cell>
          <cell r="K20" t="str">
            <v>AKTIF</v>
          </cell>
        </row>
        <row r="21">
          <cell r="C21" t="str">
            <v>Aditia Warman</v>
          </cell>
          <cell r="D21" t="str">
            <v>-</v>
          </cell>
          <cell r="E21">
            <v>0</v>
          </cell>
          <cell r="F21">
            <v>0</v>
          </cell>
          <cell r="G21">
            <v>0</v>
          </cell>
          <cell r="H21">
            <v>2245019</v>
          </cell>
          <cell r="I21">
            <v>58579.724056191058</v>
          </cell>
          <cell r="J21">
            <v>2245019</v>
          </cell>
          <cell r="K21" t="str">
            <v>PASIF</v>
          </cell>
        </row>
        <row r="22">
          <cell r="C22" t="str">
            <v>Aditya Trisandriya P, ST</v>
          </cell>
          <cell r="D22" t="str">
            <v>STA</v>
          </cell>
          <cell r="E22">
            <v>5000</v>
          </cell>
          <cell r="F22">
            <v>40497275</v>
          </cell>
          <cell r="G22">
            <v>0</v>
          </cell>
          <cell r="H22">
            <v>3664986.8715578611</v>
          </cell>
          <cell r="I22">
            <v>1152465.0850408785</v>
          </cell>
          <cell r="J22">
            <v>44167261.871557862</v>
          </cell>
          <cell r="K22" t="str">
            <v>AKTIF</v>
          </cell>
        </row>
        <row r="23">
          <cell r="C23" t="str">
            <v>Afrizal</v>
          </cell>
          <cell r="D23" t="str">
            <v>-</v>
          </cell>
          <cell r="E23">
            <v>0</v>
          </cell>
          <cell r="F23">
            <v>0</v>
          </cell>
          <cell r="G23">
            <v>0</v>
          </cell>
          <cell r="H23">
            <v>131136.88025422418</v>
          </cell>
          <cell r="I23">
            <v>3421.7805100456708</v>
          </cell>
          <cell r="J23">
            <v>131136.88025422418</v>
          </cell>
          <cell r="K23" t="str">
            <v>PASIF</v>
          </cell>
        </row>
        <row r="24">
          <cell r="C24" t="str">
            <v>Agung Prihanto, Ir</v>
          </cell>
          <cell r="D24" t="str">
            <v>PHP</v>
          </cell>
          <cell r="E24">
            <v>5000</v>
          </cell>
          <cell r="F24">
            <v>72049876</v>
          </cell>
          <cell r="G24">
            <v>347500</v>
          </cell>
          <cell r="H24">
            <v>10727716.799185421</v>
          </cell>
          <cell r="I24">
            <v>2169129.9258232727</v>
          </cell>
          <cell r="J24">
            <v>83130092.799185425</v>
          </cell>
          <cell r="K24" t="str">
            <v>AKTIF</v>
          </cell>
        </row>
        <row r="25">
          <cell r="C25" t="str">
            <v>Agung Wicaksono, Ir</v>
          </cell>
          <cell r="D25" t="str">
            <v>MKS</v>
          </cell>
          <cell r="E25">
            <v>0</v>
          </cell>
          <cell r="F25">
            <v>0</v>
          </cell>
          <cell r="G25">
            <v>0</v>
          </cell>
          <cell r="H25">
            <v>944319.44910094142</v>
          </cell>
          <cell r="I25">
            <v>24640.313845552089</v>
          </cell>
          <cell r="J25">
            <v>944319.44910094142</v>
          </cell>
          <cell r="K25" t="str">
            <v>BUKAN ANGGOTA</v>
          </cell>
        </row>
        <row r="26">
          <cell r="C26" t="str">
            <v xml:space="preserve">Agus Siswoko  Ir </v>
          </cell>
          <cell r="D26" t="str">
            <v>PRB</v>
          </cell>
          <cell r="E26">
            <v>0</v>
          </cell>
          <cell r="F26">
            <v>0</v>
          </cell>
          <cell r="G26">
            <v>0</v>
          </cell>
          <cell r="H26">
            <v>6374025</v>
          </cell>
          <cell r="I26">
            <v>166318.69290516616</v>
          </cell>
          <cell r="J26">
            <v>6374025</v>
          </cell>
          <cell r="K26" t="str">
            <v>PASIF</v>
          </cell>
        </row>
        <row r="27">
          <cell r="C27" t="str">
            <v>Agus Salim, Ir</v>
          </cell>
          <cell r="D27" t="str">
            <v>PRB</v>
          </cell>
          <cell r="E27">
            <v>0</v>
          </cell>
          <cell r="F27">
            <v>0</v>
          </cell>
          <cell r="G27">
            <v>0</v>
          </cell>
          <cell r="H27">
            <v>93974.00803951174</v>
          </cell>
          <cell r="I27">
            <v>2452.0823473693886</v>
          </cell>
          <cell r="J27">
            <v>93974.00803951174</v>
          </cell>
          <cell r="K27" t="str">
            <v>PASIF</v>
          </cell>
        </row>
        <row r="28">
          <cell r="C28" t="str">
            <v>Agustang, ST</v>
          </cell>
          <cell r="D28" t="str">
            <v>BM</v>
          </cell>
          <cell r="E28">
            <v>0</v>
          </cell>
          <cell r="F28">
            <v>250000</v>
          </cell>
          <cell r="G28">
            <v>0</v>
          </cell>
          <cell r="H28">
            <v>10257.862840637797</v>
          </cell>
          <cell r="I28">
            <v>6790.9598041970166</v>
          </cell>
          <cell r="J28">
            <v>260257.8628406378</v>
          </cell>
          <cell r="K28" t="str">
            <v>PASIF</v>
          </cell>
        </row>
        <row r="29">
          <cell r="C29" t="str">
            <v>Ahmad Aliyudin</v>
          </cell>
          <cell r="D29" t="str">
            <v>MHC</v>
          </cell>
          <cell r="E29">
            <v>0</v>
          </cell>
          <cell r="F29">
            <v>-150000</v>
          </cell>
          <cell r="G29">
            <v>0</v>
          </cell>
          <cell r="H29">
            <v>-0.26117865927517414</v>
          </cell>
          <cell r="I29">
            <v>-3913.9864331671351</v>
          </cell>
          <cell r="J29">
            <v>-150000.26117865928</v>
          </cell>
          <cell r="K29" t="str">
            <v>BUKAN ANGGOTA</v>
          </cell>
        </row>
        <row r="30">
          <cell r="C30" t="str">
            <v>Ahmad Rifaid, Ir</v>
          </cell>
          <cell r="D30" t="str">
            <v>PR</v>
          </cell>
          <cell r="E30">
            <v>5000</v>
          </cell>
          <cell r="F30">
            <v>31052039</v>
          </cell>
          <cell r="G30">
            <v>0</v>
          </cell>
          <cell r="H30">
            <v>11831528.101108324</v>
          </cell>
          <cell r="I30">
            <v>1119099.8499114527</v>
          </cell>
          <cell r="J30">
            <v>42888567.101108328</v>
          </cell>
          <cell r="K30" t="str">
            <v>AKTIF</v>
          </cell>
        </row>
        <row r="31">
          <cell r="C31" t="str">
            <v>Ahmad Sariful Anwar, ST.</v>
          </cell>
          <cell r="D31" t="str">
            <v>PRB</v>
          </cell>
          <cell r="E31">
            <v>0</v>
          </cell>
          <cell r="F31">
            <v>0</v>
          </cell>
          <cell r="G31">
            <v>0</v>
          </cell>
          <cell r="H31">
            <v>91043.698968475335</v>
          </cell>
          <cell r="I31">
            <v>2375.6212141760097</v>
          </cell>
          <cell r="J31">
            <v>91043.698968475335</v>
          </cell>
          <cell r="K31" t="str">
            <v>PASIF</v>
          </cell>
        </row>
        <row r="32">
          <cell r="C32" t="str">
            <v>Ahmad Yunus</v>
          </cell>
          <cell r="D32" t="str">
            <v>PU</v>
          </cell>
          <cell r="E32">
            <v>5000</v>
          </cell>
          <cell r="F32">
            <v>12031788</v>
          </cell>
          <cell r="G32">
            <v>385000</v>
          </cell>
          <cell r="H32">
            <v>1595580.036971061</v>
          </cell>
          <cell r="I32">
            <v>365757.95198162564</v>
          </cell>
          <cell r="J32">
            <v>14017368.036971061</v>
          </cell>
          <cell r="K32" t="str">
            <v>AKTIF</v>
          </cell>
        </row>
        <row r="33">
          <cell r="C33" t="str">
            <v>Ahmad Zakky. ST</v>
          </cell>
          <cell r="D33" t="str">
            <v>MHC</v>
          </cell>
          <cell r="E33">
            <v>0</v>
          </cell>
          <cell r="F33">
            <v>450000</v>
          </cell>
          <cell r="G33">
            <v>0</v>
          </cell>
          <cell r="H33">
            <v>168972.27914970811</v>
          </cell>
          <cell r="I33">
            <v>16150.965898739192</v>
          </cell>
          <cell r="J33">
            <v>618972.27914970811</v>
          </cell>
          <cell r="K33" t="str">
            <v>PASIF</v>
          </cell>
        </row>
        <row r="34">
          <cell r="C34" t="str">
            <v>Akhmad Muliaddin</v>
          </cell>
          <cell r="D34" t="str">
            <v>PBC</v>
          </cell>
          <cell r="E34">
            <v>5000</v>
          </cell>
          <cell r="F34">
            <v>17100000</v>
          </cell>
          <cell r="G34">
            <v>0</v>
          </cell>
          <cell r="H34">
            <v>3597554.2421821384</v>
          </cell>
          <cell r="I34">
            <v>540195.83565455675</v>
          </cell>
          <cell r="J34">
            <v>20702554.242182139</v>
          </cell>
          <cell r="K34" t="str">
            <v>AKTIF</v>
          </cell>
        </row>
        <row r="35">
          <cell r="C35" t="str">
            <v>Alfonsus Susilarso, AMK-C</v>
          </cell>
          <cell r="D35" t="str">
            <v>SV</v>
          </cell>
          <cell r="E35">
            <v>0</v>
          </cell>
          <cell r="F35">
            <v>0</v>
          </cell>
          <cell r="G35">
            <v>0</v>
          </cell>
          <cell r="H35">
            <v>758204</v>
          </cell>
          <cell r="I35">
            <v>19783.966682821076</v>
          </cell>
          <cell r="J35">
            <v>758204</v>
          </cell>
          <cell r="K35" t="str">
            <v>PASIF</v>
          </cell>
        </row>
        <row r="36">
          <cell r="C36" t="str">
            <v>Ali Akbar Baso, S.T.</v>
          </cell>
          <cell r="D36" t="str">
            <v>TP</v>
          </cell>
          <cell r="E36">
            <v>200000</v>
          </cell>
          <cell r="F36">
            <v>4600000</v>
          </cell>
          <cell r="G36">
            <v>0</v>
          </cell>
          <cell r="H36">
            <v>287113.33870904706</v>
          </cell>
          <cell r="I36">
            <v>132739.05282055287</v>
          </cell>
          <cell r="J36">
            <v>5087113.3387090471</v>
          </cell>
          <cell r="K36" t="str">
            <v>PASIF</v>
          </cell>
        </row>
        <row r="37">
          <cell r="C37" t="str">
            <v>Alim Saadi, Ir</v>
          </cell>
          <cell r="D37" t="str">
            <v>R&amp;P</v>
          </cell>
          <cell r="E37">
            <v>5000</v>
          </cell>
          <cell r="F37">
            <v>67026138</v>
          </cell>
          <cell r="G37">
            <v>100000</v>
          </cell>
          <cell r="H37">
            <v>18578366.688969292</v>
          </cell>
          <cell r="I37">
            <v>2236435.0295799877</v>
          </cell>
          <cell r="J37">
            <v>85709504.688969284</v>
          </cell>
          <cell r="K37" t="str">
            <v>AKTIF</v>
          </cell>
        </row>
        <row r="38">
          <cell r="C38" t="str">
            <v>Andi Ardi Abdullah. ST</v>
          </cell>
          <cell r="D38" t="str">
            <v>MKSC</v>
          </cell>
          <cell r="E38">
            <v>5000</v>
          </cell>
          <cell r="F38">
            <v>11014161</v>
          </cell>
          <cell r="G38">
            <v>0</v>
          </cell>
          <cell r="H38">
            <v>6483033.6612403234</v>
          </cell>
          <cell r="I38">
            <v>456688.22118351719</v>
          </cell>
          <cell r="J38">
            <v>17502194.661240324</v>
          </cell>
          <cell r="K38" t="str">
            <v>AKTIF</v>
          </cell>
        </row>
        <row r="39">
          <cell r="C39" t="str">
            <v>Andi Arman, ST.</v>
          </cell>
          <cell r="D39" t="str">
            <v>SV</v>
          </cell>
          <cell r="E39">
            <v>5000</v>
          </cell>
          <cell r="F39">
            <v>26027980</v>
          </cell>
          <cell r="G39">
            <v>0</v>
          </cell>
          <cell r="H39">
            <v>2595890.8968992825</v>
          </cell>
          <cell r="I39">
            <v>747018.78121328994</v>
          </cell>
          <cell r="J39">
            <v>28628870.896899283</v>
          </cell>
          <cell r="K39" t="str">
            <v>AKTIF</v>
          </cell>
        </row>
        <row r="40">
          <cell r="C40" t="str">
            <v>Andi Lama Passesu</v>
          </cell>
          <cell r="D40" t="str">
            <v>MS</v>
          </cell>
          <cell r="E40">
            <v>5000</v>
          </cell>
          <cell r="F40">
            <v>42829884</v>
          </cell>
          <cell r="G40">
            <v>0</v>
          </cell>
          <cell r="H40">
            <v>7885941.5702402089</v>
          </cell>
          <cell r="I40">
            <v>1323468.516661494</v>
          </cell>
          <cell r="J40">
            <v>50720825.570240207</v>
          </cell>
          <cell r="K40" t="str">
            <v>AKTIF</v>
          </cell>
        </row>
        <row r="41">
          <cell r="C41" t="str">
            <v>Andi Nur Alim Kamal. ST</v>
          </cell>
          <cell r="D41" t="str">
            <v>PRB</v>
          </cell>
          <cell r="E41">
            <v>5000</v>
          </cell>
          <cell r="F41">
            <v>36739498</v>
          </cell>
          <cell r="G41">
            <v>0</v>
          </cell>
          <cell r="H41">
            <v>3418104.6031557173</v>
          </cell>
          <cell r="I41">
            <v>1047970.7200123129</v>
          </cell>
          <cell r="J41">
            <v>40162602.603155717</v>
          </cell>
          <cell r="K41" t="str">
            <v>AKTIF</v>
          </cell>
        </row>
        <row r="42">
          <cell r="C42" t="str">
            <v>Andi P. Siagian . ST</v>
          </cell>
          <cell r="D42" t="str">
            <v>BN</v>
          </cell>
          <cell r="E42">
            <v>5000</v>
          </cell>
          <cell r="F42">
            <v>22567478</v>
          </cell>
          <cell r="G42">
            <v>0</v>
          </cell>
          <cell r="H42">
            <v>2957160.9373265053</v>
          </cell>
          <cell r="I42">
            <v>666149.9097347405</v>
          </cell>
          <cell r="J42">
            <v>25529638.937326506</v>
          </cell>
          <cell r="K42" t="str">
            <v>AKTIF</v>
          </cell>
        </row>
        <row r="43">
          <cell r="C43" t="str">
            <v>Andri Suryawan, SH.</v>
          </cell>
          <cell r="D43" t="str">
            <v>SEKPER</v>
          </cell>
          <cell r="E43">
            <v>5000</v>
          </cell>
          <cell r="F43">
            <v>34895000</v>
          </cell>
          <cell r="G43">
            <v>400000</v>
          </cell>
          <cell r="H43">
            <v>2439370.0586363776</v>
          </cell>
          <cell r="I43">
            <v>984740.83474990539</v>
          </cell>
          <cell r="J43">
            <v>37739370.058636375</v>
          </cell>
          <cell r="K43" t="str">
            <v>AKTIF</v>
          </cell>
        </row>
        <row r="44">
          <cell r="C44" t="str">
            <v>Anita Magdalena, SH</v>
          </cell>
          <cell r="D44" t="str">
            <v>SPI</v>
          </cell>
          <cell r="E44">
            <v>5000</v>
          </cell>
          <cell r="F44">
            <v>33018134</v>
          </cell>
          <cell r="G44">
            <v>375000</v>
          </cell>
          <cell r="H44">
            <v>3585245.6240261719</v>
          </cell>
          <cell r="I44">
            <v>965014.62706587883</v>
          </cell>
          <cell r="J44">
            <v>36983379.624026172</v>
          </cell>
          <cell r="K44" t="str">
            <v>AKTIF</v>
          </cell>
        </row>
        <row r="45">
          <cell r="C45" t="str">
            <v>Anogi Akbar Ali, SE</v>
          </cell>
          <cell r="D45" t="str">
            <v>DOK</v>
          </cell>
          <cell r="E45">
            <v>5000</v>
          </cell>
          <cell r="F45">
            <v>48678542</v>
          </cell>
          <cell r="G45">
            <v>50000</v>
          </cell>
          <cell r="H45">
            <v>7147688.6876285914</v>
          </cell>
          <cell r="I45">
            <v>1458119.9863349211</v>
          </cell>
          <cell r="J45">
            <v>55881230.68762859</v>
          </cell>
          <cell r="K45" t="str">
            <v>AKTIF</v>
          </cell>
        </row>
        <row r="46">
          <cell r="C46" t="str">
            <v>Antong Goli, ST</v>
          </cell>
          <cell r="D46" t="str">
            <v>PK</v>
          </cell>
          <cell r="E46">
            <v>5000</v>
          </cell>
          <cell r="F46">
            <v>3375000</v>
          </cell>
          <cell r="G46">
            <v>0</v>
          </cell>
          <cell r="H46">
            <v>2064898.0712188201</v>
          </cell>
          <cell r="I46">
            <v>142074.80049214969</v>
          </cell>
          <cell r="J46">
            <v>5444898.0712188203</v>
          </cell>
          <cell r="K46" t="str">
            <v>PASIF</v>
          </cell>
        </row>
        <row r="47">
          <cell r="C47" t="str">
            <v>Aquarius Setiawan, ST</v>
          </cell>
          <cell r="D47" t="str">
            <v>SBC</v>
          </cell>
          <cell r="E47">
            <v>5000</v>
          </cell>
          <cell r="F47">
            <v>17234067</v>
          </cell>
          <cell r="G47">
            <v>0</v>
          </cell>
          <cell r="H47">
            <v>2562464.8644287493</v>
          </cell>
          <cell r="I47">
            <v>516685.2808408796</v>
          </cell>
          <cell r="J47">
            <v>19801531.864428751</v>
          </cell>
          <cell r="K47" t="str">
            <v>AKTIF</v>
          </cell>
        </row>
        <row r="48">
          <cell r="C48" t="str">
            <v>Ardhian Budi S.</v>
          </cell>
          <cell r="D48" t="str">
            <v>SBU MNO</v>
          </cell>
          <cell r="E48">
            <v>10000</v>
          </cell>
          <cell r="F48">
            <v>23713302</v>
          </cell>
          <cell r="G48">
            <v>0</v>
          </cell>
          <cell r="H48">
            <v>7291285.7900856202</v>
          </cell>
          <cell r="I48">
            <v>809269.76317782968</v>
          </cell>
          <cell r="J48">
            <v>31014587.790085621</v>
          </cell>
          <cell r="K48" t="str">
            <v>AKTIF</v>
          </cell>
        </row>
        <row r="49">
          <cell r="C49" t="str">
            <v>Arief Budi Permana, Ir</v>
          </cell>
          <cell r="D49" t="str">
            <v>DOK</v>
          </cell>
          <cell r="E49">
            <v>5000</v>
          </cell>
          <cell r="F49">
            <v>65130464</v>
          </cell>
          <cell r="G49">
            <v>0</v>
          </cell>
          <cell r="H49">
            <v>15185308.674577104</v>
          </cell>
          <cell r="I49">
            <v>2095825.7810988582</v>
          </cell>
          <cell r="J49">
            <v>80320772.674577102</v>
          </cell>
          <cell r="K49" t="str">
            <v>AKTIF</v>
          </cell>
        </row>
        <row r="50">
          <cell r="C50" t="str">
            <v>Arief Nurtjahjo, Ir</v>
          </cell>
          <cell r="D50" t="str">
            <v>BM</v>
          </cell>
          <cell r="E50">
            <v>0</v>
          </cell>
          <cell r="F50">
            <v>-450000</v>
          </cell>
          <cell r="G50">
            <v>0</v>
          </cell>
          <cell r="H50">
            <v>3247063</v>
          </cell>
          <cell r="I50">
            <v>72984.317151784431</v>
          </cell>
          <cell r="J50">
            <v>2797063</v>
          </cell>
          <cell r="K50" t="str">
            <v>PASIF</v>
          </cell>
        </row>
        <row r="51">
          <cell r="C51" t="str">
            <v>Arief Rachman</v>
          </cell>
          <cell r="D51" t="str">
            <v>SBU ENI</v>
          </cell>
          <cell r="E51">
            <v>5000</v>
          </cell>
          <cell r="F51">
            <v>20195858</v>
          </cell>
          <cell r="G51">
            <v>870000</v>
          </cell>
          <cell r="H51">
            <v>481379.46951379697</v>
          </cell>
          <cell r="I51">
            <v>562366.78787913139</v>
          </cell>
          <cell r="J51">
            <v>21552237.469513796</v>
          </cell>
          <cell r="K51" t="str">
            <v>AKTIF</v>
          </cell>
        </row>
        <row r="52">
          <cell r="C52" t="str">
            <v>Arief Sofyan</v>
          </cell>
          <cell r="D52" t="str">
            <v>-</v>
          </cell>
          <cell r="E52">
            <v>5000</v>
          </cell>
          <cell r="F52">
            <v>345000</v>
          </cell>
          <cell r="G52">
            <v>0</v>
          </cell>
          <cell r="H52">
            <v>641073.39025210997</v>
          </cell>
          <cell r="I52">
            <v>25860.273663787411</v>
          </cell>
          <cell r="J52">
            <v>991073.39025210997</v>
          </cell>
          <cell r="K52" t="str">
            <v>PASIF</v>
          </cell>
        </row>
        <row r="53">
          <cell r="C53" t="str">
            <v>Arief Sulistiono, Ir</v>
          </cell>
          <cell r="D53" t="str">
            <v>BJ</v>
          </cell>
          <cell r="E53">
            <v>5000</v>
          </cell>
          <cell r="F53">
            <v>50971058</v>
          </cell>
          <cell r="G53">
            <v>50000</v>
          </cell>
          <cell r="H53">
            <v>18495154.338957436</v>
          </cell>
          <cell r="I53">
            <v>1814030.7208393298</v>
          </cell>
          <cell r="J53">
            <v>69521212.338957429</v>
          </cell>
          <cell r="K53" t="str">
            <v>AKTIF</v>
          </cell>
        </row>
        <row r="54">
          <cell r="C54" t="str">
            <v>Arif Bijaksana Satria N, ST.</v>
          </cell>
          <cell r="D54" t="str">
            <v>SBU MNO</v>
          </cell>
          <cell r="E54">
            <v>5000</v>
          </cell>
          <cell r="F54">
            <v>33191147</v>
          </cell>
          <cell r="G54">
            <v>1310000</v>
          </cell>
          <cell r="H54">
            <v>3607267.5564135555</v>
          </cell>
          <cell r="I54">
            <v>994500.85168718908</v>
          </cell>
          <cell r="J54">
            <v>38113414.556413554</v>
          </cell>
          <cell r="K54" t="str">
            <v>AKTIF</v>
          </cell>
        </row>
        <row r="55">
          <cell r="C55" t="str">
            <v>Arif Purwono, ST</v>
          </cell>
          <cell r="D55" t="str">
            <v>BM</v>
          </cell>
          <cell r="E55">
            <v>0</v>
          </cell>
          <cell r="F55">
            <v>300000</v>
          </cell>
          <cell r="G55">
            <v>0</v>
          </cell>
          <cell r="H55">
            <v>115593.923975816</v>
          </cell>
          <cell r="I55">
            <v>10844.174319207519</v>
          </cell>
          <cell r="J55">
            <v>415593.923975816</v>
          </cell>
          <cell r="K55" t="str">
            <v>PASIF</v>
          </cell>
        </row>
        <row r="56">
          <cell r="C56" t="str">
            <v>Arif Yunaedi, M.Sc.</v>
          </cell>
          <cell r="D56" t="str">
            <v>STA</v>
          </cell>
          <cell r="E56">
            <v>5000</v>
          </cell>
          <cell r="F56">
            <v>48684577</v>
          </cell>
          <cell r="G56">
            <v>0</v>
          </cell>
          <cell r="H56">
            <v>1402515.3196779799</v>
          </cell>
          <cell r="I56">
            <v>1307062.8558083398</v>
          </cell>
          <cell r="J56">
            <v>50092092.319677979</v>
          </cell>
          <cell r="K56" t="str">
            <v>AKTIF</v>
          </cell>
        </row>
        <row r="57">
          <cell r="C57" t="str">
            <v>Arifuddin  ST</v>
          </cell>
          <cell r="D57" t="str">
            <v>CG</v>
          </cell>
          <cell r="E57">
            <v>5000</v>
          </cell>
          <cell r="F57">
            <v>21678235</v>
          </cell>
          <cell r="G57">
            <v>0</v>
          </cell>
          <cell r="H57">
            <v>8336359.4457243681</v>
          </cell>
          <cell r="I57">
            <v>783307.20537745976</v>
          </cell>
          <cell r="J57">
            <v>30019594.445724368</v>
          </cell>
          <cell r="K57" t="str">
            <v>AKTIF</v>
          </cell>
        </row>
        <row r="58">
          <cell r="C58" t="str">
            <v>Aris Susanto</v>
          </cell>
          <cell r="D58" t="str">
            <v>-</v>
          </cell>
          <cell r="E58">
            <v>5000</v>
          </cell>
          <cell r="F58">
            <v>195000</v>
          </cell>
          <cell r="G58">
            <v>0</v>
          </cell>
          <cell r="H58">
            <v>366059.09164868237</v>
          </cell>
          <cell r="I58">
            <v>14770.291649325898</v>
          </cell>
          <cell r="J58">
            <v>566059.09164868237</v>
          </cell>
          <cell r="K58" t="str">
            <v>PASIF</v>
          </cell>
        </row>
        <row r="59">
          <cell r="C59" t="str">
            <v>Armindary Arief. ST</v>
          </cell>
          <cell r="D59" t="str">
            <v>PRB</v>
          </cell>
          <cell r="E59">
            <v>5000</v>
          </cell>
          <cell r="F59">
            <v>34815979</v>
          </cell>
          <cell r="G59">
            <v>0</v>
          </cell>
          <cell r="H59">
            <v>4186466.9921936579</v>
          </cell>
          <cell r="I59">
            <v>1017828.990471564</v>
          </cell>
          <cell r="J59">
            <v>39007445.992193654</v>
          </cell>
          <cell r="K59" t="str">
            <v>AKTIF</v>
          </cell>
        </row>
        <row r="60">
          <cell r="C60" t="str">
            <v>Arsalnan Latif, Ir</v>
          </cell>
          <cell r="D60" t="str">
            <v>-</v>
          </cell>
          <cell r="E60">
            <v>5000</v>
          </cell>
          <cell r="F60">
            <v>0</v>
          </cell>
          <cell r="G60">
            <v>10000</v>
          </cell>
          <cell r="H60">
            <v>615</v>
          </cell>
          <cell r="I60">
            <v>407.44527825262207</v>
          </cell>
          <cell r="J60">
            <v>15615</v>
          </cell>
          <cell r="K60" t="str">
            <v>PASIF</v>
          </cell>
        </row>
        <row r="61">
          <cell r="C61" t="str">
            <v>Aryo Singgih, M.Mar.E</v>
          </cell>
          <cell r="D61" t="str">
            <v>CG</v>
          </cell>
          <cell r="E61">
            <v>5000</v>
          </cell>
          <cell r="F61">
            <v>30725000</v>
          </cell>
          <cell r="G61">
            <v>0</v>
          </cell>
          <cell r="H61">
            <v>5138224.4525707643</v>
          </cell>
          <cell r="I61">
            <v>935916.6629846429</v>
          </cell>
          <cell r="J61">
            <v>35868224.452570766</v>
          </cell>
          <cell r="K61" t="str">
            <v>AKTIF</v>
          </cell>
        </row>
        <row r="62">
          <cell r="C62" t="str">
            <v>Asep Supriatna</v>
          </cell>
          <cell r="D62" t="str">
            <v>SV</v>
          </cell>
          <cell r="E62">
            <v>0</v>
          </cell>
          <cell r="F62">
            <v>150000</v>
          </cell>
          <cell r="G62">
            <v>0</v>
          </cell>
          <cell r="H62">
            <v>360016.29083280242</v>
          </cell>
          <cell r="I62">
            <v>13307.955781731758</v>
          </cell>
          <cell r="J62">
            <v>510016.29083280242</v>
          </cell>
          <cell r="K62" t="str">
            <v>PASIF</v>
          </cell>
        </row>
        <row r="63">
          <cell r="C63" t="str">
            <v>Asep Sutrisna S, SH, MM</v>
          </cell>
          <cell r="D63" t="str">
            <v>-</v>
          </cell>
          <cell r="E63">
            <v>0</v>
          </cell>
          <cell r="F63">
            <v>0</v>
          </cell>
          <cell r="G63">
            <v>0</v>
          </cell>
          <cell r="H63">
            <v>2689342</v>
          </cell>
          <cell r="I63">
            <v>70173.531828784064</v>
          </cell>
          <cell r="J63">
            <v>2689342</v>
          </cell>
          <cell r="K63" t="str">
            <v>PASIF</v>
          </cell>
        </row>
        <row r="64">
          <cell r="C64" t="str">
            <v>Atjeh Nahan, Ing.</v>
          </cell>
          <cell r="D64" t="str">
            <v>DP</v>
          </cell>
          <cell r="E64">
            <v>0</v>
          </cell>
          <cell r="F64">
            <v>0</v>
          </cell>
          <cell r="G64">
            <v>0</v>
          </cell>
          <cell r="H64">
            <v>158480</v>
          </cell>
          <cell r="I64">
            <v>4135.2499325952958</v>
          </cell>
          <cell r="J64">
            <v>158480</v>
          </cell>
          <cell r="K64" t="str">
            <v>PASIF</v>
          </cell>
        </row>
        <row r="65">
          <cell r="C65" t="str">
            <v>Awan Setiawan</v>
          </cell>
          <cell r="D65" t="str">
            <v>MAC</v>
          </cell>
          <cell r="E65">
            <v>100000</v>
          </cell>
          <cell r="F65">
            <v>0</v>
          </cell>
          <cell r="G65">
            <v>300000</v>
          </cell>
          <cell r="H65">
            <v>9360.4320591230644</v>
          </cell>
          <cell r="I65">
            <v>10681.52258379398</v>
          </cell>
          <cell r="J65">
            <v>409360.43205912306</v>
          </cell>
          <cell r="K65" t="str">
            <v>BUKAN ANGGOTA</v>
          </cell>
        </row>
        <row r="66">
          <cell r="C66" t="str">
            <v>Azwar Firly</v>
          </cell>
          <cell r="D66" t="str">
            <v>-</v>
          </cell>
          <cell r="E66">
            <v>0</v>
          </cell>
          <cell r="F66">
            <v>0</v>
          </cell>
          <cell r="G66">
            <v>0</v>
          </cell>
          <cell r="H66">
            <v>187636.02426670026</v>
          </cell>
          <cell r="I66">
            <v>4896.0238307756281</v>
          </cell>
          <cell r="J66">
            <v>187636.02426670026</v>
          </cell>
          <cell r="K66" t="str">
            <v>PASIF</v>
          </cell>
        </row>
        <row r="67">
          <cell r="C67" t="str">
            <v>Bagyono</v>
          </cell>
          <cell r="D67" t="str">
            <v>SB</v>
          </cell>
          <cell r="E67">
            <v>5000</v>
          </cell>
          <cell r="F67">
            <v>5919993</v>
          </cell>
          <cell r="G67">
            <v>0</v>
          </cell>
          <cell r="H67">
            <v>361804.24674366548</v>
          </cell>
          <cell r="I67">
            <v>164042.64191593282</v>
          </cell>
          <cell r="J67">
            <v>6286797.2467436651</v>
          </cell>
          <cell r="K67" t="str">
            <v>PASIF</v>
          </cell>
        </row>
        <row r="68">
          <cell r="C68" t="str">
            <v>Bahrun Saad, Ir</v>
          </cell>
          <cell r="D68" t="str">
            <v>DOC</v>
          </cell>
          <cell r="E68">
            <v>5000</v>
          </cell>
          <cell r="F68">
            <v>44129430</v>
          </cell>
          <cell r="G68">
            <v>0</v>
          </cell>
          <cell r="H68">
            <v>9708672.6558021065</v>
          </cell>
          <cell r="I68">
            <v>1404938.7091628425</v>
          </cell>
          <cell r="J68">
            <v>53843102.655802108</v>
          </cell>
          <cell r="K68" t="str">
            <v>BUKAN ANGGOTA\</v>
          </cell>
        </row>
        <row r="69">
          <cell r="C69" t="str">
            <v>Bakir</v>
          </cell>
          <cell r="D69" t="str">
            <v>SBU ENI</v>
          </cell>
          <cell r="E69">
            <v>0</v>
          </cell>
          <cell r="F69">
            <v>150000</v>
          </cell>
          <cell r="G69">
            <v>0</v>
          </cell>
          <cell r="H69">
            <v>98501.939064097591</v>
          </cell>
          <cell r="I69">
            <v>6484.2101638352469</v>
          </cell>
          <cell r="J69">
            <v>248501.93906409759</v>
          </cell>
          <cell r="K69" t="str">
            <v>PASIF</v>
          </cell>
        </row>
        <row r="70">
          <cell r="C70" t="str">
            <v>Bambang Hariyadi</v>
          </cell>
          <cell r="D70" t="str">
            <v>-</v>
          </cell>
          <cell r="E70">
            <v>0</v>
          </cell>
          <cell r="F70">
            <v>0</v>
          </cell>
          <cell r="G70">
            <v>0</v>
          </cell>
          <cell r="H70">
            <v>257415.91496638936</v>
          </cell>
          <cell r="I70">
            <v>6716.8042971587456</v>
          </cell>
          <cell r="J70">
            <v>257415.91496638936</v>
          </cell>
          <cell r="K70" t="str">
            <v>PASIF</v>
          </cell>
        </row>
        <row r="71">
          <cell r="C71" t="str">
            <v>Bambang Irwan</v>
          </cell>
          <cell r="D71" t="str">
            <v>CG</v>
          </cell>
          <cell r="E71">
            <v>5000</v>
          </cell>
          <cell r="F71">
            <v>26511013</v>
          </cell>
          <cell r="G71">
            <v>210000</v>
          </cell>
          <cell r="H71">
            <v>2340277.3967899773</v>
          </cell>
          <cell r="I71">
            <v>758432.45459440339</v>
          </cell>
          <cell r="J71">
            <v>29066290.396789975</v>
          </cell>
          <cell r="K71" t="str">
            <v>AKTIF</v>
          </cell>
        </row>
        <row r="72">
          <cell r="C72" t="str">
            <v>Bambang Riyanto, Ir</v>
          </cell>
          <cell r="D72" t="str">
            <v>SB</v>
          </cell>
          <cell r="E72">
            <v>5000</v>
          </cell>
          <cell r="F72">
            <v>26494515</v>
          </cell>
          <cell r="G72">
            <v>50000</v>
          </cell>
          <cell r="H72">
            <v>12090736.234782189</v>
          </cell>
          <cell r="I72">
            <v>1008247.7051621552</v>
          </cell>
          <cell r="J72">
            <v>38640251.234782189</v>
          </cell>
          <cell r="K72" t="str">
            <v>AKTIF</v>
          </cell>
        </row>
        <row r="73">
          <cell r="C73" t="str">
            <v>Bambang Sugiono</v>
          </cell>
          <cell r="D73" t="str">
            <v>PRB</v>
          </cell>
          <cell r="E73">
            <v>0</v>
          </cell>
          <cell r="F73">
            <v>350000</v>
          </cell>
          <cell r="G73">
            <v>0</v>
          </cell>
          <cell r="H73">
            <v>36242</v>
          </cell>
          <cell r="I73">
            <v>10078.288771235944</v>
          </cell>
          <cell r="J73">
            <v>386242</v>
          </cell>
          <cell r="K73" t="str">
            <v>PASIF</v>
          </cell>
        </row>
        <row r="74">
          <cell r="C74" t="str">
            <v>Bambang Sutomo, Ir</v>
          </cell>
          <cell r="D74" t="str">
            <v>SV</v>
          </cell>
          <cell r="E74">
            <v>5000</v>
          </cell>
          <cell r="F74">
            <v>38484477</v>
          </cell>
          <cell r="G74">
            <v>10000</v>
          </cell>
          <cell r="H74">
            <v>7342033.7030569594</v>
          </cell>
          <cell r="I74">
            <v>1196151.5903892154</v>
          </cell>
          <cell r="J74">
            <v>45841510.703056961</v>
          </cell>
          <cell r="K74" t="str">
            <v>AKTIF</v>
          </cell>
        </row>
        <row r="75">
          <cell r="C75" t="str">
            <v>Bambang Tri Suharto, Ir</v>
          </cell>
          <cell r="D75" t="str">
            <v>-</v>
          </cell>
          <cell r="E75">
            <v>0</v>
          </cell>
          <cell r="F75">
            <v>0</v>
          </cell>
          <cell r="G75">
            <v>0</v>
          </cell>
          <cell r="H75">
            <v>172826.47710640822</v>
          </cell>
          <cell r="I75">
            <v>4509.5953925098247</v>
          </cell>
          <cell r="J75">
            <v>172826.47710640822</v>
          </cell>
          <cell r="K75" t="str">
            <v>PASIF</v>
          </cell>
        </row>
        <row r="76">
          <cell r="C76" t="str">
            <v>Bambang Wardoyo</v>
          </cell>
          <cell r="D76" t="str">
            <v>BJ</v>
          </cell>
          <cell r="E76">
            <v>5000</v>
          </cell>
          <cell r="F76">
            <v>18833939</v>
          </cell>
          <cell r="G76">
            <v>0</v>
          </cell>
          <cell r="H76">
            <v>2805580.6892301859</v>
          </cell>
          <cell r="I76">
            <v>564774.72605973424</v>
          </cell>
          <cell r="J76">
            <v>21644519.689230185</v>
          </cell>
          <cell r="K76" t="str">
            <v>AKTIF</v>
          </cell>
        </row>
        <row r="77">
          <cell r="C77" t="str">
            <v>Bambang Wijanarko.</v>
          </cell>
          <cell r="D77" t="str">
            <v>SBU ENI</v>
          </cell>
          <cell r="E77">
            <v>5000</v>
          </cell>
          <cell r="F77">
            <v>23814881</v>
          </cell>
          <cell r="G77">
            <v>980000</v>
          </cell>
          <cell r="H77">
            <v>4073381.8017415535</v>
          </cell>
          <cell r="I77">
            <v>753395.74744263024</v>
          </cell>
          <cell r="J77">
            <v>28873262.801741555</v>
          </cell>
          <cell r="K77" t="str">
            <v>AKTIF</v>
          </cell>
        </row>
        <row r="78">
          <cell r="C78" t="str">
            <v>Bawa Prasetyo, ST.</v>
          </cell>
          <cell r="D78" t="str">
            <v>PK</v>
          </cell>
          <cell r="E78">
            <v>5000</v>
          </cell>
          <cell r="F78">
            <v>4352980</v>
          </cell>
          <cell r="G78">
            <v>150000</v>
          </cell>
          <cell r="H78">
            <v>2820477.4376360811</v>
          </cell>
          <cell r="I78">
            <v>191222.88695742111</v>
          </cell>
          <cell r="J78">
            <v>7328457.4376360811</v>
          </cell>
          <cell r="K78" t="str">
            <v>PASIF</v>
          </cell>
        </row>
        <row r="79">
          <cell r="C79" t="str">
            <v>Benny Hermawan, Ir</v>
          </cell>
          <cell r="D79" t="str">
            <v>SV</v>
          </cell>
          <cell r="E79">
            <v>5000</v>
          </cell>
          <cell r="F79">
            <v>32482113</v>
          </cell>
          <cell r="G79">
            <v>0</v>
          </cell>
          <cell r="H79">
            <v>12148421.300081162</v>
          </cell>
          <cell r="I79">
            <v>1164683.8099808535</v>
          </cell>
          <cell r="J79">
            <v>44635534.300081164</v>
          </cell>
          <cell r="K79" t="str">
            <v>AKTIF</v>
          </cell>
        </row>
        <row r="80">
          <cell r="C80" t="str">
            <v>Benny Hosbrantas, Drs</v>
          </cell>
          <cell r="D80" t="str">
            <v>BP</v>
          </cell>
          <cell r="E80">
            <v>5000</v>
          </cell>
          <cell r="F80">
            <v>724127</v>
          </cell>
          <cell r="G80">
            <v>71000</v>
          </cell>
          <cell r="H80">
            <v>3473214.9178432897</v>
          </cell>
          <cell r="I80">
            <v>111505.15445304212</v>
          </cell>
          <cell r="J80">
            <v>4273341.9178432897</v>
          </cell>
          <cell r="K80" t="str">
            <v>PASIF</v>
          </cell>
        </row>
        <row r="81">
          <cell r="C81" t="str">
            <v>Berman Simarmata, Amd</v>
          </cell>
          <cell r="D81" t="str">
            <v>BMC</v>
          </cell>
          <cell r="E81">
            <v>5000</v>
          </cell>
          <cell r="F81">
            <v>20157208</v>
          </cell>
          <cell r="G81">
            <v>0</v>
          </cell>
          <cell r="H81">
            <v>5072397.0808539558</v>
          </cell>
          <cell r="I81">
            <v>658451.53306202823</v>
          </cell>
          <cell r="J81">
            <v>25234605.080853954</v>
          </cell>
          <cell r="K81" t="str">
            <v>AKTIF</v>
          </cell>
        </row>
        <row r="82">
          <cell r="C82" t="str">
            <v>Bogi Akhmad Suendar</v>
          </cell>
          <cell r="D82" t="str">
            <v>BM</v>
          </cell>
          <cell r="E82">
            <v>0</v>
          </cell>
          <cell r="F82">
            <v>100000</v>
          </cell>
          <cell r="G82">
            <v>0</v>
          </cell>
          <cell r="H82">
            <v>4103</v>
          </cell>
          <cell r="I82">
            <v>2716.3801346098439</v>
          </cell>
          <cell r="J82">
            <v>104103</v>
          </cell>
          <cell r="K82" t="str">
            <v>PASIF</v>
          </cell>
        </row>
        <row r="83">
          <cell r="C83" t="str">
            <v>Budi Isrofi, Ir</v>
          </cell>
          <cell r="D83" t="str">
            <v>BM</v>
          </cell>
          <cell r="E83">
            <v>5000</v>
          </cell>
          <cell r="F83">
            <v>27207578</v>
          </cell>
          <cell r="G83">
            <v>0</v>
          </cell>
          <cell r="H83">
            <v>13372102.281909594</v>
          </cell>
          <cell r="I83">
            <v>1058984.0762251911</v>
          </cell>
          <cell r="J83">
            <v>40584680.281909592</v>
          </cell>
          <cell r="K83" t="str">
            <v>AKTIF</v>
          </cell>
        </row>
        <row r="84">
          <cell r="C84" t="str">
            <v>Budi Prakoso, Ir</v>
          </cell>
          <cell r="D84" t="str">
            <v>SBU MNO</v>
          </cell>
          <cell r="E84">
            <v>5000</v>
          </cell>
          <cell r="F84">
            <v>28964030</v>
          </cell>
          <cell r="G84">
            <v>35000</v>
          </cell>
          <cell r="H84">
            <v>10399638.399201324</v>
          </cell>
          <cell r="I84">
            <v>1028167.6999735278</v>
          </cell>
          <cell r="J84">
            <v>39403668.399201326</v>
          </cell>
          <cell r="K84" t="str">
            <v>AKTIF</v>
          </cell>
        </row>
        <row r="85">
          <cell r="C85" t="str">
            <v>Budi Setiawan</v>
          </cell>
          <cell r="D85" t="str">
            <v>PU</v>
          </cell>
          <cell r="E85">
            <v>0</v>
          </cell>
          <cell r="F85">
            <v>0</v>
          </cell>
          <cell r="G85">
            <v>0</v>
          </cell>
          <cell r="H85">
            <v>129439.66081371275</v>
          </cell>
          <cell r="I85">
            <v>3377.4946280607246</v>
          </cell>
          <cell r="J85">
            <v>129439.66081371275</v>
          </cell>
          <cell r="K85" t="str">
            <v>PASIF</v>
          </cell>
        </row>
        <row r="86">
          <cell r="C86" t="str">
            <v>Budiman Johansyah, S.T</v>
          </cell>
          <cell r="D86" t="str">
            <v>BPC</v>
          </cell>
          <cell r="E86">
            <v>5000</v>
          </cell>
          <cell r="F86">
            <v>16616599</v>
          </cell>
          <cell r="G86">
            <v>75000</v>
          </cell>
          <cell r="H86">
            <v>5952044.8390154121</v>
          </cell>
          <cell r="I86">
            <v>590975.53576895094</v>
          </cell>
          <cell r="J86">
            <v>22648643.839015413</v>
          </cell>
          <cell r="K86" t="str">
            <v>AKTIF</v>
          </cell>
        </row>
        <row r="87">
          <cell r="C87" t="str">
            <v>Burhanuddin</v>
          </cell>
          <cell r="D87" t="str">
            <v>SBU ENI</v>
          </cell>
          <cell r="E87">
            <v>5000</v>
          </cell>
          <cell r="F87">
            <v>14998751</v>
          </cell>
          <cell r="G87">
            <v>1203500</v>
          </cell>
          <cell r="H87">
            <v>863490.69292027259</v>
          </cell>
          <cell r="I87">
            <v>445430.23368879518</v>
          </cell>
          <cell r="J87">
            <v>17070741.692920271</v>
          </cell>
          <cell r="K87" t="str">
            <v>AKTIF</v>
          </cell>
        </row>
        <row r="88">
          <cell r="C88" t="str">
            <v>Catur Achiryanto. St</v>
          </cell>
          <cell r="D88" t="str">
            <v>MHC</v>
          </cell>
          <cell r="E88">
            <v>0</v>
          </cell>
          <cell r="F88">
            <v>0</v>
          </cell>
          <cell r="G88">
            <v>0</v>
          </cell>
          <cell r="H88">
            <v>301678.76542388438</v>
          </cell>
          <cell r="I88">
            <v>7871.7635940468826</v>
          </cell>
          <cell r="J88">
            <v>301678.76542388438</v>
          </cell>
          <cell r="K88" t="str">
            <v>PASIF</v>
          </cell>
        </row>
        <row r="89">
          <cell r="C89" t="str">
            <v>Chalis Umar, Ir.</v>
          </cell>
          <cell r="D89" t="str">
            <v>DP</v>
          </cell>
          <cell r="E89">
            <v>5000</v>
          </cell>
          <cell r="F89">
            <v>3741961</v>
          </cell>
          <cell r="G89">
            <v>8100</v>
          </cell>
          <cell r="H89">
            <v>8509881.3008612171</v>
          </cell>
          <cell r="I89">
            <v>320031.56122489617</v>
          </cell>
          <cell r="J89">
            <v>12264942.300861217</v>
          </cell>
          <cell r="K89" t="str">
            <v>PASIF</v>
          </cell>
        </row>
        <row r="90">
          <cell r="C90" t="str">
            <v>Dachlius</v>
          </cell>
          <cell r="D90" t="str">
            <v>-</v>
          </cell>
          <cell r="E90">
            <v>0</v>
          </cell>
          <cell r="F90">
            <v>0</v>
          </cell>
          <cell r="G90">
            <v>0</v>
          </cell>
          <cell r="H90">
            <v>212760</v>
          </cell>
          <cell r="I90">
            <v>5551.5886904276576</v>
          </cell>
          <cell r="J90">
            <v>212760</v>
          </cell>
          <cell r="K90" t="str">
            <v>PASIF</v>
          </cell>
        </row>
        <row r="91">
          <cell r="C91" t="str">
            <v>Dandy Rukmana, SE</v>
          </cell>
          <cell r="D91" t="str">
            <v>ACD</v>
          </cell>
          <cell r="E91">
            <v>200000</v>
          </cell>
          <cell r="F91">
            <v>7300000</v>
          </cell>
          <cell r="G91">
            <v>0</v>
          </cell>
          <cell r="H91">
            <v>251545</v>
          </cell>
          <cell r="I91">
            <v>202262.59426274232</v>
          </cell>
          <cell r="J91">
            <v>7751545</v>
          </cell>
          <cell r="K91" t="str">
            <v>AKTIF</v>
          </cell>
        </row>
        <row r="92">
          <cell r="C92" t="str">
            <v>Dani Maulana. ST</v>
          </cell>
          <cell r="D92" t="str">
            <v>SM</v>
          </cell>
          <cell r="E92">
            <v>5000</v>
          </cell>
          <cell r="F92">
            <v>3417478</v>
          </cell>
          <cell r="G92">
            <v>0</v>
          </cell>
          <cell r="H92">
            <v>2706538.1438119644</v>
          </cell>
          <cell r="I92">
            <v>159925.62844254106</v>
          </cell>
          <cell r="J92">
            <v>6129016.1438119644</v>
          </cell>
          <cell r="K92" t="str">
            <v>PASIF</v>
          </cell>
        </row>
        <row r="93">
          <cell r="C93" t="str">
            <v>Darma Toding</v>
          </cell>
          <cell r="D93" t="str">
            <v>BT</v>
          </cell>
          <cell r="E93">
            <v>5000</v>
          </cell>
          <cell r="F93">
            <v>145000</v>
          </cell>
          <cell r="G93">
            <v>0</v>
          </cell>
          <cell r="H93">
            <v>609776.87621802255</v>
          </cell>
          <cell r="I93">
            <v>19825.008052549485</v>
          </cell>
          <cell r="J93">
            <v>759776.87621802255</v>
          </cell>
          <cell r="K93" t="str">
            <v>PASIF</v>
          </cell>
        </row>
        <row r="94">
          <cell r="C94" t="str">
            <v>David Noer Syuhada, Ir</v>
          </cell>
          <cell r="D94" t="str">
            <v>SV</v>
          </cell>
          <cell r="E94">
            <v>5000</v>
          </cell>
          <cell r="F94">
            <v>13945000</v>
          </cell>
          <cell r="G94">
            <v>25000</v>
          </cell>
          <cell r="H94">
            <v>682122.14723111736</v>
          </cell>
          <cell r="I94">
            <v>382451.18230299407</v>
          </cell>
          <cell r="J94">
            <v>14657122.147231117</v>
          </cell>
          <cell r="K94" t="str">
            <v>AKTIF</v>
          </cell>
        </row>
        <row r="95">
          <cell r="C95" t="str">
            <v>Dede Ma'mun, SE</v>
          </cell>
          <cell r="D95" t="str">
            <v>KU</v>
          </cell>
          <cell r="E95">
            <v>5000</v>
          </cell>
          <cell r="F95">
            <v>36237174</v>
          </cell>
          <cell r="G95">
            <v>777000</v>
          </cell>
          <cell r="H95">
            <v>3374673.78595385</v>
          </cell>
          <cell r="I95">
            <v>1054004.6462274755</v>
          </cell>
          <cell r="J95">
            <v>40393847.78595385</v>
          </cell>
          <cell r="K95" t="str">
            <v>AKTIF</v>
          </cell>
        </row>
        <row r="96">
          <cell r="C96" t="str">
            <v>Dede Nanda S, ST</v>
          </cell>
          <cell r="D96" t="str">
            <v>SD</v>
          </cell>
          <cell r="E96">
            <v>5000</v>
          </cell>
          <cell r="F96">
            <v>9252980</v>
          </cell>
          <cell r="G96">
            <v>0</v>
          </cell>
          <cell r="H96">
            <v>4034408.2604847429</v>
          </cell>
          <cell r="I96">
            <v>346840.91152322083</v>
          </cell>
          <cell r="J96">
            <v>13292388.260484744</v>
          </cell>
          <cell r="K96" t="str">
            <v>PASIF</v>
          </cell>
        </row>
        <row r="97">
          <cell r="C97" t="str">
            <v>Dedi Megananda, Ir</v>
          </cell>
          <cell r="D97" t="str">
            <v>BM</v>
          </cell>
          <cell r="E97">
            <v>0</v>
          </cell>
          <cell r="F97">
            <v>350000</v>
          </cell>
          <cell r="G97" t="str">
            <v xml:space="preserve"> </v>
          </cell>
          <cell r="H97">
            <v>0</v>
          </cell>
          <cell r="I97">
            <v>9132.6191090885513</v>
          </cell>
          <cell r="J97">
            <v>350000</v>
          </cell>
          <cell r="K97" t="str">
            <v>BUKAN ANGGOTA</v>
          </cell>
        </row>
        <row r="98">
          <cell r="C98" t="str">
            <v>Dedy Haryadi</v>
          </cell>
          <cell r="D98" t="str">
            <v>PK</v>
          </cell>
          <cell r="E98">
            <v>5000</v>
          </cell>
          <cell r="F98">
            <v>7746114</v>
          </cell>
          <cell r="G98">
            <v>0</v>
          </cell>
          <cell r="H98">
            <v>5220610.76732904</v>
          </cell>
          <cell r="I98">
            <v>338473.77567984699</v>
          </cell>
          <cell r="J98">
            <v>12971724.767329041</v>
          </cell>
          <cell r="K98" t="str">
            <v>PASIF</v>
          </cell>
        </row>
        <row r="99">
          <cell r="C99" t="str">
            <v>Defri Sumarwan, ST</v>
          </cell>
          <cell r="D99" t="str">
            <v>R&amp;P</v>
          </cell>
          <cell r="E99">
            <v>0</v>
          </cell>
          <cell r="F99">
            <v>0</v>
          </cell>
          <cell r="G99">
            <v>0</v>
          </cell>
          <cell r="H99">
            <v>127872.24396993453</v>
          </cell>
          <cell r="I99">
            <v>3336.5957108624493</v>
          </cell>
          <cell r="J99">
            <v>127872.24396993453</v>
          </cell>
          <cell r="K99" t="str">
            <v>PASIF</v>
          </cell>
        </row>
        <row r="100">
          <cell r="C100" t="str">
            <v>Dermawan</v>
          </cell>
          <cell r="D100" t="str">
            <v>PK</v>
          </cell>
          <cell r="E100">
            <v>5000</v>
          </cell>
          <cell r="F100">
            <v>11460815</v>
          </cell>
          <cell r="G100">
            <v>0</v>
          </cell>
          <cell r="H100">
            <v>13884342.210328614</v>
          </cell>
          <cell r="I100">
            <v>661466.65759270301</v>
          </cell>
          <cell r="J100">
            <v>25350157.210328616</v>
          </cell>
          <cell r="K100" t="str">
            <v>PASIF</v>
          </cell>
        </row>
        <row r="101">
          <cell r="C101" t="str">
            <v>Desi Hardianawati</v>
          </cell>
          <cell r="D101" t="str">
            <v>MHC</v>
          </cell>
          <cell r="E101">
            <v>5000</v>
          </cell>
          <cell r="F101">
            <v>23643744</v>
          </cell>
          <cell r="G101">
            <v>710000</v>
          </cell>
          <cell r="H101">
            <v>2014556.8507878548</v>
          </cell>
          <cell r="I101">
            <v>688163.74662756152</v>
          </cell>
          <cell r="J101">
            <v>26373300.850787856</v>
          </cell>
          <cell r="K101" t="str">
            <v>AKTIF</v>
          </cell>
        </row>
        <row r="102">
          <cell r="C102" t="str">
            <v>Dian Endang Wahyuni</v>
          </cell>
          <cell r="D102" t="str">
            <v>PB</v>
          </cell>
          <cell r="E102">
            <v>0</v>
          </cell>
          <cell r="F102">
            <v>-100000</v>
          </cell>
          <cell r="G102">
            <v>0</v>
          </cell>
          <cell r="H102">
            <v>-0.11474365741014481</v>
          </cell>
          <cell r="I102">
            <v>-2609.3227394827813</v>
          </cell>
          <cell r="J102">
            <v>-100000.11474365741</v>
          </cell>
          <cell r="K102" t="str">
            <v>BUKAN ANGGOTA</v>
          </cell>
        </row>
        <row r="103">
          <cell r="C103" t="str">
            <v>Didi Kurniadi, Ir</v>
          </cell>
          <cell r="D103" t="str">
            <v>TP</v>
          </cell>
          <cell r="E103">
            <v>5000</v>
          </cell>
          <cell r="F103">
            <v>42110800</v>
          </cell>
          <cell r="G103">
            <v>85000</v>
          </cell>
          <cell r="H103">
            <v>7375295.2878306126</v>
          </cell>
          <cell r="I103">
            <v>1293598.8433703906</v>
          </cell>
          <cell r="J103">
            <v>49576095.287830614</v>
          </cell>
          <cell r="K103" t="str">
            <v>AKTIF</v>
          </cell>
        </row>
        <row r="104">
          <cell r="C104" t="str">
            <v>Diding Suwandi, Ir</v>
          </cell>
          <cell r="D104" t="str">
            <v>IT</v>
          </cell>
          <cell r="E104">
            <v>5000</v>
          </cell>
          <cell r="F104">
            <v>55061930</v>
          </cell>
          <cell r="G104">
            <v>1103000</v>
          </cell>
          <cell r="H104">
            <v>4975743.9202253316</v>
          </cell>
          <cell r="I104">
            <v>1595486.1430912779</v>
          </cell>
          <cell r="J104">
            <v>61145673.92022533</v>
          </cell>
          <cell r="K104" t="str">
            <v>AKTIF</v>
          </cell>
        </row>
        <row r="105">
          <cell r="C105" t="str">
            <v>Didiet E Firmansyah.</v>
          </cell>
          <cell r="D105" t="str">
            <v>PU</v>
          </cell>
          <cell r="E105">
            <v>5000</v>
          </cell>
          <cell r="F105">
            <v>33804821</v>
          </cell>
          <cell r="G105">
            <v>170000</v>
          </cell>
          <cell r="H105">
            <v>3944369.7540122699</v>
          </cell>
          <cell r="I105">
            <v>989563.3976480338</v>
          </cell>
          <cell r="J105">
            <v>37924190.754012272</v>
          </cell>
          <cell r="K105" t="str">
            <v>AKTIF</v>
          </cell>
        </row>
        <row r="106">
          <cell r="C106" t="str">
            <v>Dino Vito Larasanto</v>
          </cell>
          <cell r="D106" t="str">
            <v>SBU ENI</v>
          </cell>
          <cell r="E106">
            <v>5000</v>
          </cell>
          <cell r="F106">
            <v>19970858</v>
          </cell>
          <cell r="G106">
            <v>910000</v>
          </cell>
          <cell r="H106">
            <v>2355194.1335874782</v>
          </cell>
          <cell r="I106">
            <v>606433.36237292644</v>
          </cell>
          <cell r="J106">
            <v>23241052.13358748</v>
          </cell>
          <cell r="K106" t="str">
            <v>AKTIF</v>
          </cell>
        </row>
        <row r="107">
          <cell r="C107" t="str">
            <v>Dismir Abdoh</v>
          </cell>
          <cell r="D107" t="str">
            <v>-</v>
          </cell>
          <cell r="E107">
            <v>0</v>
          </cell>
          <cell r="F107">
            <v>0</v>
          </cell>
          <cell r="G107">
            <v>0</v>
          </cell>
          <cell r="H107">
            <v>1762733</v>
          </cell>
          <cell r="I107">
            <v>45995.340228631394</v>
          </cell>
          <cell r="J107">
            <v>1762733</v>
          </cell>
          <cell r="K107" t="str">
            <v>PASIF</v>
          </cell>
        </row>
        <row r="108">
          <cell r="C108" t="str">
            <v>Djoko Wahyudi. Ir</v>
          </cell>
          <cell r="D108" t="str">
            <v>SR</v>
          </cell>
          <cell r="E108">
            <v>0</v>
          </cell>
          <cell r="F108">
            <v>1050000</v>
          </cell>
          <cell r="G108">
            <v>0</v>
          </cell>
          <cell r="H108">
            <v>143421.94104187435</v>
          </cell>
          <cell r="I108">
            <v>31140.194354184488</v>
          </cell>
          <cell r="J108">
            <v>1193421.9410418742</v>
          </cell>
          <cell r="K108" t="str">
            <v>PASIF</v>
          </cell>
        </row>
        <row r="109">
          <cell r="C109" t="str">
            <v>Doan Oskar Dewandaru. Ir</v>
          </cell>
          <cell r="D109" t="str">
            <v>AB</v>
          </cell>
          <cell r="E109">
            <v>5000</v>
          </cell>
          <cell r="F109">
            <v>21036013</v>
          </cell>
          <cell r="G109">
            <v>40000</v>
          </cell>
          <cell r="H109">
            <v>1799107.9622507792</v>
          </cell>
          <cell r="I109">
            <v>597015.51405174006</v>
          </cell>
          <cell r="J109">
            <v>22880120.96225078</v>
          </cell>
          <cell r="K109" t="str">
            <v>AKTIF</v>
          </cell>
        </row>
        <row r="110">
          <cell r="C110" t="str">
            <v>Dody Setiawan</v>
          </cell>
          <cell r="D110" t="str">
            <v>CG</v>
          </cell>
          <cell r="E110">
            <v>0</v>
          </cell>
          <cell r="F110">
            <v>0</v>
          </cell>
          <cell r="G110">
            <v>0</v>
          </cell>
          <cell r="H110">
            <v>780921</v>
          </cell>
          <cell r="I110">
            <v>20376.725849395829</v>
          </cell>
          <cell r="J110">
            <v>780921</v>
          </cell>
          <cell r="K110" t="str">
            <v>PASIF</v>
          </cell>
        </row>
        <row r="111">
          <cell r="C111" t="str">
            <v>Donny S. Purba. Drs</v>
          </cell>
          <cell r="D111" t="str">
            <v>DP</v>
          </cell>
          <cell r="E111">
            <v>5000</v>
          </cell>
          <cell r="F111">
            <v>13686528</v>
          </cell>
          <cell r="G111">
            <v>0</v>
          </cell>
          <cell r="H111">
            <v>28435597.922757145</v>
          </cell>
          <cell r="I111">
            <v>1099231.4148947189</v>
          </cell>
          <cell r="J111">
            <v>42127125.922757149</v>
          </cell>
          <cell r="K111" t="str">
            <v>PASIF</v>
          </cell>
        </row>
        <row r="112">
          <cell r="C112" t="str">
            <v>Donny Trisusilo, Ir</v>
          </cell>
          <cell r="D112" t="str">
            <v>PR</v>
          </cell>
          <cell r="E112">
            <v>5000</v>
          </cell>
          <cell r="F112">
            <v>35575160</v>
          </cell>
          <cell r="G112">
            <v>0</v>
          </cell>
          <cell r="H112">
            <v>12740109.671390671</v>
          </cell>
          <cell r="I112">
            <v>1260830.3375921554</v>
          </cell>
          <cell r="J112">
            <v>48320269.671390668</v>
          </cell>
          <cell r="K112" t="str">
            <v>AKTIF</v>
          </cell>
        </row>
        <row r="113">
          <cell r="C113" t="str">
            <v>Dwiana Galuh L. ST</v>
          </cell>
          <cell r="D113" t="str">
            <v>PRB</v>
          </cell>
          <cell r="E113">
            <v>5000</v>
          </cell>
          <cell r="F113">
            <v>32639498</v>
          </cell>
          <cell r="G113">
            <v>0</v>
          </cell>
          <cell r="H113">
            <v>3040146.064208312</v>
          </cell>
          <cell r="I113">
            <v>931126.46366232052</v>
          </cell>
          <cell r="J113">
            <v>35684644.064208314</v>
          </cell>
          <cell r="K113" t="str">
            <v>AKTIF</v>
          </cell>
        </row>
        <row r="114">
          <cell r="C114" t="str">
            <v>Edwin Olaf J.D ST</v>
          </cell>
          <cell r="D114" t="str">
            <v>TP</v>
          </cell>
          <cell r="E114">
            <v>5000</v>
          </cell>
          <cell r="F114">
            <v>32058538</v>
          </cell>
          <cell r="G114">
            <v>650000</v>
          </cell>
          <cell r="H114">
            <v>3003186.2851683907</v>
          </cell>
          <cell r="I114">
            <v>931963.53920221713</v>
          </cell>
          <cell r="J114">
            <v>35716724.285168394</v>
          </cell>
          <cell r="K114" t="str">
            <v>AKTIF</v>
          </cell>
        </row>
        <row r="115">
          <cell r="C115" t="str">
            <v>Edy Sutrisno, Ir</v>
          </cell>
          <cell r="D115" t="str">
            <v>PRB</v>
          </cell>
          <cell r="E115">
            <v>0</v>
          </cell>
          <cell r="F115">
            <v>300000</v>
          </cell>
          <cell r="G115">
            <v>0</v>
          </cell>
          <cell r="H115">
            <v>234774.19312415086</v>
          </cell>
          <cell r="I115">
            <v>13953.968614780089</v>
          </cell>
          <cell r="J115">
            <v>534774.19312415086</v>
          </cell>
          <cell r="K115" t="str">
            <v>PASIF</v>
          </cell>
        </row>
        <row r="116">
          <cell r="C116" t="str">
            <v>Eka Yuni Ermawati</v>
          </cell>
          <cell r="D116" t="str">
            <v>ST</v>
          </cell>
          <cell r="E116">
            <v>5000</v>
          </cell>
          <cell r="F116">
            <v>3689498</v>
          </cell>
          <cell r="G116">
            <v>0</v>
          </cell>
          <cell r="H116">
            <v>3721789.9188485113</v>
          </cell>
          <cell r="I116">
            <v>193514.6650462242</v>
          </cell>
          <cell r="J116">
            <v>7416287.9188485108</v>
          </cell>
          <cell r="K116" t="str">
            <v>PASIF</v>
          </cell>
        </row>
        <row r="117">
          <cell r="C117" t="str">
            <v>Eko Buana Putra</v>
          </cell>
          <cell r="D117" t="str">
            <v>BN</v>
          </cell>
          <cell r="E117">
            <v>0</v>
          </cell>
          <cell r="F117">
            <v>0</v>
          </cell>
          <cell r="G117">
            <v>0</v>
          </cell>
          <cell r="H117">
            <v>1916748.7226283359</v>
          </cell>
          <cell r="I117">
            <v>50014.102890276037</v>
          </cell>
          <cell r="J117">
            <v>1916748.7226283359</v>
          </cell>
          <cell r="K117" t="str">
            <v>PASIF</v>
          </cell>
        </row>
        <row r="118">
          <cell r="C118" t="str">
            <v>Elis Rosida</v>
          </cell>
          <cell r="D118" t="str">
            <v>KU</v>
          </cell>
          <cell r="E118">
            <v>5000</v>
          </cell>
          <cell r="F118">
            <v>33529733</v>
          </cell>
          <cell r="G118">
            <v>1172000</v>
          </cell>
          <cell r="H118">
            <v>779843.99456818006</v>
          </cell>
          <cell r="I118">
            <v>925958.26050495857</v>
          </cell>
          <cell r="J118">
            <v>35486576.994568177</v>
          </cell>
          <cell r="K118" t="str">
            <v>AKTIF</v>
          </cell>
        </row>
        <row r="119">
          <cell r="C119" t="str">
            <v>Elva Moch. Ramdhani</v>
          </cell>
          <cell r="D119" t="str">
            <v>SBU MNO</v>
          </cell>
          <cell r="E119">
            <v>5000</v>
          </cell>
          <cell r="F119">
            <v>40991972</v>
          </cell>
          <cell r="G119">
            <v>645000</v>
          </cell>
          <cell r="H119">
            <v>4028049.8855129499</v>
          </cell>
          <cell r="I119">
            <v>1191676.8988117939</v>
          </cell>
          <cell r="J119">
            <v>45670021.885512948</v>
          </cell>
          <cell r="K119" t="str">
            <v>AKTIF</v>
          </cell>
        </row>
        <row r="120">
          <cell r="C120" t="str">
            <v>Endah Mustika Ningtyas</v>
          </cell>
          <cell r="D120" t="str">
            <v>SEKPER</v>
          </cell>
          <cell r="E120">
            <v>5000</v>
          </cell>
          <cell r="F120">
            <v>35111918</v>
          </cell>
          <cell r="G120">
            <v>670000</v>
          </cell>
          <cell r="H120">
            <v>805775.60451811459</v>
          </cell>
          <cell r="I120">
            <v>954820.37961612735</v>
          </cell>
          <cell r="J120">
            <v>36592693.604518116</v>
          </cell>
          <cell r="K120" t="str">
            <v>AKTIF</v>
          </cell>
        </row>
        <row r="121">
          <cell r="C121" t="str">
            <v>Endang W</v>
          </cell>
          <cell r="D121" t="str">
            <v>-</v>
          </cell>
          <cell r="E121">
            <v>5000</v>
          </cell>
          <cell r="F121">
            <v>670000</v>
          </cell>
          <cell r="G121">
            <v>0</v>
          </cell>
          <cell r="H121">
            <v>1243320.9765596169</v>
          </cell>
          <cell r="I121">
            <v>50055.128022553625</v>
          </cell>
          <cell r="J121">
            <v>1918320.9765596169</v>
          </cell>
          <cell r="K121" t="str">
            <v>PASIF</v>
          </cell>
        </row>
        <row r="122">
          <cell r="C122" t="str">
            <v>Erlini Agung, SE</v>
          </cell>
          <cell r="D122" t="str">
            <v>KU</v>
          </cell>
          <cell r="E122">
            <v>0</v>
          </cell>
          <cell r="F122">
            <v>0</v>
          </cell>
          <cell r="G122">
            <v>0</v>
          </cell>
          <cell r="H122">
            <v>50527.966340010054</v>
          </cell>
          <cell r="I122">
            <v>1318.4362026861684</v>
          </cell>
          <cell r="J122">
            <v>50527.966340010054</v>
          </cell>
          <cell r="K122" t="str">
            <v>PASIF</v>
          </cell>
        </row>
        <row r="123">
          <cell r="C123" t="str">
            <v>Erry Sanjaya Djayus</v>
          </cell>
          <cell r="D123" t="str">
            <v>SEKPER</v>
          </cell>
          <cell r="E123">
            <v>5000</v>
          </cell>
          <cell r="F123">
            <v>26640660</v>
          </cell>
          <cell r="G123">
            <v>2600000</v>
          </cell>
          <cell r="H123">
            <v>2047363.5009263842</v>
          </cell>
          <cell r="I123">
            <v>816535.04115919257</v>
          </cell>
          <cell r="J123">
            <v>31293023.500926383</v>
          </cell>
          <cell r="K123" t="str">
            <v>AKTIF</v>
          </cell>
        </row>
        <row r="124">
          <cell r="C124" t="str">
            <v>Erwin, Ir</v>
          </cell>
          <cell r="D124" t="str">
            <v>SBU ENI</v>
          </cell>
          <cell r="E124">
            <v>0</v>
          </cell>
          <cell r="F124">
            <v>0</v>
          </cell>
          <cell r="G124">
            <v>0</v>
          </cell>
          <cell r="H124">
            <v>207929.08168128435</v>
          </cell>
          <cell r="I124">
            <v>5425.5345848506622</v>
          </cell>
          <cell r="J124">
            <v>207929.08168128435</v>
          </cell>
          <cell r="K124" t="str">
            <v>PASIF</v>
          </cell>
        </row>
        <row r="125">
          <cell r="C125" t="str">
            <v>Ery Dani Sampurno, Ir</v>
          </cell>
          <cell r="D125" t="str">
            <v>STA</v>
          </cell>
          <cell r="E125">
            <v>0</v>
          </cell>
          <cell r="F125">
            <v>350000</v>
          </cell>
          <cell r="G125">
            <v>0</v>
          </cell>
          <cell r="H125">
            <v>745156.2573593026</v>
          </cell>
          <cell r="I125">
            <v>28576.128466849903</v>
          </cell>
          <cell r="J125">
            <v>1095156.2573593026</v>
          </cell>
          <cell r="K125" t="str">
            <v>PASIF</v>
          </cell>
        </row>
        <row r="126">
          <cell r="C126" t="str">
            <v>Efa Rosida Dwi Aditirta</v>
          </cell>
          <cell r="D126" t="str">
            <v>STA</v>
          </cell>
          <cell r="E126">
            <v>0</v>
          </cell>
          <cell r="F126">
            <v>0</v>
          </cell>
          <cell r="G126">
            <v>0</v>
          </cell>
          <cell r="H126">
            <v>80944.011832591146</v>
          </cell>
          <cell r="I126">
            <v>2112.0880835103189</v>
          </cell>
          <cell r="J126">
            <v>80944.011832591146</v>
          </cell>
          <cell r="K126" t="str">
            <v>PASIF</v>
          </cell>
        </row>
        <row r="127">
          <cell r="C127" t="str">
            <v>Eva Sintauli Saragih, SE</v>
          </cell>
          <cell r="D127" t="str">
            <v>KU</v>
          </cell>
          <cell r="E127">
            <v>5000</v>
          </cell>
          <cell r="F127">
            <v>33853066</v>
          </cell>
          <cell r="G127">
            <v>850000</v>
          </cell>
          <cell r="H127">
            <v>4810706.3583211806</v>
          </cell>
          <cell r="I127">
            <v>1031171.1303066413</v>
          </cell>
          <cell r="J127">
            <v>39518772.358321182</v>
          </cell>
          <cell r="K127" t="str">
            <v>AKTIF</v>
          </cell>
        </row>
        <row r="128">
          <cell r="C128" t="str">
            <v>Fahmi ST</v>
          </cell>
          <cell r="D128" t="str">
            <v>PRB</v>
          </cell>
          <cell r="E128">
            <v>5000</v>
          </cell>
          <cell r="F128">
            <v>35491804</v>
          </cell>
          <cell r="G128">
            <v>210000</v>
          </cell>
          <cell r="H128">
            <v>4192926.0795185342</v>
          </cell>
          <cell r="I128">
            <v>1041111.535347675</v>
          </cell>
          <cell r="J128">
            <v>39899730.079518534</v>
          </cell>
          <cell r="K128" t="str">
            <v>AKTIF</v>
          </cell>
        </row>
        <row r="129">
          <cell r="C129" t="str">
            <v>Fajar Nugraha, Ir</v>
          </cell>
          <cell r="D129" t="str">
            <v>MHC</v>
          </cell>
          <cell r="E129">
            <v>5000</v>
          </cell>
          <cell r="F129">
            <v>62123471</v>
          </cell>
          <cell r="G129">
            <v>50000</v>
          </cell>
          <cell r="H129">
            <v>9706335.5364259798</v>
          </cell>
          <cell r="I129">
            <v>1875704.4509362786</v>
          </cell>
          <cell r="J129">
            <v>71884806.536425978</v>
          </cell>
          <cell r="K129" t="str">
            <v>AKTIF</v>
          </cell>
        </row>
        <row r="130">
          <cell r="C130" t="str">
            <v>Farid Rahman, Ir</v>
          </cell>
          <cell r="D130" t="str">
            <v>MRKU</v>
          </cell>
          <cell r="E130">
            <v>0</v>
          </cell>
          <cell r="F130">
            <v>500000</v>
          </cell>
          <cell r="G130">
            <v>0</v>
          </cell>
          <cell r="H130">
            <v>-0.22952770907431841</v>
          </cell>
          <cell r="I130">
            <v>13046.592738157524</v>
          </cell>
          <cell r="J130">
            <v>499999.77047229093</v>
          </cell>
          <cell r="K130" t="str">
            <v>BUKAN ANGGOTA</v>
          </cell>
        </row>
        <row r="131">
          <cell r="C131" t="str">
            <v>Farrah Mutia. N</v>
          </cell>
          <cell r="D131" t="str">
            <v>PRB</v>
          </cell>
          <cell r="E131">
            <v>5000</v>
          </cell>
          <cell r="F131">
            <v>22776609</v>
          </cell>
          <cell r="G131">
            <v>1813000</v>
          </cell>
          <cell r="H131">
            <v>1874679.5857726783</v>
          </cell>
          <cell r="I131">
            <v>690668.37354973436</v>
          </cell>
          <cell r="J131">
            <v>26469288.585772678</v>
          </cell>
          <cell r="K131" t="str">
            <v>AKTIF</v>
          </cell>
        </row>
        <row r="132">
          <cell r="C132" t="str">
            <v>Fauzi Akbar Nasution, ST</v>
          </cell>
          <cell r="D132" t="str">
            <v>CN</v>
          </cell>
          <cell r="E132">
            <v>0</v>
          </cell>
          <cell r="F132">
            <v>250000</v>
          </cell>
          <cell r="G132">
            <v>0</v>
          </cell>
          <cell r="H132">
            <v>112648.17443025135</v>
          </cell>
          <cell r="I132">
            <v>9462.650421936547</v>
          </cell>
          <cell r="J132">
            <v>362648.17443025135</v>
          </cell>
          <cell r="K132" t="str">
            <v>PASIF</v>
          </cell>
        </row>
        <row r="133">
          <cell r="C133" t="str">
            <v>Febriansyah</v>
          </cell>
          <cell r="D133" t="str">
            <v>SBU MNO</v>
          </cell>
          <cell r="E133">
            <v>5000</v>
          </cell>
          <cell r="F133">
            <v>20195858</v>
          </cell>
          <cell r="G133">
            <v>0</v>
          </cell>
          <cell r="H133">
            <v>2087509.0389132816</v>
          </cell>
          <cell r="I133">
            <v>581574.76208559668</v>
          </cell>
          <cell r="J133">
            <v>22288367.03891328</v>
          </cell>
          <cell r="K133" t="str">
            <v>AKTIF</v>
          </cell>
        </row>
        <row r="134">
          <cell r="C134" t="str">
            <v>Fernando, Ir</v>
          </cell>
          <cell r="D134" t="str">
            <v>SBU ENI</v>
          </cell>
          <cell r="E134">
            <v>5000</v>
          </cell>
          <cell r="F134">
            <v>20045858</v>
          </cell>
          <cell r="G134">
            <v>0</v>
          </cell>
          <cell r="H134">
            <v>2376762.4492591233</v>
          </cell>
          <cell r="I134">
            <v>585208.32881796872</v>
          </cell>
          <cell r="J134">
            <v>22427620.449259125</v>
          </cell>
          <cell r="K134" t="str">
            <v>AKTIF</v>
          </cell>
        </row>
        <row r="135">
          <cell r="C135" t="str">
            <v>Ferry Harfianto</v>
          </cell>
          <cell r="D135" t="str">
            <v>SBU ENI</v>
          </cell>
          <cell r="E135">
            <v>5000</v>
          </cell>
          <cell r="F135">
            <v>44892861</v>
          </cell>
          <cell r="G135">
            <v>435000</v>
          </cell>
          <cell r="H135">
            <v>5030730.559566454</v>
          </cell>
          <cell r="I135">
            <v>1314147.139083507</v>
          </cell>
          <cell r="J135">
            <v>50363591.559566453</v>
          </cell>
          <cell r="K135" t="str">
            <v>AKTIF</v>
          </cell>
        </row>
        <row r="136">
          <cell r="C136" t="str">
            <v>Fikrah Wathani</v>
          </cell>
          <cell r="D136" t="str">
            <v>MHC</v>
          </cell>
          <cell r="E136">
            <v>5000</v>
          </cell>
          <cell r="F136">
            <v>18053973</v>
          </cell>
          <cell r="G136">
            <v>50000</v>
          </cell>
          <cell r="H136">
            <v>1269681.0974413457</v>
          </cell>
          <cell r="I136">
            <v>505651.04776774283</v>
          </cell>
          <cell r="J136">
            <v>19378654.097441345</v>
          </cell>
          <cell r="K136" t="str">
            <v>AKTIF</v>
          </cell>
        </row>
        <row r="137">
          <cell r="C137" t="str">
            <v>Firmansyah</v>
          </cell>
          <cell r="D137" t="str">
            <v>STA</v>
          </cell>
          <cell r="E137">
            <v>5000</v>
          </cell>
          <cell r="F137">
            <v>22189161</v>
          </cell>
          <cell r="G137">
            <v>50000</v>
          </cell>
          <cell r="H137">
            <v>3100540.1399719724</v>
          </cell>
          <cell r="I137">
            <v>661324.29127156117</v>
          </cell>
          <cell r="J137">
            <v>25344701.139971972</v>
          </cell>
          <cell r="K137" t="str">
            <v>AKTIF</v>
          </cell>
        </row>
        <row r="138">
          <cell r="C138" t="str">
            <v>Fredhi Agung. P Ir</v>
          </cell>
          <cell r="D138" t="str">
            <v>R&amp;P</v>
          </cell>
          <cell r="E138">
            <v>0</v>
          </cell>
          <cell r="F138">
            <v>0</v>
          </cell>
          <cell r="G138">
            <v>0</v>
          </cell>
          <cell r="H138">
            <v>8379</v>
          </cell>
          <cell r="I138">
            <v>218.63490147157992</v>
          </cell>
          <cell r="J138">
            <v>8379</v>
          </cell>
          <cell r="K138" t="str">
            <v>PASIF</v>
          </cell>
        </row>
        <row r="139">
          <cell r="C139" t="str">
            <v>Guruh M. Amal. ST</v>
          </cell>
          <cell r="D139" t="str">
            <v>-</v>
          </cell>
          <cell r="E139">
            <v>5000</v>
          </cell>
          <cell r="F139">
            <v>545000</v>
          </cell>
          <cell r="G139">
            <v>0</v>
          </cell>
          <cell r="H139">
            <v>1078286.1222293982</v>
          </cell>
          <cell r="I139">
            <v>42487.191299816855</v>
          </cell>
          <cell r="J139">
            <v>1628286.1222293982</v>
          </cell>
          <cell r="K139" t="str">
            <v>PASIF</v>
          </cell>
        </row>
        <row r="140">
          <cell r="C140" t="str">
            <v>Haeruddin</v>
          </cell>
          <cell r="D140" t="str">
            <v>SEKPER</v>
          </cell>
          <cell r="E140">
            <v>5000</v>
          </cell>
          <cell r="F140">
            <v>23314242</v>
          </cell>
          <cell r="G140">
            <v>1928000</v>
          </cell>
          <cell r="H140">
            <v>1896242.7439936241</v>
          </cell>
          <cell r="I140">
            <v>708260.307029285</v>
          </cell>
          <cell r="J140">
            <v>27143484.743993625</v>
          </cell>
          <cell r="K140" t="str">
            <v>AKTIF</v>
          </cell>
        </row>
        <row r="141">
          <cell r="C141" t="str">
            <v>Hambali Wahid</v>
          </cell>
          <cell r="D141" t="str">
            <v>SV</v>
          </cell>
          <cell r="E141">
            <v>5000</v>
          </cell>
          <cell r="F141">
            <v>17784532</v>
          </cell>
          <cell r="G141">
            <v>30000</v>
          </cell>
          <cell r="H141">
            <v>2052790.6271735239</v>
          </cell>
          <cell r="I141">
            <v>518532.43819113635</v>
          </cell>
          <cell r="J141">
            <v>19872322.627173524</v>
          </cell>
          <cell r="K141" t="str">
            <v>AKTIF</v>
          </cell>
        </row>
        <row r="142">
          <cell r="C142" t="str">
            <v>Hanief Ridwan A, ST</v>
          </cell>
          <cell r="D142" t="str">
            <v>TP</v>
          </cell>
          <cell r="E142">
            <v>0</v>
          </cell>
          <cell r="F142">
            <v>750000</v>
          </cell>
          <cell r="G142">
            <v>0</v>
          </cell>
          <cell r="H142">
            <v>0.3095634700730443</v>
          </cell>
          <cell r="I142">
            <v>19569.906168404788</v>
          </cell>
          <cell r="J142">
            <v>750000.30956347007</v>
          </cell>
          <cell r="K142" t="str">
            <v>BUKAN ANGGOTA</v>
          </cell>
        </row>
        <row r="143">
          <cell r="C143" t="str">
            <v>Hardi E.P. Siagian. ST</v>
          </cell>
          <cell r="D143" t="str">
            <v>SD</v>
          </cell>
          <cell r="E143">
            <v>5000</v>
          </cell>
          <cell r="F143">
            <v>19614667</v>
          </cell>
          <cell r="G143">
            <v>0</v>
          </cell>
          <cell r="H143">
            <v>5342431.9542209869</v>
          </cell>
          <cell r="I143">
            <v>651340.97689222265</v>
          </cell>
          <cell r="J143">
            <v>24962098.954220988</v>
          </cell>
          <cell r="K143" t="str">
            <v>AKTIF</v>
          </cell>
        </row>
        <row r="144">
          <cell r="C144" t="str">
            <v>Harrys Pahala</v>
          </cell>
          <cell r="D144" t="str">
            <v>SBU MNO</v>
          </cell>
          <cell r="E144">
            <v>5000</v>
          </cell>
          <cell r="F144">
            <v>20045858</v>
          </cell>
          <cell r="G144">
            <v>0</v>
          </cell>
          <cell r="H144">
            <v>2064785.0630405745</v>
          </cell>
          <cell r="I144">
            <v>577067.84127801715</v>
          </cell>
          <cell r="J144">
            <v>22115643.063040573</v>
          </cell>
          <cell r="K144" t="str">
            <v>AKTIF</v>
          </cell>
        </row>
        <row r="145">
          <cell r="C145" t="str">
            <v>Harusia Ismail</v>
          </cell>
          <cell r="D145" t="str">
            <v>MKS</v>
          </cell>
          <cell r="E145">
            <v>0</v>
          </cell>
          <cell r="F145">
            <v>0</v>
          </cell>
          <cell r="G145">
            <v>0</v>
          </cell>
          <cell r="H145">
            <v>99564</v>
          </cell>
          <cell r="I145">
            <v>2597.9431113636929</v>
          </cell>
          <cell r="J145">
            <v>99564</v>
          </cell>
          <cell r="K145" t="str">
            <v>PASIF</v>
          </cell>
        </row>
        <row r="146">
          <cell r="C146" t="str">
            <v>Heintje Angganois, Ir</v>
          </cell>
          <cell r="D146" t="str">
            <v>DP</v>
          </cell>
          <cell r="E146">
            <v>0</v>
          </cell>
          <cell r="F146">
            <v>0</v>
          </cell>
          <cell r="G146">
            <v>0</v>
          </cell>
          <cell r="H146">
            <v>2164049</v>
          </cell>
          <cell r="I146">
            <v>56466.957858297057</v>
          </cell>
          <cell r="J146">
            <v>2164049</v>
          </cell>
          <cell r="K146" t="str">
            <v>PASIF</v>
          </cell>
        </row>
        <row r="147">
          <cell r="C147" t="str">
            <v>Hendra Bagus, K, M.Mer</v>
          </cell>
          <cell r="D147" t="str">
            <v>SB</v>
          </cell>
          <cell r="E147">
            <v>5000</v>
          </cell>
          <cell r="F147">
            <v>4425000</v>
          </cell>
          <cell r="G147">
            <v>0</v>
          </cell>
          <cell r="H147">
            <v>567722.78357366147</v>
          </cell>
          <cell r="I147">
            <v>130406.56741483441</v>
          </cell>
          <cell r="J147">
            <v>4997722.783573661</v>
          </cell>
          <cell r="K147" t="str">
            <v>PASIF</v>
          </cell>
        </row>
        <row r="148">
          <cell r="C148" t="str">
            <v>Hendra Kusuma, BE</v>
          </cell>
          <cell r="D148" t="str">
            <v>SBU ENI</v>
          </cell>
          <cell r="E148">
            <v>0</v>
          </cell>
          <cell r="F148">
            <v>-350000</v>
          </cell>
          <cell r="G148">
            <v>0</v>
          </cell>
          <cell r="H148">
            <v>233710.50319870003</v>
          </cell>
          <cell r="I148">
            <v>-3034.3648019252687</v>
          </cell>
          <cell r="J148">
            <v>-116289.49680129997</v>
          </cell>
          <cell r="K148" t="str">
            <v>BUKAN ANGGOTA</v>
          </cell>
        </row>
        <row r="149">
          <cell r="C149" t="str">
            <v>Hendry Daniel</v>
          </cell>
          <cell r="D149" t="str">
            <v>PRB</v>
          </cell>
          <cell r="E149">
            <v>0</v>
          </cell>
          <cell r="F149">
            <v>250000</v>
          </cell>
          <cell r="G149">
            <v>0</v>
          </cell>
          <cell r="H149">
            <v>28633.09288087019</v>
          </cell>
          <cell r="I149">
            <v>7270.4283099093727</v>
          </cell>
          <cell r="J149">
            <v>278633.09288087022</v>
          </cell>
          <cell r="K149" t="str">
            <v>PASIF</v>
          </cell>
        </row>
        <row r="150">
          <cell r="C150" t="str">
            <v>Herawati , S</v>
          </cell>
          <cell r="D150" t="str">
            <v>DOC</v>
          </cell>
          <cell r="E150">
            <v>0</v>
          </cell>
          <cell r="F150">
            <v>0</v>
          </cell>
          <cell r="G150">
            <v>0</v>
          </cell>
          <cell r="H150">
            <v>81586.062944484394</v>
          </cell>
          <cell r="I150">
            <v>2128.8412499488559</v>
          </cell>
          <cell r="J150">
            <v>81586.062944484394</v>
          </cell>
          <cell r="K150" t="str">
            <v>PASIF</v>
          </cell>
        </row>
        <row r="151">
          <cell r="C151" t="str">
            <v>Herbert SH, Ir</v>
          </cell>
          <cell r="D151" t="str">
            <v>M&amp;K</v>
          </cell>
          <cell r="E151">
            <v>5000</v>
          </cell>
          <cell r="F151">
            <v>51283869</v>
          </cell>
          <cell r="G151">
            <v>0</v>
          </cell>
          <cell r="H151">
            <v>9137540.3804796934</v>
          </cell>
          <cell r="I151">
            <v>1576718.2314336472</v>
          </cell>
          <cell r="J151">
            <v>60426409.380479693</v>
          </cell>
          <cell r="K151" t="str">
            <v>AKTIF</v>
          </cell>
        </row>
        <row r="152">
          <cell r="C152" t="str">
            <v>Herdiman Mustari. ST</v>
          </cell>
          <cell r="D152" t="str">
            <v>SD</v>
          </cell>
          <cell r="E152">
            <v>5000</v>
          </cell>
          <cell r="F152">
            <v>14242646</v>
          </cell>
          <cell r="G152">
            <v>0</v>
          </cell>
          <cell r="H152">
            <v>2679320.8841222441</v>
          </cell>
          <cell r="I152">
            <v>441678.68921383971</v>
          </cell>
          <cell r="J152">
            <v>16926966.884122245</v>
          </cell>
          <cell r="K152" t="str">
            <v>AKTIF</v>
          </cell>
        </row>
        <row r="153">
          <cell r="C153" t="str">
            <v>Heri Siswanto, ST</v>
          </cell>
          <cell r="D153" t="str">
            <v>PRB</v>
          </cell>
          <cell r="E153">
            <v>0</v>
          </cell>
          <cell r="F153">
            <v>0</v>
          </cell>
          <cell r="G153">
            <v>0</v>
          </cell>
          <cell r="H153">
            <v>123468.72982518934</v>
          </cell>
          <cell r="I153">
            <v>3221.6939467897591</v>
          </cell>
          <cell r="J153">
            <v>123468.72982518934</v>
          </cell>
          <cell r="K153" t="str">
            <v>PASIF</v>
          </cell>
        </row>
        <row r="154">
          <cell r="C154" t="str">
            <v>Heri Wirawan, ST.</v>
          </cell>
          <cell r="D154" t="str">
            <v>BNC</v>
          </cell>
          <cell r="E154">
            <v>5000</v>
          </cell>
          <cell r="F154">
            <v>21085147</v>
          </cell>
          <cell r="G154">
            <v>565000</v>
          </cell>
          <cell r="H154">
            <v>8075071.3606332913</v>
          </cell>
          <cell r="I154">
            <v>775756.45805055683</v>
          </cell>
          <cell r="J154">
            <v>29730218.360633291</v>
          </cell>
          <cell r="K154" t="str">
            <v>AKTIF</v>
          </cell>
        </row>
        <row r="155">
          <cell r="C155" t="str">
            <v>Herry Sudradjat, SH</v>
          </cell>
          <cell r="D155" t="str">
            <v>DMH</v>
          </cell>
          <cell r="E155">
            <v>5000</v>
          </cell>
          <cell r="F155">
            <v>65091653</v>
          </cell>
          <cell r="G155">
            <v>95000</v>
          </cell>
          <cell r="H155">
            <v>2977349.295497274</v>
          </cell>
          <cell r="I155">
            <v>1778747.2371753133</v>
          </cell>
          <cell r="J155">
            <v>68169002.295497268</v>
          </cell>
          <cell r="K155" t="str">
            <v>PASIF</v>
          </cell>
        </row>
        <row r="156">
          <cell r="C156" t="str">
            <v>Heru Susilo Budiman, Ir</v>
          </cell>
          <cell r="D156" t="str">
            <v>PRB</v>
          </cell>
          <cell r="E156">
            <v>5000</v>
          </cell>
          <cell r="F156">
            <v>49243284</v>
          </cell>
          <cell r="G156">
            <v>80000</v>
          </cell>
          <cell r="H156">
            <v>2048701.9466134226</v>
          </cell>
          <cell r="I156">
            <v>1340589.8389240447</v>
          </cell>
          <cell r="J156">
            <v>51376985.946613424</v>
          </cell>
          <cell r="K156" t="str">
            <v>AKTIF</v>
          </cell>
        </row>
        <row r="157">
          <cell r="C157" t="str">
            <v>Hijrawati Muchtar ST</v>
          </cell>
          <cell r="D157" t="str">
            <v>PRB</v>
          </cell>
          <cell r="E157">
            <v>5000</v>
          </cell>
          <cell r="F157">
            <v>33500255</v>
          </cell>
          <cell r="G157">
            <v>0</v>
          </cell>
          <cell r="H157">
            <v>3890970.2420323128</v>
          </cell>
          <cell r="I157">
            <v>975787.08929475409</v>
          </cell>
          <cell r="J157">
            <v>37396225.242032312</v>
          </cell>
          <cell r="K157" t="str">
            <v>AKTIF</v>
          </cell>
        </row>
        <row r="158">
          <cell r="C158" t="str">
            <v>Himawan</v>
          </cell>
          <cell r="D158" t="str">
            <v>M&amp;K</v>
          </cell>
          <cell r="E158">
            <v>5000</v>
          </cell>
          <cell r="F158">
            <v>22256743</v>
          </cell>
          <cell r="G158">
            <v>807500</v>
          </cell>
          <cell r="H158">
            <v>2001648.689573701</v>
          </cell>
          <cell r="I158">
            <v>654179.72721740045</v>
          </cell>
          <cell r="J158">
            <v>25070891.689573701</v>
          </cell>
          <cell r="K158" t="str">
            <v>AKTIF</v>
          </cell>
        </row>
        <row r="159">
          <cell r="C159" t="str">
            <v>Ika Dian Ariany</v>
          </cell>
          <cell r="D159" t="str">
            <v>SB</v>
          </cell>
          <cell r="E159">
            <v>5000</v>
          </cell>
          <cell r="F159">
            <v>9092478</v>
          </cell>
          <cell r="G159">
            <v>40000</v>
          </cell>
          <cell r="H159">
            <v>796574.32224805444</v>
          </cell>
          <cell r="I159">
            <v>259211.18876813739</v>
          </cell>
          <cell r="J159">
            <v>9934052.3222480547</v>
          </cell>
          <cell r="K159" t="str">
            <v>AKTIF</v>
          </cell>
        </row>
        <row r="160">
          <cell r="C160" t="str">
            <v>Ilham Syahrir, ST</v>
          </cell>
          <cell r="D160" t="str">
            <v>TP</v>
          </cell>
          <cell r="E160">
            <v>5000</v>
          </cell>
          <cell r="F160">
            <v>20892478</v>
          </cell>
          <cell r="G160">
            <v>0</v>
          </cell>
          <cell r="H160">
            <v>902496.78313696198</v>
          </cell>
          <cell r="I160">
            <v>568831.0465203576</v>
          </cell>
          <cell r="J160">
            <v>21799974.783136964</v>
          </cell>
          <cell r="K160" t="str">
            <v>AKTIF</v>
          </cell>
        </row>
        <row r="161">
          <cell r="C161" t="str">
            <v>Ilyas</v>
          </cell>
          <cell r="D161" t="str">
            <v>PU</v>
          </cell>
          <cell r="E161">
            <v>5000</v>
          </cell>
          <cell r="F161">
            <v>24599256</v>
          </cell>
          <cell r="G161">
            <v>554000</v>
          </cell>
          <cell r="H161">
            <v>2304327.1135793626</v>
          </cell>
          <cell r="I161">
            <v>716586.60379430698</v>
          </cell>
          <cell r="J161">
            <v>27462583.113579363</v>
          </cell>
          <cell r="K161" t="str">
            <v>AKTIF</v>
          </cell>
        </row>
        <row r="162">
          <cell r="C162" t="str">
            <v>Ilyas Dangkeng</v>
          </cell>
          <cell r="D162" t="str">
            <v>BM</v>
          </cell>
          <cell r="E162">
            <v>5000</v>
          </cell>
          <cell r="F162">
            <v>900000</v>
          </cell>
          <cell r="G162">
            <v>0</v>
          </cell>
          <cell r="H162">
            <v>846346.49667994317</v>
          </cell>
          <cell r="I162">
            <v>45698.229949184388</v>
          </cell>
          <cell r="J162">
            <v>1751346.4966799431</v>
          </cell>
          <cell r="K162" t="str">
            <v>PASIF</v>
          </cell>
        </row>
        <row r="163">
          <cell r="C163" t="str">
            <v>Imam Suhadi, BE</v>
          </cell>
          <cell r="D163" t="str">
            <v>DP</v>
          </cell>
          <cell r="E163">
            <v>0</v>
          </cell>
          <cell r="F163">
            <v>0</v>
          </cell>
          <cell r="G163">
            <v>0</v>
          </cell>
          <cell r="H163">
            <v>730532</v>
          </cell>
          <cell r="I163">
            <v>19061.915722859078</v>
          </cell>
          <cell r="J163">
            <v>730532</v>
          </cell>
          <cell r="K163" t="str">
            <v>PASIF</v>
          </cell>
        </row>
        <row r="164">
          <cell r="C164" t="str">
            <v>Imran</v>
          </cell>
          <cell r="D164" t="str">
            <v>SR</v>
          </cell>
          <cell r="E164">
            <v>5000</v>
          </cell>
          <cell r="F164">
            <v>445000</v>
          </cell>
          <cell r="G164">
            <v>0</v>
          </cell>
          <cell r="H164">
            <v>837939.528243504</v>
          </cell>
          <cell r="I164">
            <v>33606.460419963194</v>
          </cell>
          <cell r="J164">
            <v>1287939.528243504</v>
          </cell>
          <cell r="K164" t="str">
            <v>PASIF</v>
          </cell>
        </row>
        <row r="165">
          <cell r="C165" t="str">
            <v>Indra Kusuma</v>
          </cell>
          <cell r="D165" t="str">
            <v>CG</v>
          </cell>
          <cell r="E165">
            <v>5000</v>
          </cell>
          <cell r="F165">
            <v>16959933</v>
          </cell>
          <cell r="G165">
            <v>0</v>
          </cell>
          <cell r="H165">
            <v>3456590.6869000974</v>
          </cell>
          <cell r="I165">
            <v>532862.84988482378</v>
          </cell>
          <cell r="J165">
            <v>20421523.686900098</v>
          </cell>
          <cell r="K165" t="str">
            <v>AKTIF</v>
          </cell>
        </row>
        <row r="166">
          <cell r="C166" t="str">
            <v>Indra Permana</v>
          </cell>
          <cell r="D166" t="str">
            <v>TP</v>
          </cell>
          <cell r="E166">
            <v>5000</v>
          </cell>
          <cell r="F166">
            <v>20640323</v>
          </cell>
          <cell r="G166">
            <v>285000</v>
          </cell>
          <cell r="H166">
            <v>1257164.6557763023</v>
          </cell>
          <cell r="I166">
            <v>578942.49642231141</v>
          </cell>
          <cell r="J166">
            <v>22187487.655776303</v>
          </cell>
          <cell r="K166" t="str">
            <v>AKTIF</v>
          </cell>
        </row>
        <row r="167">
          <cell r="C167" t="str">
            <v>ING Arimbawa, Ir</v>
          </cell>
          <cell r="D167" t="str">
            <v>R&amp;P</v>
          </cell>
          <cell r="E167">
            <v>0</v>
          </cell>
          <cell r="F167">
            <v>3000000</v>
          </cell>
          <cell r="G167">
            <v>0</v>
          </cell>
          <cell r="H167">
            <v>1037045.0078257894</v>
          </cell>
          <cell r="I167">
            <v>105339.41252205813</v>
          </cell>
          <cell r="J167">
            <v>4037045.0078257895</v>
          </cell>
          <cell r="K167" t="str">
            <v>PASIF</v>
          </cell>
        </row>
        <row r="168">
          <cell r="C168" t="str">
            <v>Iqbal fikri. ir</v>
          </cell>
          <cell r="D168" t="str">
            <v>SEKPER</v>
          </cell>
          <cell r="E168">
            <v>0</v>
          </cell>
          <cell r="F168">
            <v>0</v>
          </cell>
          <cell r="G168">
            <v>0</v>
          </cell>
          <cell r="H168">
            <v>42436.955274735577</v>
          </cell>
          <cell r="I168">
            <v>1107.3158533531039</v>
          </cell>
          <cell r="J168">
            <v>42436.955274735577</v>
          </cell>
          <cell r="K168" t="str">
            <v>PASIF</v>
          </cell>
        </row>
        <row r="169">
          <cell r="C169" t="str">
            <v>Irviandi, Ir</v>
          </cell>
          <cell r="D169" t="str">
            <v>PHP</v>
          </cell>
          <cell r="E169">
            <v>5000</v>
          </cell>
          <cell r="F169">
            <v>42671015</v>
          </cell>
          <cell r="G169">
            <v>1830000</v>
          </cell>
          <cell r="H169">
            <v>4013802.6593175102</v>
          </cell>
          <cell r="I169">
            <v>1266037.1826427863</v>
          </cell>
          <cell r="J169">
            <v>48519817.659317508</v>
          </cell>
          <cell r="K169" t="str">
            <v>AKTIF</v>
          </cell>
        </row>
        <row r="170">
          <cell r="C170" t="str">
            <v>Irwan Eko Santoso, ST</v>
          </cell>
          <cell r="D170" t="str">
            <v>SD</v>
          </cell>
          <cell r="E170">
            <v>5000</v>
          </cell>
          <cell r="F170">
            <v>25825000</v>
          </cell>
          <cell r="G170">
            <v>0</v>
          </cell>
          <cell r="H170">
            <v>4738997.6729365326</v>
          </cell>
          <cell r="I170">
            <v>797642.89226726757</v>
          </cell>
          <cell r="J170">
            <v>30568997.672936533</v>
          </cell>
          <cell r="K170" t="str">
            <v>AKTIF</v>
          </cell>
        </row>
        <row r="171">
          <cell r="C171" t="str">
            <v>Irwanto, B.Sc.</v>
          </cell>
          <cell r="D171" t="str">
            <v>KU</v>
          </cell>
          <cell r="E171">
            <v>5000</v>
          </cell>
          <cell r="F171">
            <v>40328397</v>
          </cell>
          <cell r="G171">
            <v>854000</v>
          </cell>
          <cell r="H171">
            <v>3585923.5976465163</v>
          </cell>
          <cell r="I171">
            <v>1168279.0950497561</v>
          </cell>
          <cell r="J171">
            <v>44773320.59764652</v>
          </cell>
          <cell r="K171" t="str">
            <v>AKTIF</v>
          </cell>
        </row>
        <row r="172">
          <cell r="C172" t="str">
            <v>Irzan Azis. ST</v>
          </cell>
          <cell r="D172" t="str">
            <v>BM</v>
          </cell>
          <cell r="E172">
            <v>0</v>
          </cell>
          <cell r="F172">
            <v>150000</v>
          </cell>
          <cell r="G172">
            <v>0</v>
          </cell>
          <cell r="H172">
            <v>1666022</v>
          </cell>
          <cell r="I172">
            <v>47385.820627786314</v>
          </cell>
          <cell r="J172">
            <v>1816022</v>
          </cell>
          <cell r="K172" t="str">
            <v>PASIF</v>
          </cell>
        </row>
        <row r="173">
          <cell r="C173" t="str">
            <v>Is Supriati</v>
          </cell>
          <cell r="D173" t="str">
            <v>BP</v>
          </cell>
          <cell r="E173">
            <v>5000</v>
          </cell>
          <cell r="F173">
            <v>60000</v>
          </cell>
          <cell r="G173">
            <v>0</v>
          </cell>
          <cell r="H173">
            <v>243547.11421256041</v>
          </cell>
          <cell r="I173">
            <v>8050.9807751764483</v>
          </cell>
          <cell r="J173">
            <v>308547.11421256041</v>
          </cell>
          <cell r="K173" t="str">
            <v>PASIF</v>
          </cell>
        </row>
        <row r="174">
          <cell r="C174" t="str">
            <v>Jamaluddin Gani, Drs</v>
          </cell>
          <cell r="D174" t="str">
            <v>MRKU</v>
          </cell>
          <cell r="E174">
            <v>0</v>
          </cell>
          <cell r="F174">
            <v>0</v>
          </cell>
          <cell r="G174">
            <v>0</v>
          </cell>
          <cell r="H174">
            <v>29551.507354009897</v>
          </cell>
          <cell r="I174">
            <v>771.09331646743328</v>
          </cell>
          <cell r="J174">
            <v>29551.507354009897</v>
          </cell>
          <cell r="K174" t="str">
            <v>PASIF</v>
          </cell>
        </row>
        <row r="175">
          <cell r="C175" t="str">
            <v>Jesse SR Tarigan</v>
          </cell>
          <cell r="D175" t="str">
            <v>BMC</v>
          </cell>
          <cell r="E175">
            <v>5000</v>
          </cell>
          <cell r="F175">
            <v>370000</v>
          </cell>
          <cell r="G175">
            <v>0</v>
          </cell>
          <cell r="H175">
            <v>188890.36834059638</v>
          </cell>
          <cell r="I175">
            <v>14713.702723823748</v>
          </cell>
          <cell r="J175">
            <v>563890.36834059632</v>
          </cell>
          <cell r="K175" t="str">
            <v>PASIF</v>
          </cell>
        </row>
        <row r="176">
          <cell r="C176" t="str">
            <v>Joeliantoro, Ir</v>
          </cell>
          <cell r="D176" t="str">
            <v>DP</v>
          </cell>
          <cell r="E176">
            <v>0</v>
          </cell>
          <cell r="F176">
            <v>0</v>
          </cell>
          <cell r="G176">
            <v>0</v>
          </cell>
          <cell r="H176">
            <v>149367.22233193927</v>
          </cell>
          <cell r="I176">
            <v>3897.4684255432762</v>
          </cell>
          <cell r="J176">
            <v>149367.22233193927</v>
          </cell>
          <cell r="K176" t="str">
            <v>BUKAN ANGGOTA</v>
          </cell>
        </row>
        <row r="177">
          <cell r="C177" t="str">
            <v>Joko Utomo</v>
          </cell>
          <cell r="D177" t="str">
            <v>SBU ENI</v>
          </cell>
          <cell r="E177">
            <v>0</v>
          </cell>
          <cell r="F177">
            <v>0</v>
          </cell>
          <cell r="G177">
            <v>0</v>
          </cell>
          <cell r="H177">
            <v>424633.31742439058</v>
          </cell>
          <cell r="I177">
            <v>11080.040997330439</v>
          </cell>
          <cell r="J177">
            <v>424633.31742439058</v>
          </cell>
          <cell r="K177" t="str">
            <v>BUKAN ANGGOTA</v>
          </cell>
        </row>
        <row r="178">
          <cell r="C178" t="str">
            <v>Jonas Tahia. Ir</v>
          </cell>
          <cell r="D178" t="str">
            <v>SBU ENI</v>
          </cell>
          <cell r="E178">
            <v>0</v>
          </cell>
          <cell r="F178">
            <v>0</v>
          </cell>
          <cell r="G178">
            <v>0</v>
          </cell>
          <cell r="H178">
            <v>103178.31333626714</v>
          </cell>
          <cell r="I178">
            <v>2692.2521029094837</v>
          </cell>
          <cell r="J178">
            <v>103178.31333626714</v>
          </cell>
          <cell r="K178" t="str">
            <v>PASIF</v>
          </cell>
        </row>
        <row r="179">
          <cell r="C179" t="str">
            <v>Joustra Billy, ST.</v>
          </cell>
          <cell r="D179" t="str">
            <v>SR</v>
          </cell>
          <cell r="E179">
            <v>5000</v>
          </cell>
          <cell r="F179">
            <v>1877980</v>
          </cell>
          <cell r="G179">
            <v>0</v>
          </cell>
          <cell r="H179">
            <v>1808479.0406660917</v>
          </cell>
          <cell r="I179">
            <v>96321.969643442397</v>
          </cell>
          <cell r="J179">
            <v>3691459.0406660917</v>
          </cell>
          <cell r="K179" t="str">
            <v>PASIF</v>
          </cell>
        </row>
        <row r="180">
          <cell r="C180" t="str">
            <v>Juto Yuwono, Amd.</v>
          </cell>
          <cell r="D180" t="str">
            <v>PRC</v>
          </cell>
          <cell r="E180">
            <v>0</v>
          </cell>
          <cell r="F180">
            <v>150000</v>
          </cell>
          <cell r="G180">
            <v>0</v>
          </cell>
          <cell r="H180">
            <v>84064.01941739209</v>
          </cell>
          <cell r="I180">
            <v>6107.4786756609965</v>
          </cell>
          <cell r="J180">
            <v>234064.01941739209</v>
          </cell>
          <cell r="K180" t="str">
            <v>PASIF</v>
          </cell>
        </row>
        <row r="181">
          <cell r="C181" t="str">
            <v>Kartika Wijayanti</v>
          </cell>
          <cell r="D181" t="str">
            <v>MS</v>
          </cell>
          <cell r="E181">
            <v>5000</v>
          </cell>
          <cell r="F181">
            <v>23442036</v>
          </cell>
          <cell r="G181">
            <v>150000</v>
          </cell>
          <cell r="H181">
            <v>3610875.1554021151</v>
          </cell>
          <cell r="I181">
            <v>709941.39810345403</v>
          </cell>
          <cell r="J181">
            <v>27207911.155402116</v>
          </cell>
          <cell r="K181" t="str">
            <v>AKTIF</v>
          </cell>
        </row>
        <row r="182">
          <cell r="C182" t="str">
            <v>Khusaini</v>
          </cell>
          <cell r="D182" t="str">
            <v>BM</v>
          </cell>
          <cell r="E182">
            <v>0</v>
          </cell>
          <cell r="F182">
            <v>0</v>
          </cell>
          <cell r="G182">
            <v>0</v>
          </cell>
          <cell r="H182">
            <v>859479</v>
          </cell>
          <cell r="I182">
            <v>22426.555255029481</v>
          </cell>
          <cell r="J182">
            <v>859479</v>
          </cell>
          <cell r="K182" t="str">
            <v>PASIF</v>
          </cell>
        </row>
        <row r="183">
          <cell r="C183" t="str">
            <v>Kokok Yudha Cahyono, ST</v>
          </cell>
          <cell r="D183" t="str">
            <v>SD</v>
          </cell>
          <cell r="E183">
            <v>5000</v>
          </cell>
          <cell r="F183">
            <v>13750000</v>
          </cell>
          <cell r="G183">
            <v>0</v>
          </cell>
          <cell r="H183">
            <v>4140700</v>
          </cell>
          <cell r="I183">
            <v>466956.03368718852</v>
          </cell>
          <cell r="J183">
            <v>17895700</v>
          </cell>
          <cell r="K183" t="str">
            <v>PASIF</v>
          </cell>
        </row>
        <row r="184">
          <cell r="C184" t="str">
            <v>Komariah S.Kom</v>
          </cell>
          <cell r="D184" t="str">
            <v>MHC</v>
          </cell>
          <cell r="E184">
            <v>5000</v>
          </cell>
          <cell r="F184">
            <v>37196497</v>
          </cell>
          <cell r="G184">
            <v>55000</v>
          </cell>
          <cell r="H184">
            <v>3243781.5213676039</v>
          </cell>
          <cell r="I184">
            <v>1056781.7644218581</v>
          </cell>
          <cell r="J184">
            <v>40500278.521367602</v>
          </cell>
          <cell r="K184" t="str">
            <v>AKTIF</v>
          </cell>
        </row>
        <row r="185">
          <cell r="C185" t="str">
            <v>Kosim Bin Mari</v>
          </cell>
          <cell r="D185" t="str">
            <v>PU</v>
          </cell>
          <cell r="E185">
            <v>5000</v>
          </cell>
          <cell r="F185">
            <v>19295858</v>
          </cell>
          <cell r="G185">
            <v>780000</v>
          </cell>
          <cell r="H185">
            <v>2290735.1817357237</v>
          </cell>
          <cell r="I185">
            <v>583746.39826364233</v>
          </cell>
          <cell r="J185">
            <v>22371593.181735724</v>
          </cell>
          <cell r="K185" t="str">
            <v>AKTIF</v>
          </cell>
        </row>
        <row r="186">
          <cell r="C186" t="str">
            <v>Krishna Wijayadi</v>
          </cell>
          <cell r="D186" t="str">
            <v>PRB</v>
          </cell>
          <cell r="E186">
            <v>5000</v>
          </cell>
          <cell r="F186">
            <v>42192947</v>
          </cell>
          <cell r="G186">
            <v>30000</v>
          </cell>
          <cell r="H186">
            <v>3637118.2526121773</v>
          </cell>
          <cell r="I186">
            <v>1196766.2039017121</v>
          </cell>
          <cell r="J186">
            <v>45865065.252612174</v>
          </cell>
          <cell r="K186" t="str">
            <v>AKTIF</v>
          </cell>
        </row>
        <row r="187">
          <cell r="C187" t="str">
            <v>Kurnia Firmansyah</v>
          </cell>
          <cell r="D187" t="str">
            <v>MHC</v>
          </cell>
          <cell r="E187">
            <v>5000</v>
          </cell>
          <cell r="F187">
            <v>31864498</v>
          </cell>
          <cell r="G187">
            <v>900000</v>
          </cell>
          <cell r="H187">
            <v>773988.13584585255</v>
          </cell>
          <cell r="I187">
            <v>875256.80705620768</v>
          </cell>
          <cell r="J187">
            <v>33543486.135845851</v>
          </cell>
          <cell r="K187" t="str">
            <v>AKTIF</v>
          </cell>
        </row>
        <row r="188">
          <cell r="C188" t="str">
            <v>Lilah Kurnia Sari, ST</v>
          </cell>
          <cell r="D188" t="str">
            <v>SBU ENI</v>
          </cell>
          <cell r="E188">
            <v>0</v>
          </cell>
          <cell r="F188">
            <v>0</v>
          </cell>
          <cell r="G188">
            <v>0</v>
          </cell>
          <cell r="H188">
            <v>279251.14011344267</v>
          </cell>
          <cell r="I188">
            <v>7286.5551383851171</v>
          </cell>
          <cell r="J188">
            <v>279251.14011344267</v>
          </cell>
          <cell r="K188" t="str">
            <v>PASIF</v>
          </cell>
        </row>
        <row r="189">
          <cell r="C189" t="str">
            <v>Lily Pandansari</v>
          </cell>
          <cell r="D189" t="str">
            <v>MRKU</v>
          </cell>
          <cell r="E189">
            <v>5000</v>
          </cell>
          <cell r="F189">
            <v>38697316</v>
          </cell>
          <cell r="G189">
            <v>1125000</v>
          </cell>
          <cell r="H189">
            <v>5266839.8837786652</v>
          </cell>
          <cell r="I189">
            <v>1176650.7135211856</v>
          </cell>
          <cell r="J189">
            <v>45094155.883778661</v>
          </cell>
          <cell r="K189" t="str">
            <v>AKTIF</v>
          </cell>
        </row>
        <row r="190">
          <cell r="C190" t="str">
            <v>Linda Kurniaty</v>
          </cell>
          <cell r="D190" t="str">
            <v>SEKPER</v>
          </cell>
          <cell r="E190">
            <v>5000</v>
          </cell>
          <cell r="F190">
            <v>27687151</v>
          </cell>
          <cell r="G190">
            <v>1696000</v>
          </cell>
          <cell r="H190">
            <v>5992542.0812780224</v>
          </cell>
          <cell r="I190">
            <v>923195.4106482194</v>
          </cell>
          <cell r="J190">
            <v>35380693.081278026</v>
          </cell>
          <cell r="K190" t="str">
            <v>AKTIF</v>
          </cell>
        </row>
        <row r="191">
          <cell r="C191" t="str">
            <v>Lisa</v>
          </cell>
          <cell r="D191" t="str">
            <v>PR</v>
          </cell>
          <cell r="E191">
            <v>5000</v>
          </cell>
          <cell r="F191">
            <v>20939393</v>
          </cell>
          <cell r="G191">
            <v>200000</v>
          </cell>
          <cell r="H191">
            <v>7725877.3019592371</v>
          </cell>
          <cell r="I191">
            <v>753317.66355492757</v>
          </cell>
          <cell r="J191">
            <v>28870270.301959239</v>
          </cell>
          <cell r="K191" t="str">
            <v>AKTIF</v>
          </cell>
        </row>
        <row r="192">
          <cell r="C192" t="str">
            <v>Lisa Sri Andayani, B.Sc.</v>
          </cell>
          <cell r="D192" t="str">
            <v>MRKU</v>
          </cell>
          <cell r="E192">
            <v>55000</v>
          </cell>
          <cell r="F192">
            <v>46814457</v>
          </cell>
          <cell r="G192">
            <v>792500</v>
          </cell>
          <cell r="H192">
            <v>13108346.616576018</v>
          </cell>
          <cell r="I192">
            <v>1585691.5316395864</v>
          </cell>
          <cell r="J192">
            <v>60770303.616576016</v>
          </cell>
          <cell r="K192" t="str">
            <v>AKTIF</v>
          </cell>
        </row>
        <row r="193">
          <cell r="C193" t="str">
            <v>Liza Yuni. ST</v>
          </cell>
          <cell r="D193" t="str">
            <v>MS</v>
          </cell>
          <cell r="E193">
            <v>5000</v>
          </cell>
          <cell r="F193">
            <v>31526249</v>
          </cell>
          <cell r="G193">
            <v>800000</v>
          </cell>
          <cell r="H193">
            <v>1904332.7948204177</v>
          </cell>
          <cell r="I193">
            <v>893315.7957432603</v>
          </cell>
          <cell r="J193">
            <v>34235581.79482042</v>
          </cell>
          <cell r="K193" t="str">
            <v>AKTIF</v>
          </cell>
        </row>
        <row r="194">
          <cell r="C194" t="str">
            <v>Lukman Hakim. Ir</v>
          </cell>
          <cell r="D194" t="str">
            <v>SV</v>
          </cell>
          <cell r="E194">
            <v>5000</v>
          </cell>
          <cell r="F194">
            <v>31047025</v>
          </cell>
          <cell r="G194">
            <v>0</v>
          </cell>
          <cell r="H194">
            <v>11647853.734357011</v>
          </cell>
          <cell r="I194">
            <v>1114176.3671004365</v>
          </cell>
          <cell r="J194">
            <v>42699878.734357014</v>
          </cell>
          <cell r="K194" t="str">
            <v>AKTIF</v>
          </cell>
        </row>
        <row r="195">
          <cell r="C195" t="str">
            <v>M. Arif Kurniawan</v>
          </cell>
          <cell r="D195" t="str">
            <v>R&amp;P</v>
          </cell>
          <cell r="E195">
            <v>0</v>
          </cell>
          <cell r="F195">
            <v>250000</v>
          </cell>
          <cell r="G195">
            <v>0</v>
          </cell>
          <cell r="H195">
            <v>394969.28762412979</v>
          </cell>
          <cell r="I195">
            <v>16829.310974089592</v>
          </cell>
          <cell r="J195">
            <v>644969.28762412979</v>
          </cell>
          <cell r="K195" t="str">
            <v>PASIF</v>
          </cell>
        </row>
        <row r="196">
          <cell r="C196" t="str">
            <v>M. Arif Maulana Wiranegar</v>
          </cell>
          <cell r="D196" t="str">
            <v>SD</v>
          </cell>
          <cell r="E196">
            <v>5000</v>
          </cell>
          <cell r="F196">
            <v>14325000</v>
          </cell>
          <cell r="G196">
            <v>0</v>
          </cell>
          <cell r="H196">
            <v>4528221.2556199767</v>
          </cell>
          <cell r="I196">
            <v>492071.29086427111</v>
          </cell>
          <cell r="J196">
            <v>18858221.255619977</v>
          </cell>
          <cell r="K196" t="str">
            <v>AKTIF</v>
          </cell>
        </row>
        <row r="197">
          <cell r="C197" t="str">
            <v>Muh Aspar</v>
          </cell>
          <cell r="D197" t="str">
            <v>PU</v>
          </cell>
          <cell r="E197">
            <v>0</v>
          </cell>
          <cell r="F197">
            <v>11250000</v>
          </cell>
          <cell r="G197">
            <v>270000</v>
          </cell>
          <cell r="H197">
            <v>324805</v>
          </cell>
          <cell r="I197">
            <v>309068.83567550749</v>
          </cell>
          <cell r="J197">
            <v>11844805</v>
          </cell>
          <cell r="K197" t="str">
            <v>AKTIF</v>
          </cell>
        </row>
        <row r="198">
          <cell r="C198" t="str">
            <v>M. Basarudin Aspahani, Ir</v>
          </cell>
          <cell r="D198" t="str">
            <v>M&amp;K</v>
          </cell>
          <cell r="E198">
            <v>0</v>
          </cell>
          <cell r="F198">
            <v>3150000</v>
          </cell>
          <cell r="G198">
            <v>0</v>
          </cell>
          <cell r="H198">
            <v>236140.23866130947</v>
          </cell>
          <cell r="I198">
            <v>88355.22585614842</v>
          </cell>
          <cell r="J198">
            <v>3386140.2386613097</v>
          </cell>
          <cell r="K198" t="str">
            <v>AKTIF</v>
          </cell>
        </row>
        <row r="199">
          <cell r="C199" t="str">
            <v>M. Iqbal, ST</v>
          </cell>
          <cell r="D199" t="str">
            <v>PRC</v>
          </cell>
          <cell r="E199">
            <v>0</v>
          </cell>
          <cell r="F199">
            <v>250000</v>
          </cell>
          <cell r="G199">
            <v>0</v>
          </cell>
          <cell r="H199">
            <v>10258.117999073118</v>
          </cell>
          <cell r="I199">
            <v>6790.9664620964522</v>
          </cell>
          <cell r="J199">
            <v>260258.11799907312</v>
          </cell>
          <cell r="K199" t="str">
            <v>PASIF</v>
          </cell>
        </row>
        <row r="200">
          <cell r="C200" t="str">
            <v>M. Natzir</v>
          </cell>
          <cell r="D200" t="str">
            <v>SB/2</v>
          </cell>
          <cell r="E200">
            <v>5000</v>
          </cell>
          <cell r="F200">
            <v>495000</v>
          </cell>
          <cell r="G200">
            <v>0</v>
          </cell>
          <cell r="H200">
            <v>150221.40045669928</v>
          </cell>
          <cell r="I200">
            <v>16966.355391283345</v>
          </cell>
          <cell r="J200">
            <v>650221.40045669931</v>
          </cell>
          <cell r="K200" t="str">
            <v>PASIF</v>
          </cell>
        </row>
        <row r="201">
          <cell r="C201" t="str">
            <v>M. Nur Ardam</v>
          </cell>
          <cell r="D201" t="str">
            <v>STA</v>
          </cell>
          <cell r="E201">
            <v>0</v>
          </cell>
          <cell r="F201">
            <v>0</v>
          </cell>
          <cell r="G201">
            <v>0</v>
          </cell>
          <cell r="H201">
            <v>45074.087555309758</v>
          </cell>
          <cell r="I201">
            <v>1176.1270666638638</v>
          </cell>
          <cell r="J201">
            <v>45074.087555309758</v>
          </cell>
          <cell r="K201" t="str">
            <v>PASIF</v>
          </cell>
        </row>
        <row r="202">
          <cell r="C202" t="str">
            <v>Mahmur Mochtar, ST</v>
          </cell>
          <cell r="D202" t="str">
            <v>SR</v>
          </cell>
          <cell r="E202">
            <v>5000</v>
          </cell>
          <cell r="F202">
            <v>32677980</v>
          </cell>
          <cell r="G202">
            <v>0</v>
          </cell>
          <cell r="H202">
            <v>2438869.5308088898</v>
          </cell>
          <cell r="I202">
            <v>916441.35477599432</v>
          </cell>
          <cell r="J202">
            <v>35121849.530808888</v>
          </cell>
          <cell r="K202" t="str">
            <v>AKTIF</v>
          </cell>
        </row>
        <row r="203">
          <cell r="C203" t="str">
            <v>Mamin Rifia. St</v>
          </cell>
          <cell r="D203" t="str">
            <v>SBU ENI</v>
          </cell>
          <cell r="E203">
            <v>5000</v>
          </cell>
          <cell r="F203">
            <v>29380222</v>
          </cell>
          <cell r="G203">
            <v>1240000</v>
          </cell>
          <cell r="H203">
            <v>2578791.5531256641</v>
          </cell>
          <cell r="I203">
            <v>866398.88192488765</v>
          </cell>
          <cell r="J203">
            <v>33204013.553125665</v>
          </cell>
          <cell r="K203" t="str">
            <v>AKTIF</v>
          </cell>
        </row>
        <row r="204">
          <cell r="C204" t="str">
            <v>Manahan. P. Sihombing</v>
          </cell>
          <cell r="D204" t="str">
            <v>-</v>
          </cell>
          <cell r="E204">
            <v>0</v>
          </cell>
          <cell r="F204">
            <v>0</v>
          </cell>
          <cell r="G204">
            <v>0</v>
          </cell>
          <cell r="H204">
            <v>139220.39223060943</v>
          </cell>
          <cell r="I204">
            <v>3632.7051841716197</v>
          </cell>
          <cell r="J204">
            <v>139220.39223060943</v>
          </cell>
          <cell r="K204" t="str">
            <v>PASIF</v>
          </cell>
        </row>
        <row r="205">
          <cell r="C205" t="str">
            <v>Manggarseta Jatnika, Ir</v>
          </cell>
          <cell r="D205" t="str">
            <v>SB</v>
          </cell>
          <cell r="E205">
            <v>5000</v>
          </cell>
          <cell r="F205">
            <v>37669812</v>
          </cell>
          <cell r="G205">
            <v>87500</v>
          </cell>
          <cell r="H205">
            <v>7070816.9221654981</v>
          </cell>
          <cell r="I205">
            <v>1169839.6854708549</v>
          </cell>
          <cell r="J205">
            <v>44833128.922165498</v>
          </cell>
          <cell r="K205" t="str">
            <v>AKTIF</v>
          </cell>
        </row>
        <row r="206">
          <cell r="C206" t="str">
            <v>Mardiana Muchtar</v>
          </cell>
          <cell r="D206" t="str">
            <v>BPC</v>
          </cell>
          <cell r="E206">
            <v>5000</v>
          </cell>
          <cell r="F206">
            <v>55000</v>
          </cell>
          <cell r="G206">
            <v>0</v>
          </cell>
          <cell r="H206">
            <v>309191.90988026757</v>
          </cell>
          <cell r="I206">
            <v>9633.397403124085</v>
          </cell>
          <cell r="J206">
            <v>369191.90988026757</v>
          </cell>
          <cell r="K206" t="str">
            <v>PASIF</v>
          </cell>
        </row>
        <row r="207">
          <cell r="C207" t="str">
            <v>Mardini Embun Sari</v>
          </cell>
          <cell r="D207" t="str">
            <v>PU</v>
          </cell>
          <cell r="E207">
            <v>5000</v>
          </cell>
          <cell r="F207">
            <v>31855222</v>
          </cell>
          <cell r="G207">
            <v>175000</v>
          </cell>
          <cell r="H207">
            <v>1890572.1929312483</v>
          </cell>
          <cell r="I207">
            <v>885232.44667819806</v>
          </cell>
          <cell r="J207">
            <v>33925794.19293125</v>
          </cell>
          <cell r="K207" t="str">
            <v>AKTIF</v>
          </cell>
        </row>
        <row r="208">
          <cell r="C208" t="str">
            <v>Marina Arifianti</v>
          </cell>
          <cell r="D208" t="str">
            <v>MHC</v>
          </cell>
          <cell r="E208">
            <v>5000</v>
          </cell>
          <cell r="F208">
            <v>26606383</v>
          </cell>
          <cell r="G208">
            <v>2290000</v>
          </cell>
          <cell r="H208">
            <v>2050906.9701906377</v>
          </cell>
          <cell r="I208">
            <v>807644.21386232262</v>
          </cell>
          <cell r="J208">
            <v>30952289.970190637</v>
          </cell>
          <cell r="K208" t="str">
            <v>AKTIF</v>
          </cell>
        </row>
        <row r="209">
          <cell r="C209" t="str">
            <v>Marthen Tonis</v>
          </cell>
          <cell r="D209" t="str">
            <v>SB</v>
          </cell>
          <cell r="E209">
            <v>5000</v>
          </cell>
          <cell r="F209">
            <v>4350000</v>
          </cell>
          <cell r="G209">
            <v>0</v>
          </cell>
          <cell r="H209">
            <v>650344.32100071316</v>
          </cell>
          <cell r="I209">
            <v>130605.43769582563</v>
          </cell>
          <cell r="J209">
            <v>5005344.3210007129</v>
          </cell>
          <cell r="K209" t="str">
            <v>PASIF</v>
          </cell>
        </row>
        <row r="210">
          <cell r="C210" t="str">
            <v>Martono, ST</v>
          </cell>
          <cell r="D210" t="str">
            <v>SV</v>
          </cell>
          <cell r="E210">
            <v>0</v>
          </cell>
          <cell r="F210">
            <v>0</v>
          </cell>
          <cell r="G210">
            <v>0</v>
          </cell>
          <cell r="H210">
            <v>200217.26766355359</v>
          </cell>
          <cell r="I210">
            <v>5224.308698953334</v>
          </cell>
          <cell r="J210">
            <v>200217.26766355359</v>
          </cell>
          <cell r="K210" t="str">
            <v>PASIF</v>
          </cell>
        </row>
        <row r="211">
          <cell r="C211" t="str">
            <v>Maskarena Johanis</v>
          </cell>
          <cell r="D211" t="str">
            <v>BT</v>
          </cell>
          <cell r="E211">
            <v>5000</v>
          </cell>
          <cell r="F211">
            <v>145000</v>
          </cell>
          <cell r="G211">
            <v>0</v>
          </cell>
          <cell r="H211">
            <v>590481.21924797003</v>
          </cell>
          <cell r="I211">
            <v>19321.522665214859</v>
          </cell>
          <cell r="J211">
            <v>740481.21924797003</v>
          </cell>
          <cell r="K211" t="str">
            <v>PASIF</v>
          </cell>
        </row>
        <row r="212">
          <cell r="C212" t="str">
            <v>Ma'sum, Ir</v>
          </cell>
          <cell r="D212" t="str">
            <v>-</v>
          </cell>
          <cell r="E212">
            <v>5000</v>
          </cell>
          <cell r="F212">
            <v>72800</v>
          </cell>
          <cell r="G212">
            <v>0</v>
          </cell>
          <cell r="H212">
            <v>412039.8548511212</v>
          </cell>
          <cell r="I212">
            <v>12781.48805373289</v>
          </cell>
          <cell r="J212">
            <v>489839.8548511212</v>
          </cell>
          <cell r="K212" t="str">
            <v>PASIF</v>
          </cell>
        </row>
        <row r="213">
          <cell r="C213" t="str">
            <v>Mat Hasan</v>
          </cell>
          <cell r="D213" t="str">
            <v>CGC</v>
          </cell>
          <cell r="E213">
            <v>5000</v>
          </cell>
          <cell r="F213">
            <v>32145858</v>
          </cell>
          <cell r="G213">
            <v>0</v>
          </cell>
          <cell r="H213">
            <v>2490233.914528558</v>
          </cell>
          <cell r="I213">
            <v>903896.8513666183</v>
          </cell>
          <cell r="J213">
            <v>34641091.914528556</v>
          </cell>
          <cell r="K213" t="str">
            <v>AKTIF</v>
          </cell>
        </row>
        <row r="214">
          <cell r="C214" t="str">
            <v>Merdiansah</v>
          </cell>
          <cell r="D214" t="str">
            <v>SBU MNO</v>
          </cell>
          <cell r="E214">
            <v>5000</v>
          </cell>
          <cell r="F214">
            <v>33621642</v>
          </cell>
          <cell r="G214">
            <v>30000</v>
          </cell>
          <cell r="H214">
            <v>739607.05567065137</v>
          </cell>
          <cell r="I214">
            <v>897508.11830510513</v>
          </cell>
          <cell r="J214">
            <v>34396249.055670649</v>
          </cell>
          <cell r="K214" t="str">
            <v>AKTIF</v>
          </cell>
        </row>
        <row r="215">
          <cell r="C215" t="str">
            <v>Mia Martina Indah</v>
          </cell>
          <cell r="D215" t="str">
            <v>MHC</v>
          </cell>
          <cell r="E215">
            <v>5000</v>
          </cell>
          <cell r="F215">
            <v>23400447</v>
          </cell>
          <cell r="G215">
            <v>350000</v>
          </cell>
          <cell r="H215">
            <v>1789436.960815961</v>
          </cell>
          <cell r="I215">
            <v>666547.70114284998</v>
          </cell>
          <cell r="J215">
            <v>25544883.960815962</v>
          </cell>
          <cell r="K215" t="str">
            <v>AKTIF</v>
          </cell>
        </row>
        <row r="216">
          <cell r="C216" t="str">
            <v>Miftah Faridy, ST</v>
          </cell>
          <cell r="D216" t="str">
            <v>TP</v>
          </cell>
          <cell r="E216">
            <v>5000</v>
          </cell>
          <cell r="F216">
            <v>26016000</v>
          </cell>
          <cell r="G216">
            <v>0</v>
          </cell>
          <cell r="H216">
            <v>1659431.878496655</v>
          </cell>
          <cell r="I216">
            <v>722270.97463252128</v>
          </cell>
          <cell r="J216">
            <v>27680431.878496654</v>
          </cell>
          <cell r="K216" t="str">
            <v>AKTIF</v>
          </cell>
        </row>
        <row r="217">
          <cell r="C217" t="str">
            <v>Misbahudin Aidy, Ir</v>
          </cell>
          <cell r="D217" t="str">
            <v>SG</v>
          </cell>
          <cell r="E217">
            <v>5000</v>
          </cell>
          <cell r="F217">
            <v>12425457</v>
          </cell>
          <cell r="G217">
            <v>0</v>
          </cell>
          <cell r="H217">
            <v>12177051.670437146</v>
          </cell>
          <cell r="I217">
            <v>642088.58260198997</v>
          </cell>
          <cell r="J217">
            <v>24607508.670437146</v>
          </cell>
          <cell r="K217" t="str">
            <v>PASIF</v>
          </cell>
        </row>
        <row r="218">
          <cell r="C218" t="str">
            <v>Misril</v>
          </cell>
          <cell r="D218" t="str">
            <v>PU</v>
          </cell>
          <cell r="E218">
            <v>0</v>
          </cell>
          <cell r="F218">
            <v>0</v>
          </cell>
          <cell r="G218">
            <v>0</v>
          </cell>
          <cell r="H218">
            <v>432962.66477469262</v>
          </cell>
          <cell r="I218">
            <v>11297.38030240931</v>
          </cell>
          <cell r="J218">
            <v>432962.66477469262</v>
          </cell>
          <cell r="K218" t="str">
            <v>BUKAN ANGGOTA</v>
          </cell>
        </row>
        <row r="219">
          <cell r="C219" t="str">
            <v>Moch. Zaky, ST.</v>
          </cell>
          <cell r="D219" t="str">
            <v>R&amp;P</v>
          </cell>
          <cell r="E219">
            <v>5000</v>
          </cell>
          <cell r="F219">
            <v>37772107</v>
          </cell>
          <cell r="G219">
            <v>30000</v>
          </cell>
          <cell r="H219">
            <v>5100546.8079191791</v>
          </cell>
          <cell r="I219">
            <v>1119597.8831210253</v>
          </cell>
          <cell r="J219">
            <v>42907653.807919182</v>
          </cell>
          <cell r="K219" t="str">
            <v>AKTIF</v>
          </cell>
        </row>
        <row r="220">
          <cell r="C220" t="str">
            <v>Moh. Furqon, ST.</v>
          </cell>
          <cell r="D220" t="str">
            <v>STA</v>
          </cell>
          <cell r="E220">
            <v>5000</v>
          </cell>
          <cell r="F220">
            <v>21502980</v>
          </cell>
          <cell r="G220">
            <v>0</v>
          </cell>
          <cell r="H220">
            <v>3380838.4935872336</v>
          </cell>
          <cell r="I220">
            <v>649428.85536334652</v>
          </cell>
          <cell r="J220">
            <v>24888818.493587233</v>
          </cell>
          <cell r="K220" t="str">
            <v>AKTIF</v>
          </cell>
        </row>
        <row r="221">
          <cell r="C221" t="str">
            <v>Moh. Mukhtar</v>
          </cell>
          <cell r="D221" t="str">
            <v>PB</v>
          </cell>
          <cell r="E221">
            <v>0</v>
          </cell>
          <cell r="F221">
            <v>950000</v>
          </cell>
          <cell r="G221">
            <v>0</v>
          </cell>
          <cell r="H221">
            <v>38978.623871706426</v>
          </cell>
          <cell r="I221">
            <v>25805.614511002415</v>
          </cell>
          <cell r="J221">
            <v>988978.62387170643</v>
          </cell>
          <cell r="K221" t="str">
            <v>PASIF</v>
          </cell>
        </row>
        <row r="222">
          <cell r="C222" t="str">
            <v>Moh. Rico Faridz, Ir</v>
          </cell>
          <cell r="D222" t="str">
            <v>IT</v>
          </cell>
          <cell r="E222">
            <v>0</v>
          </cell>
          <cell r="F222">
            <v>1550000</v>
          </cell>
          <cell r="G222">
            <v>0</v>
          </cell>
          <cell r="H222">
            <v>63598.268001618795</v>
          </cell>
          <cell r="I222">
            <v>42103.938219267926</v>
          </cell>
          <cell r="J222">
            <v>1613598.2680016188</v>
          </cell>
          <cell r="K222" t="str">
            <v>PASIF</v>
          </cell>
        </row>
        <row r="223">
          <cell r="C223" t="str">
            <v>Moh. Sugeng, Ir</v>
          </cell>
          <cell r="D223" t="str">
            <v>DP</v>
          </cell>
          <cell r="E223">
            <v>0</v>
          </cell>
          <cell r="F223">
            <v>0</v>
          </cell>
          <cell r="G223">
            <v>0</v>
          </cell>
          <cell r="H223">
            <v>282933.31913226144</v>
          </cell>
          <cell r="I223">
            <v>7382.6349625861149</v>
          </cell>
          <cell r="J223">
            <v>282933.31913226144</v>
          </cell>
          <cell r="K223" t="str">
            <v>PASIF</v>
          </cell>
        </row>
        <row r="224">
          <cell r="C224" t="str">
            <v>Mohamad Cholil, Ir</v>
          </cell>
          <cell r="D224" t="str">
            <v>DIREKSI</v>
          </cell>
          <cell r="E224">
            <v>0</v>
          </cell>
          <cell r="F224">
            <v>1000000</v>
          </cell>
          <cell r="G224">
            <v>0</v>
          </cell>
          <cell r="H224">
            <v>967619.3411661908</v>
          </cell>
          <cell r="I224">
            <v>51341.479984418802</v>
          </cell>
          <cell r="J224">
            <v>1967619.3411661908</v>
          </cell>
          <cell r="K224" t="str">
            <v>BUKAN ANGGOTA</v>
          </cell>
        </row>
        <row r="225">
          <cell r="C225" t="str">
            <v>Muh. Arfah, Ir</v>
          </cell>
          <cell r="D225" t="str">
            <v>SV</v>
          </cell>
          <cell r="E225">
            <v>5000</v>
          </cell>
          <cell r="F225">
            <v>49786636</v>
          </cell>
          <cell r="G225">
            <v>360000</v>
          </cell>
          <cell r="H225">
            <v>4609755.7604142372</v>
          </cell>
          <cell r="I225">
            <v>1428899.8080898381</v>
          </cell>
          <cell r="J225">
            <v>54761391.760414235</v>
          </cell>
          <cell r="K225" t="str">
            <v>AKTIF</v>
          </cell>
        </row>
        <row r="226">
          <cell r="C226" t="str">
            <v>Muh. Fajrin M. Said ST</v>
          </cell>
          <cell r="D226" t="str">
            <v>MKS</v>
          </cell>
          <cell r="E226">
            <v>5000</v>
          </cell>
          <cell r="F226">
            <v>30306004</v>
          </cell>
          <cell r="G226">
            <v>0</v>
          </cell>
          <cell r="H226">
            <v>9294433.5085261147</v>
          </cell>
          <cell r="I226">
            <v>1033432.5011833659</v>
          </cell>
          <cell r="J226">
            <v>39605437.508526117</v>
          </cell>
          <cell r="K226" t="str">
            <v>AKTIF</v>
          </cell>
        </row>
        <row r="227">
          <cell r="C227" t="str">
            <v>Muh. Idi, Ir</v>
          </cell>
          <cell r="D227" t="str">
            <v>PK</v>
          </cell>
          <cell r="E227">
            <v>5000</v>
          </cell>
          <cell r="F227">
            <v>10720845</v>
          </cell>
          <cell r="G227">
            <v>0</v>
          </cell>
          <cell r="H227">
            <v>472933.10023109702</v>
          </cell>
          <cell r="I227">
            <v>292211.928218894</v>
          </cell>
          <cell r="J227">
            <v>11198778.100231096</v>
          </cell>
          <cell r="K227" t="str">
            <v>AKTIF</v>
          </cell>
        </row>
        <row r="228">
          <cell r="C228" t="str">
            <v>Muh. Nasir, ST.</v>
          </cell>
          <cell r="D228" t="str">
            <v>SBC</v>
          </cell>
          <cell r="E228">
            <v>5000</v>
          </cell>
          <cell r="F228">
            <v>16209933</v>
          </cell>
          <cell r="G228">
            <v>0</v>
          </cell>
          <cell r="H228">
            <v>1539769.0193999195</v>
          </cell>
          <cell r="I228">
            <v>463276.94553869939</v>
          </cell>
          <cell r="J228">
            <v>17754702.019399919</v>
          </cell>
          <cell r="K228" t="str">
            <v>AKTIF</v>
          </cell>
        </row>
        <row r="229">
          <cell r="C229" t="str">
            <v>Muh. Saefuddin</v>
          </cell>
          <cell r="D229" t="str">
            <v>-</v>
          </cell>
          <cell r="E229">
            <v>5000</v>
          </cell>
          <cell r="F229">
            <v>345000</v>
          </cell>
          <cell r="G229">
            <v>0</v>
          </cell>
          <cell r="H229">
            <v>640254.16746635945</v>
          </cell>
          <cell r="I229">
            <v>25838.897521879568</v>
          </cell>
          <cell r="J229">
            <v>990254.16746635945</v>
          </cell>
          <cell r="K229" t="str">
            <v>PASIF</v>
          </cell>
        </row>
        <row r="230">
          <cell r="C230" t="str">
            <v>Muh. Sodik ST</v>
          </cell>
          <cell r="D230" t="str">
            <v>MS</v>
          </cell>
          <cell r="E230">
            <v>5000</v>
          </cell>
          <cell r="F230">
            <v>41592141</v>
          </cell>
          <cell r="G230">
            <v>0</v>
          </cell>
          <cell r="H230">
            <v>3829340.8262533434</v>
          </cell>
          <cell r="I230">
            <v>1185322.1599574429</v>
          </cell>
          <cell r="J230">
            <v>45426481.82625334</v>
          </cell>
          <cell r="K230" t="str">
            <v>AKTIF</v>
          </cell>
        </row>
        <row r="231">
          <cell r="C231" t="str">
            <v>Muhammad Abdul Malik, ST.</v>
          </cell>
          <cell r="D231" t="str">
            <v>R&amp;P</v>
          </cell>
          <cell r="E231">
            <v>5000</v>
          </cell>
          <cell r="F231">
            <v>31342879</v>
          </cell>
          <cell r="G231">
            <v>0</v>
          </cell>
          <cell r="H231">
            <v>2565135.931677327</v>
          </cell>
          <cell r="I231">
            <v>884898.99489097635</v>
          </cell>
          <cell r="J231">
            <v>33913014.931677327</v>
          </cell>
          <cell r="K231" t="str">
            <v>AKTIF</v>
          </cell>
        </row>
        <row r="232">
          <cell r="C232" t="str">
            <v>Muhammad Ichsan. ST</v>
          </cell>
          <cell r="D232" t="str">
            <v>CG</v>
          </cell>
          <cell r="E232">
            <v>0</v>
          </cell>
          <cell r="F232">
            <v>0</v>
          </cell>
          <cell r="G232">
            <v>0</v>
          </cell>
          <cell r="H232">
            <v>1621361</v>
          </cell>
          <cell r="I232">
            <v>42306.492718088353</v>
          </cell>
          <cell r="J232">
            <v>1621361</v>
          </cell>
          <cell r="K232" t="str">
            <v>PASIF</v>
          </cell>
        </row>
        <row r="233">
          <cell r="C233" t="str">
            <v>Muhibuddin, ST</v>
          </cell>
          <cell r="D233" t="str">
            <v>BM</v>
          </cell>
          <cell r="E233">
            <v>0</v>
          </cell>
          <cell r="F233">
            <v>750000</v>
          </cell>
          <cell r="G233">
            <v>0</v>
          </cell>
          <cell r="H233">
            <v>30773.447163384408</v>
          </cell>
          <cell r="I233">
            <v>20372.875724095044</v>
          </cell>
          <cell r="J233">
            <v>780773.44716338441</v>
          </cell>
          <cell r="K233" t="str">
            <v>PASIF</v>
          </cell>
        </row>
        <row r="234">
          <cell r="C234" t="str">
            <v>Muhson Nurrochmat</v>
          </cell>
          <cell r="D234"/>
          <cell r="E234">
            <v>0</v>
          </cell>
          <cell r="F234">
            <v>550000</v>
          </cell>
          <cell r="G234">
            <v>0</v>
          </cell>
          <cell r="H234">
            <v>12309</v>
          </cell>
          <cell r="I234">
            <v>14672.439767464211</v>
          </cell>
          <cell r="J234">
            <v>562309</v>
          </cell>
          <cell r="K234" t="str">
            <v>PASIF</v>
          </cell>
        </row>
        <row r="235">
          <cell r="C235" t="str">
            <v>Mukti Bravita</v>
          </cell>
          <cell r="D235" t="str">
            <v>MS</v>
          </cell>
          <cell r="E235">
            <v>0</v>
          </cell>
          <cell r="F235">
            <v>0</v>
          </cell>
          <cell r="G235">
            <v>0</v>
          </cell>
          <cell r="H235">
            <v>275367.87378344825</v>
          </cell>
          <cell r="I235">
            <v>7185.2283032680107</v>
          </cell>
          <cell r="J235">
            <v>275367.87378344825</v>
          </cell>
          <cell r="K235" t="str">
            <v>PASIF</v>
          </cell>
        </row>
        <row r="236">
          <cell r="C236" t="str">
            <v>Mushawwir Razak</v>
          </cell>
          <cell r="D236" t="str">
            <v>MKS</v>
          </cell>
          <cell r="E236">
            <v>5000</v>
          </cell>
          <cell r="F236">
            <v>22999750</v>
          </cell>
          <cell r="G236">
            <v>70000</v>
          </cell>
          <cell r="H236">
            <v>13314873.357946187</v>
          </cell>
          <cell r="I236">
            <v>949521.6275751841</v>
          </cell>
          <cell r="J236">
            <v>36389623.357946187</v>
          </cell>
          <cell r="K236" t="str">
            <v>AKTIF</v>
          </cell>
        </row>
        <row r="237">
          <cell r="C237" t="str">
            <v>Muslim</v>
          </cell>
          <cell r="D237" t="str">
            <v>CG</v>
          </cell>
          <cell r="E237">
            <v>5000</v>
          </cell>
          <cell r="F237">
            <v>4942309</v>
          </cell>
          <cell r="G237">
            <v>0</v>
          </cell>
          <cell r="H237">
            <v>5525666.0486421082</v>
          </cell>
          <cell r="I237">
            <v>273273.40588067577</v>
          </cell>
          <cell r="J237">
            <v>10472975.048642108</v>
          </cell>
          <cell r="K237" t="str">
            <v>PASIF</v>
          </cell>
        </row>
        <row r="238">
          <cell r="C238" t="str">
            <v>Mustakim ST</v>
          </cell>
          <cell r="D238" t="str">
            <v>CN</v>
          </cell>
          <cell r="E238">
            <v>5000</v>
          </cell>
          <cell r="F238">
            <v>19825000</v>
          </cell>
          <cell r="G238">
            <v>0</v>
          </cell>
          <cell r="H238">
            <v>2076520.8535939315</v>
          </cell>
          <cell r="I238">
            <v>571611.17417479644</v>
          </cell>
          <cell r="J238">
            <v>21906520.853593931</v>
          </cell>
          <cell r="K238" t="str">
            <v>AKTIF</v>
          </cell>
        </row>
        <row r="239">
          <cell r="C239" t="str">
            <v>Mustari. Amk. C/MME</v>
          </cell>
          <cell r="D239" t="str">
            <v>-</v>
          </cell>
          <cell r="E239">
            <v>0</v>
          </cell>
          <cell r="F239">
            <v>0</v>
          </cell>
          <cell r="G239">
            <v>0</v>
          </cell>
          <cell r="H239">
            <v>363077</v>
          </cell>
          <cell r="I239">
            <v>9473.8398522015541</v>
          </cell>
          <cell r="J239">
            <v>363077</v>
          </cell>
          <cell r="K239" t="str">
            <v>PASIF</v>
          </cell>
        </row>
        <row r="240">
          <cell r="C240" t="str">
            <v>Mut Ali</v>
          </cell>
          <cell r="D240" t="str">
            <v>SBC</v>
          </cell>
          <cell r="E240">
            <v>0</v>
          </cell>
          <cell r="F240">
            <v>0</v>
          </cell>
          <cell r="G240">
            <v>0</v>
          </cell>
          <cell r="H240">
            <v>489208.89512369456</v>
          </cell>
          <cell r="I240">
            <v>12765.024296979285</v>
          </cell>
          <cell r="J240">
            <v>489208.89512369456</v>
          </cell>
          <cell r="K240" t="str">
            <v>BUKAN ANGGOTA</v>
          </cell>
        </row>
        <row r="241">
          <cell r="C241" t="str">
            <v>Nano L, Ir</v>
          </cell>
          <cell r="D241" t="str">
            <v>SB</v>
          </cell>
          <cell r="E241">
            <v>5000</v>
          </cell>
          <cell r="F241">
            <v>7828200</v>
          </cell>
          <cell r="G241">
            <v>60000</v>
          </cell>
          <cell r="H241">
            <v>2253267.7703546742</v>
          </cell>
          <cell r="I241">
            <v>264753.7869979777</v>
          </cell>
          <cell r="J241">
            <v>10146467.770354673</v>
          </cell>
          <cell r="K241" t="str">
            <v>PASIF</v>
          </cell>
        </row>
        <row r="242">
          <cell r="C242" t="str">
            <v>Narso, M.Mer.E</v>
          </cell>
          <cell r="D242" t="str">
            <v>TP</v>
          </cell>
          <cell r="E242">
            <v>5000</v>
          </cell>
          <cell r="F242">
            <v>16675000</v>
          </cell>
          <cell r="G242">
            <v>0</v>
          </cell>
          <cell r="H242">
            <v>1608286.7835736615</v>
          </cell>
          <cell r="I242">
            <v>477199.87814901833</v>
          </cell>
          <cell r="J242">
            <v>18288286.783573661</v>
          </cell>
          <cell r="K242" t="str">
            <v>AKTIF</v>
          </cell>
        </row>
        <row r="243">
          <cell r="C243" t="str">
            <v>Nasaruddin, SE</v>
          </cell>
          <cell r="D243" t="str">
            <v>KU</v>
          </cell>
          <cell r="E243">
            <v>5000</v>
          </cell>
          <cell r="F243">
            <v>71857727</v>
          </cell>
          <cell r="G243">
            <v>796000</v>
          </cell>
          <cell r="H243">
            <v>12921190.571364621</v>
          </cell>
          <cell r="I243">
            <v>2233053.6873327647</v>
          </cell>
          <cell r="J243">
            <v>85579917.571364626</v>
          </cell>
          <cell r="K243" t="str">
            <v>AKTIF</v>
          </cell>
        </row>
        <row r="244">
          <cell r="C244" t="str">
            <v>Nerlan Pasaribu, ST</v>
          </cell>
          <cell r="D244" t="str">
            <v>SBU MNO</v>
          </cell>
          <cell r="E244">
            <v>5000</v>
          </cell>
          <cell r="F244">
            <v>35094022</v>
          </cell>
          <cell r="G244">
            <v>25000</v>
          </cell>
          <cell r="H244">
            <v>4835357</v>
          </cell>
          <cell r="I244">
            <v>1042667.9664077479</v>
          </cell>
          <cell r="J244">
            <v>39959379</v>
          </cell>
          <cell r="K244" t="str">
            <v>AKTIF</v>
          </cell>
        </row>
        <row r="245">
          <cell r="C245" t="str">
            <v>Nina Sri Indah Yani</v>
          </cell>
          <cell r="D245" t="str">
            <v>BJ</v>
          </cell>
          <cell r="E245">
            <v>5000</v>
          </cell>
          <cell r="F245">
            <v>20850255</v>
          </cell>
          <cell r="G245">
            <v>0</v>
          </cell>
          <cell r="H245">
            <v>4849095.6319135064</v>
          </cell>
          <cell r="I245">
            <v>670708.69647921622</v>
          </cell>
          <cell r="J245">
            <v>25704350.631913505</v>
          </cell>
          <cell r="K245" t="str">
            <v>AKTIF</v>
          </cell>
        </row>
        <row r="246">
          <cell r="C246" t="str">
            <v>Noor Kholis</v>
          </cell>
          <cell r="D246" t="str">
            <v>CGC</v>
          </cell>
          <cell r="E246">
            <v>5000</v>
          </cell>
          <cell r="F246">
            <v>14909933</v>
          </cell>
          <cell r="G246">
            <v>150000</v>
          </cell>
          <cell r="H246">
            <v>2921817.315068353</v>
          </cell>
          <cell r="I246">
            <v>469331.82753656502</v>
          </cell>
          <cell r="J246">
            <v>17986750.315068353</v>
          </cell>
          <cell r="K246" t="str">
            <v>AKTIF</v>
          </cell>
        </row>
        <row r="247">
          <cell r="C247" t="str">
            <v>Nosy Osriat</v>
          </cell>
          <cell r="D247" t="str">
            <v>KU</v>
          </cell>
          <cell r="E247">
            <v>5000</v>
          </cell>
          <cell r="F247">
            <v>31799256</v>
          </cell>
          <cell r="G247">
            <v>3425000</v>
          </cell>
          <cell r="H247">
            <v>796188.77434458886</v>
          </cell>
          <cell r="I247">
            <v>940019.04388455325</v>
          </cell>
          <cell r="J247">
            <v>36025444.774344586</v>
          </cell>
          <cell r="K247" t="str">
            <v>AKTIF</v>
          </cell>
        </row>
        <row r="248">
          <cell r="C248" t="str">
            <v>Noviansyah Pamungkas</v>
          </cell>
          <cell r="D248" t="str">
            <v>MRKU</v>
          </cell>
          <cell r="E248">
            <v>5000</v>
          </cell>
          <cell r="F248">
            <v>20513505</v>
          </cell>
          <cell r="G248">
            <v>250000</v>
          </cell>
          <cell r="H248">
            <v>2452045.0648676991</v>
          </cell>
          <cell r="I248">
            <v>605898.39784559468</v>
          </cell>
          <cell r="J248">
            <v>23220550.064867698</v>
          </cell>
          <cell r="K248" t="str">
            <v>AKTIF</v>
          </cell>
        </row>
        <row r="249">
          <cell r="C249" t="str">
            <v>Nur Hasan Sidiq. ST</v>
          </cell>
          <cell r="D249" t="str">
            <v>SD</v>
          </cell>
          <cell r="E249">
            <v>5000</v>
          </cell>
          <cell r="F249">
            <v>15389498</v>
          </cell>
          <cell r="G249">
            <v>0</v>
          </cell>
          <cell r="H249">
            <v>7495297.8287773058</v>
          </cell>
          <cell r="I249">
            <v>597267.962254363</v>
          </cell>
          <cell r="J249">
            <v>22889795.828777306</v>
          </cell>
          <cell r="K249" t="str">
            <v>PASIF</v>
          </cell>
        </row>
        <row r="250">
          <cell r="C250" t="str">
            <v>Nur Rahmad Hidayat, ST</v>
          </cell>
          <cell r="D250" t="str">
            <v>TP</v>
          </cell>
          <cell r="E250">
            <v>5000</v>
          </cell>
          <cell r="F250">
            <v>22550000</v>
          </cell>
          <cell r="G250">
            <v>0</v>
          </cell>
          <cell r="H250">
            <v>2014321.9873514539</v>
          </cell>
          <cell r="I250">
            <v>641092.1699401011</v>
          </cell>
          <cell r="J250">
            <v>24569321.987351455</v>
          </cell>
          <cell r="K250" t="str">
            <v>AKTIF</v>
          </cell>
        </row>
        <row r="251">
          <cell r="C251" t="str">
            <v>Nurhayati</v>
          </cell>
          <cell r="D251" t="str">
            <v>-</v>
          </cell>
          <cell r="E251">
            <v>0</v>
          </cell>
          <cell r="F251">
            <v>0</v>
          </cell>
          <cell r="G251">
            <v>0</v>
          </cell>
          <cell r="H251">
            <v>1442610</v>
          </cell>
          <cell r="I251">
            <v>37642.307579892098</v>
          </cell>
          <cell r="J251">
            <v>1442610</v>
          </cell>
          <cell r="K251" t="str">
            <v>PASIF</v>
          </cell>
        </row>
        <row r="252">
          <cell r="C252" t="str">
            <v>Nusirwan</v>
          </cell>
          <cell r="D252" t="str">
            <v>DP</v>
          </cell>
          <cell r="E252">
            <v>5000</v>
          </cell>
          <cell r="F252">
            <v>0</v>
          </cell>
          <cell r="G252">
            <v>0</v>
          </cell>
          <cell r="H252">
            <v>0.3799637989141047</v>
          </cell>
          <cell r="I252">
            <v>130.47590174312424</v>
          </cell>
          <cell r="J252">
            <v>5000.3799637989141</v>
          </cell>
          <cell r="K252" t="str">
            <v>BUKAN ANGGOTA</v>
          </cell>
        </row>
        <row r="253">
          <cell r="C253" t="str">
            <v>Nurul Huda</v>
          </cell>
          <cell r="D253" t="str">
            <v>SB</v>
          </cell>
          <cell r="E253">
            <v>5000</v>
          </cell>
          <cell r="F253">
            <v>7950000</v>
          </cell>
          <cell r="G253">
            <v>0</v>
          </cell>
          <cell r="H253">
            <v>721945.70994660119</v>
          </cell>
          <cell r="I253">
            <v>226409.25771194929</v>
          </cell>
          <cell r="J253">
            <v>8676945.7099466007</v>
          </cell>
          <cell r="K253" t="str">
            <v>PASIF</v>
          </cell>
        </row>
        <row r="254">
          <cell r="C254" t="str">
            <v>Pardi</v>
          </cell>
          <cell r="D254" t="str">
            <v>TP</v>
          </cell>
          <cell r="E254">
            <v>5000</v>
          </cell>
          <cell r="F254">
            <v>21853628</v>
          </cell>
          <cell r="G254">
            <v>406500</v>
          </cell>
          <cell r="H254">
            <v>647760.83286746778</v>
          </cell>
          <cell r="I254">
            <v>597870.53256990598</v>
          </cell>
          <cell r="J254">
            <v>22912888.832867466</v>
          </cell>
          <cell r="K254" t="str">
            <v>AKTIF</v>
          </cell>
        </row>
        <row r="255">
          <cell r="C255" t="str">
            <v>Pardi Abbas, Ir</v>
          </cell>
          <cell r="D255" t="str">
            <v>SPI</v>
          </cell>
          <cell r="E255">
            <v>0</v>
          </cell>
          <cell r="F255">
            <v>0</v>
          </cell>
          <cell r="G255">
            <v>0</v>
          </cell>
          <cell r="H255">
            <v>146800.93275397271</v>
          </cell>
          <cell r="I255">
            <v>3830.50572485987</v>
          </cell>
          <cell r="J255">
            <v>146800.93275397271</v>
          </cell>
          <cell r="K255" t="str">
            <v>PASIF</v>
          </cell>
        </row>
        <row r="256">
          <cell r="C256" t="str">
            <v>Patunru Pongky, Drs.</v>
          </cell>
          <cell r="D256" t="str">
            <v>BP</v>
          </cell>
          <cell r="E256">
            <v>5000</v>
          </cell>
          <cell r="F256">
            <v>55000</v>
          </cell>
          <cell r="G256">
            <v>0</v>
          </cell>
          <cell r="H256">
            <v>341563.78286582767</v>
          </cell>
          <cell r="I256">
            <v>10478.083076909554</v>
          </cell>
          <cell r="J256">
            <v>401563.78286582767</v>
          </cell>
          <cell r="K256" t="str">
            <v>PASIF</v>
          </cell>
        </row>
        <row r="257">
          <cell r="C257" t="str">
            <v>Pieter Petrus Paulus, Ir</v>
          </cell>
          <cell r="D257" t="str">
            <v>TP</v>
          </cell>
          <cell r="E257">
            <v>0</v>
          </cell>
          <cell r="F257">
            <v>0</v>
          </cell>
          <cell r="G257">
            <v>0</v>
          </cell>
          <cell r="H257">
            <v>155664.77599200606</v>
          </cell>
          <cell r="I257">
            <v>4061.7917366759525</v>
          </cell>
          <cell r="J257">
            <v>155664.77599200606</v>
          </cell>
          <cell r="K257" t="str">
            <v>PASIF</v>
          </cell>
        </row>
        <row r="258">
          <cell r="C258" t="str">
            <v>Poegoeh Setiono, Ir</v>
          </cell>
          <cell r="D258" t="str">
            <v>TP</v>
          </cell>
          <cell r="E258">
            <v>0</v>
          </cell>
          <cell r="F258">
            <v>0</v>
          </cell>
          <cell r="G258">
            <v>0</v>
          </cell>
          <cell r="H258">
            <v>3466839</v>
          </cell>
          <cell r="I258">
            <v>90460.914570095556</v>
          </cell>
          <cell r="J258">
            <v>3466839</v>
          </cell>
          <cell r="K258" t="str">
            <v>PASIF</v>
          </cell>
        </row>
        <row r="259">
          <cell r="C259" t="str">
            <v>Prasetyo S.T</v>
          </cell>
          <cell r="D259" t="str">
            <v>IT</v>
          </cell>
          <cell r="E259">
            <v>5000</v>
          </cell>
          <cell r="F259">
            <v>12504146</v>
          </cell>
          <cell r="G259">
            <v>1000000</v>
          </cell>
          <cell r="H259">
            <v>227089.74609640148</v>
          </cell>
          <cell r="I259">
            <v>358422.31160498637</v>
          </cell>
          <cell r="J259">
            <v>13736235.746096402</v>
          </cell>
          <cell r="K259" t="str">
            <v>AKTIF</v>
          </cell>
        </row>
        <row r="260">
          <cell r="C260" t="str">
            <v>Pujatmanto Bastriadi, S.Sos</v>
          </cell>
          <cell r="D260" t="str">
            <v>DOK</v>
          </cell>
          <cell r="E260">
            <v>5000</v>
          </cell>
          <cell r="F260">
            <v>38104126</v>
          </cell>
          <cell r="G260">
            <v>1390000</v>
          </cell>
          <cell r="H260">
            <v>9811085.8004652131</v>
          </cell>
          <cell r="I260">
            <v>1286661.0930346639</v>
          </cell>
          <cell r="J260">
            <v>49310211.800465211</v>
          </cell>
          <cell r="K260" t="str">
            <v>AKTIF</v>
          </cell>
        </row>
        <row r="261">
          <cell r="C261" t="str">
            <v>Purwantia</v>
          </cell>
          <cell r="D261" t="str">
            <v>STA</v>
          </cell>
          <cell r="E261">
            <v>0</v>
          </cell>
          <cell r="F261">
            <v>0</v>
          </cell>
          <cell r="G261">
            <v>0</v>
          </cell>
          <cell r="H261">
            <v>110201.95735645248</v>
          </cell>
          <cell r="I261">
            <v>2875.5214331785701</v>
          </cell>
          <cell r="J261">
            <v>110201.95735645248</v>
          </cell>
          <cell r="K261" t="str">
            <v>PASIF</v>
          </cell>
        </row>
        <row r="262">
          <cell r="C262" t="str">
            <v>Putri Nurlaksmi. SE</v>
          </cell>
          <cell r="D262" t="str">
            <v>TP</v>
          </cell>
          <cell r="E262">
            <v>5000</v>
          </cell>
          <cell r="F262">
            <v>22986773</v>
          </cell>
          <cell r="G262">
            <v>2115000</v>
          </cell>
          <cell r="H262">
            <v>3347517.6424306771</v>
          </cell>
          <cell r="I262">
            <v>742463.42416177702</v>
          </cell>
          <cell r="J262">
            <v>28454290.642430678</v>
          </cell>
          <cell r="K262" t="str">
            <v>AKTIF</v>
          </cell>
        </row>
        <row r="263">
          <cell r="C263" t="str">
            <v>R. Agus Doddy Dwisagita.</v>
          </cell>
          <cell r="D263" t="str">
            <v>SBU ENI</v>
          </cell>
          <cell r="E263">
            <v>5000</v>
          </cell>
          <cell r="F263">
            <v>56397002</v>
          </cell>
          <cell r="G263">
            <v>285000</v>
          </cell>
          <cell r="H263">
            <v>5061714.6019698167</v>
          </cell>
          <cell r="I263">
            <v>1611221.4548595515</v>
          </cell>
          <cell r="J263">
            <v>61748716.601969816</v>
          </cell>
          <cell r="K263" t="str">
            <v>AKTIF</v>
          </cell>
        </row>
        <row r="264">
          <cell r="C264" t="str">
            <v>R. Sapto Agung. P</v>
          </cell>
          <cell r="D264" t="str">
            <v>SBU ENI</v>
          </cell>
          <cell r="E264">
            <v>5000</v>
          </cell>
          <cell r="F264">
            <v>42147002</v>
          </cell>
          <cell r="G264">
            <v>0</v>
          </cell>
          <cell r="H264">
            <v>4217644.1591377025</v>
          </cell>
          <cell r="I264">
            <v>1209932.333127473</v>
          </cell>
          <cell r="J264">
            <v>46369646.159137703</v>
          </cell>
          <cell r="K264" t="str">
            <v>AKTIF</v>
          </cell>
        </row>
        <row r="265">
          <cell r="C265" t="str">
            <v>R.M. Kurnaefi</v>
          </cell>
          <cell r="D265" t="str">
            <v>TP</v>
          </cell>
          <cell r="E265">
            <v>5000</v>
          </cell>
          <cell r="F265">
            <v>23865346</v>
          </cell>
          <cell r="G265">
            <v>445000</v>
          </cell>
          <cell r="H265">
            <v>2295676.4480543369</v>
          </cell>
          <cell r="I265">
            <v>694366.66320424411</v>
          </cell>
          <cell r="J265">
            <v>26611022.448054336</v>
          </cell>
          <cell r="K265" t="str">
            <v>AKTIF</v>
          </cell>
        </row>
        <row r="266">
          <cell r="C266" t="str">
            <v>Rachmadi S., Ir</v>
          </cell>
          <cell r="D266" t="str">
            <v>SPI</v>
          </cell>
          <cell r="E266">
            <v>5000</v>
          </cell>
          <cell r="F266">
            <v>51570003</v>
          </cell>
          <cell r="G266">
            <v>0</v>
          </cell>
          <cell r="H266">
            <v>20278588.514334131</v>
          </cell>
          <cell r="I266">
            <v>1874889.951201288</v>
          </cell>
          <cell r="J266">
            <v>71853591.514334127</v>
          </cell>
          <cell r="K266" t="str">
            <v>AKTIF</v>
          </cell>
        </row>
        <row r="267">
          <cell r="C267" t="str">
            <v>Rachmat Kurniawan</v>
          </cell>
          <cell r="D267" t="str">
            <v>M&amp;K</v>
          </cell>
          <cell r="E267">
            <v>5000</v>
          </cell>
          <cell r="F267">
            <v>24123960</v>
          </cell>
          <cell r="G267">
            <v>1045000</v>
          </cell>
          <cell r="H267">
            <v>2047375.658518875</v>
          </cell>
          <cell r="I267">
            <v>710291.68631400866</v>
          </cell>
          <cell r="J267">
            <v>27221335.658518873</v>
          </cell>
          <cell r="K267" t="str">
            <v>AKTIF</v>
          </cell>
        </row>
        <row r="268">
          <cell r="C268" t="str">
            <v>Rahmatullah</v>
          </cell>
          <cell r="D268" t="str">
            <v>PU</v>
          </cell>
          <cell r="E268">
            <v>0</v>
          </cell>
          <cell r="F268">
            <v>150000</v>
          </cell>
          <cell r="G268">
            <v>0</v>
          </cell>
          <cell r="H268">
            <v>472798.51769596152</v>
          </cell>
          <cell r="I268">
            <v>16250.80469663475</v>
          </cell>
          <cell r="J268">
            <v>622798.51769596152</v>
          </cell>
          <cell r="K268" t="str">
            <v>BUKAN ANGGOTA</v>
          </cell>
        </row>
        <row r="269">
          <cell r="C269" t="str">
            <v>Radjin Sitorus</v>
          </cell>
          <cell r="D269" t="str">
            <v>DP</v>
          </cell>
          <cell r="E269">
            <v>0</v>
          </cell>
          <cell r="F269">
            <v>0</v>
          </cell>
          <cell r="G269">
            <v>0</v>
          </cell>
          <cell r="H269">
            <v>-599999.93490521424</v>
          </cell>
          <cell r="I269">
            <v>-15655.916774192132</v>
          </cell>
          <cell r="J269">
            <v>-599999.93490521424</v>
          </cell>
          <cell r="K269" t="str">
            <v>PASIF</v>
          </cell>
        </row>
        <row r="270">
          <cell r="C270" t="str">
            <v>Rahadi Sigit</v>
          </cell>
          <cell r="D270" t="str">
            <v>SBU ENI</v>
          </cell>
          <cell r="E270">
            <v>5000</v>
          </cell>
          <cell r="F270">
            <v>20120858</v>
          </cell>
          <cell r="G270">
            <v>60000</v>
          </cell>
          <cell r="H270">
            <v>2055604.0963328099</v>
          </cell>
          <cell r="I270">
            <v>580350.86215725064</v>
          </cell>
          <cell r="J270">
            <v>22241462.096332811</v>
          </cell>
          <cell r="K270" t="str">
            <v>AKTIF</v>
          </cell>
        </row>
        <row r="271">
          <cell r="C271" t="str">
            <v>Rahmadani</v>
          </cell>
          <cell r="D271" t="str">
            <v>PRC</v>
          </cell>
          <cell r="E271">
            <v>0</v>
          </cell>
          <cell r="F271">
            <v>250000</v>
          </cell>
          <cell r="G271">
            <v>0</v>
          </cell>
          <cell r="H271">
            <v>10257.509960345924</v>
          </cell>
          <cell r="I271">
            <v>6790.9505964218833</v>
          </cell>
          <cell r="J271">
            <v>260257.50996034592</v>
          </cell>
          <cell r="K271" t="str">
            <v>PASIF</v>
          </cell>
        </row>
        <row r="272">
          <cell r="C272" t="str">
            <v>Rahman Susilo</v>
          </cell>
          <cell r="D272" t="str">
            <v>SPI</v>
          </cell>
          <cell r="E272">
            <v>5000</v>
          </cell>
          <cell r="F272">
            <v>31522362</v>
          </cell>
          <cell r="G272">
            <v>15000</v>
          </cell>
          <cell r="H272">
            <v>5357960.9143368835</v>
          </cell>
          <cell r="I272">
            <v>962847.41194003192</v>
          </cell>
          <cell r="J272">
            <v>36900322.914336883</v>
          </cell>
          <cell r="K272" t="str">
            <v>AKTIF</v>
          </cell>
        </row>
        <row r="273">
          <cell r="C273" t="str">
            <v>Ratna Dewi</v>
          </cell>
          <cell r="D273" t="str">
            <v>MS</v>
          </cell>
          <cell r="E273">
            <v>5000</v>
          </cell>
          <cell r="F273">
            <v>20345858</v>
          </cell>
          <cell r="G273">
            <v>300000</v>
          </cell>
          <cell r="H273">
            <v>463002.84604147577</v>
          </cell>
          <cell r="I273">
            <v>550928.14008341415</v>
          </cell>
          <cell r="J273">
            <v>21113860.846041474</v>
          </cell>
          <cell r="K273" t="str">
            <v>AKTIF</v>
          </cell>
        </row>
        <row r="274">
          <cell r="C274" t="str">
            <v>Ratna S. Rini</v>
          </cell>
          <cell r="D274" t="str">
            <v>SPI</v>
          </cell>
          <cell r="E274">
            <v>5000</v>
          </cell>
          <cell r="F274">
            <v>24599256</v>
          </cell>
          <cell r="G274">
            <v>1743500</v>
          </cell>
          <cell r="H274">
            <v>2543282.6346991397</v>
          </cell>
          <cell r="I274">
            <v>753859.57576191134</v>
          </cell>
          <cell r="J274">
            <v>28891038.63469914</v>
          </cell>
          <cell r="K274" t="str">
            <v>AKTIF</v>
          </cell>
        </row>
        <row r="275">
          <cell r="C275" t="str">
            <v>Reni P Simatupang</v>
          </cell>
          <cell r="D275" t="str">
            <v>SBU ENI</v>
          </cell>
          <cell r="E275">
            <v>0</v>
          </cell>
          <cell r="F275">
            <v>270000</v>
          </cell>
          <cell r="G275">
            <v>0</v>
          </cell>
          <cell r="H275">
            <v>121012.31125485525</v>
          </cell>
          <cell r="I275">
            <v>10202.76144472849</v>
          </cell>
          <cell r="J275">
            <v>391012.31125485525</v>
          </cell>
          <cell r="K275" t="str">
            <v>PASIF</v>
          </cell>
        </row>
        <row r="276">
          <cell r="C276" t="str">
            <v>Ridhayani</v>
          </cell>
          <cell r="D276" t="str">
            <v>-</v>
          </cell>
          <cell r="E276">
            <v>0</v>
          </cell>
          <cell r="F276">
            <v>0</v>
          </cell>
          <cell r="G276">
            <v>0</v>
          </cell>
          <cell r="H276">
            <v>143401.1356755679</v>
          </cell>
          <cell r="I276">
            <v>3741.7941483876898</v>
          </cell>
          <cell r="J276">
            <v>143401.1356755679</v>
          </cell>
          <cell r="K276" t="str">
            <v>PASIF</v>
          </cell>
        </row>
        <row r="277">
          <cell r="C277" t="str">
            <v>Ridwan Arifin, ST</v>
          </cell>
          <cell r="D277" t="str">
            <v>MS</v>
          </cell>
          <cell r="E277">
            <v>5000</v>
          </cell>
          <cell r="F277">
            <v>33145858</v>
          </cell>
          <cell r="G277">
            <v>0</v>
          </cell>
          <cell r="H277">
            <v>2657671.2394069145</v>
          </cell>
          <cell r="I277">
            <v>934359.02400046773</v>
          </cell>
          <cell r="J277">
            <v>35808529.239406914</v>
          </cell>
          <cell r="K277" t="str">
            <v>AKTIF</v>
          </cell>
        </row>
        <row r="278">
          <cell r="C278" t="str">
            <v>Ridwan Djajanto, Ir</v>
          </cell>
          <cell r="D278" t="str">
            <v>SB</v>
          </cell>
          <cell r="E278">
            <v>5000</v>
          </cell>
          <cell r="F278">
            <v>52472161</v>
          </cell>
          <cell r="G278">
            <v>15000</v>
          </cell>
          <cell r="H278">
            <v>13716490.342698351</v>
          </cell>
          <cell r="I278">
            <v>1727595.4126837382</v>
          </cell>
          <cell r="J278">
            <v>66208651.342698351</v>
          </cell>
          <cell r="K278" t="str">
            <v>AKTIF</v>
          </cell>
        </row>
        <row r="279">
          <cell r="C279" t="str">
            <v>Rima Novedia  Bangun, Ir</v>
          </cell>
          <cell r="D279" t="str">
            <v>MRKU</v>
          </cell>
          <cell r="E279">
            <v>5000</v>
          </cell>
          <cell r="F279">
            <v>57164163</v>
          </cell>
          <cell r="G279">
            <v>760000</v>
          </cell>
          <cell r="H279">
            <v>13390071.123756021</v>
          </cell>
          <cell r="I279">
            <v>1860946.8582976414</v>
          </cell>
          <cell r="J279">
            <v>71319234.123756021</v>
          </cell>
          <cell r="K279" t="str">
            <v>AKTIF</v>
          </cell>
        </row>
        <row r="280">
          <cell r="C280" t="str">
            <v>Rino Yan Cahyo, SE</v>
          </cell>
          <cell r="D280" t="str">
            <v>KU</v>
          </cell>
          <cell r="E280">
            <v>0</v>
          </cell>
          <cell r="F280">
            <v>0</v>
          </cell>
          <cell r="G280">
            <v>0</v>
          </cell>
          <cell r="H280">
            <v>489102.90569574898</v>
          </cell>
          <cell r="I280">
            <v>12762.258693907808</v>
          </cell>
          <cell r="J280">
            <v>489102.90569574898</v>
          </cell>
          <cell r="K280" t="str">
            <v>PASIF</v>
          </cell>
        </row>
        <row r="281">
          <cell r="C281" t="str">
            <v>Riska Tri Handayani</v>
          </cell>
          <cell r="D281" t="str">
            <v>KU</v>
          </cell>
          <cell r="E281">
            <v>5000</v>
          </cell>
          <cell r="F281">
            <v>22389922</v>
          </cell>
          <cell r="G281">
            <v>900000</v>
          </cell>
          <cell r="H281">
            <v>2141947.5526377736</v>
          </cell>
          <cell r="I281">
            <v>663729.25986232143</v>
          </cell>
          <cell r="J281">
            <v>25436869.552637774</v>
          </cell>
          <cell r="K281" t="str">
            <v>AKTIF</v>
          </cell>
        </row>
        <row r="282">
          <cell r="C282" t="str">
            <v>Riyanto</v>
          </cell>
          <cell r="D282" t="str">
            <v>PRB</v>
          </cell>
          <cell r="E282">
            <v>5000</v>
          </cell>
          <cell r="F282">
            <v>20550424</v>
          </cell>
          <cell r="G282">
            <v>30000</v>
          </cell>
          <cell r="H282">
            <v>2295932.2515404494</v>
          </cell>
          <cell r="I282">
            <v>597047.74669908884</v>
          </cell>
          <cell r="J282">
            <v>22881356.251540449</v>
          </cell>
          <cell r="K282" t="str">
            <v>AKTIF</v>
          </cell>
        </row>
        <row r="283">
          <cell r="C283" t="str">
            <v>Rizal Febrianto</v>
          </cell>
          <cell r="D283" t="str">
            <v>PHP</v>
          </cell>
          <cell r="E283">
            <v>5000</v>
          </cell>
          <cell r="F283">
            <v>16900000</v>
          </cell>
          <cell r="G283">
            <v>1510000</v>
          </cell>
          <cell r="H283">
            <v>1263854.0874386402</v>
          </cell>
          <cell r="I283">
            <v>513484.22538259276</v>
          </cell>
          <cell r="J283">
            <v>19678854.087438639</v>
          </cell>
          <cell r="K283" t="str">
            <v>AKTIF</v>
          </cell>
        </row>
        <row r="284">
          <cell r="C284" t="str">
            <v>Rochmansyah</v>
          </cell>
          <cell r="D284" t="str">
            <v>MHC</v>
          </cell>
          <cell r="E284">
            <v>5000</v>
          </cell>
          <cell r="F284">
            <v>27252410</v>
          </cell>
          <cell r="G284">
            <v>2320000</v>
          </cell>
          <cell r="H284">
            <v>602283.58070374897</v>
          </cell>
          <cell r="I284">
            <v>787484.70371877763</v>
          </cell>
          <cell r="J284">
            <v>30179693.58070375</v>
          </cell>
          <cell r="K284" t="str">
            <v>AKTIF</v>
          </cell>
        </row>
        <row r="285">
          <cell r="C285" t="str">
            <v>Romillo Libra Setiadi</v>
          </cell>
          <cell r="D285" t="str">
            <v>IT</v>
          </cell>
          <cell r="E285">
            <v>5000</v>
          </cell>
          <cell r="F285">
            <v>28425000</v>
          </cell>
          <cell r="G285">
            <v>100000</v>
          </cell>
          <cell r="H285">
            <v>1785930.0390951084</v>
          </cell>
          <cell r="I285">
            <v>791039.54852809035</v>
          </cell>
          <cell r="J285">
            <v>30315930.039095107</v>
          </cell>
          <cell r="K285" t="str">
            <v>AKTIF</v>
          </cell>
        </row>
        <row r="286">
          <cell r="C286" t="str">
            <v>Roni Karuniawan</v>
          </cell>
          <cell r="D286" t="str">
            <v>SBU ENI</v>
          </cell>
          <cell r="E286">
            <v>0</v>
          </cell>
          <cell r="F286">
            <v>200000</v>
          </cell>
          <cell r="G286">
            <v>0</v>
          </cell>
          <cell r="H286">
            <v>20710</v>
          </cell>
          <cell r="I286">
            <v>5759.02961019124</v>
          </cell>
          <cell r="J286">
            <v>220710</v>
          </cell>
          <cell r="K286" t="str">
            <v>PASIF</v>
          </cell>
        </row>
        <row r="287">
          <cell r="C287" t="str">
            <v>Rosalina Amran, SE</v>
          </cell>
          <cell r="D287" t="str">
            <v>CGC</v>
          </cell>
          <cell r="E287">
            <v>5000</v>
          </cell>
          <cell r="F287">
            <v>51809170</v>
          </cell>
          <cell r="G287">
            <v>930000</v>
          </cell>
          <cell r="H287">
            <v>19680602.839394435</v>
          </cell>
          <cell r="I287">
            <v>1889793.8982984317</v>
          </cell>
          <cell r="J287">
            <v>72424772.839394435</v>
          </cell>
          <cell r="K287" t="str">
            <v>AKTIF</v>
          </cell>
        </row>
        <row r="288">
          <cell r="C288" t="str">
            <v>Roynald Matahelumual</v>
          </cell>
          <cell r="D288" t="str">
            <v>DOC</v>
          </cell>
          <cell r="E288">
            <v>0</v>
          </cell>
          <cell r="F288">
            <v>0</v>
          </cell>
          <cell r="G288">
            <v>0</v>
          </cell>
          <cell r="H288">
            <v>756243.6931713894</v>
          </cell>
          <cell r="I288">
            <v>19732.816009670656</v>
          </cell>
          <cell r="J288">
            <v>756243.6931713894</v>
          </cell>
          <cell r="K288" t="str">
            <v>BUKAN ANGGOTA</v>
          </cell>
        </row>
        <row r="289">
          <cell r="C289" t="str">
            <v>Rudi Haryanto</v>
          </cell>
          <cell r="D289" t="str">
            <v>SV</v>
          </cell>
          <cell r="E289">
            <v>5000</v>
          </cell>
          <cell r="F289">
            <v>20856215</v>
          </cell>
          <cell r="G289">
            <v>680000</v>
          </cell>
          <cell r="H289">
            <v>2677983.9134270856</v>
          </cell>
          <cell r="I289">
            <v>631956.33943880245</v>
          </cell>
          <cell r="J289">
            <v>24219198.913427085</v>
          </cell>
          <cell r="K289" t="str">
            <v>AKTIF</v>
          </cell>
        </row>
        <row r="290">
          <cell r="C290" t="str">
            <v>Rudy Sunaryadi , Ir</v>
          </cell>
          <cell r="D290" t="str">
            <v>BNC</v>
          </cell>
          <cell r="E290">
            <v>5000</v>
          </cell>
          <cell r="F290">
            <v>17378868</v>
          </cell>
          <cell r="G290">
            <v>0</v>
          </cell>
          <cell r="H290">
            <v>3139543.6153970845</v>
          </cell>
          <cell r="I290">
            <v>535521.43172132957</v>
          </cell>
          <cell r="J290">
            <v>20523411.615397085</v>
          </cell>
          <cell r="K290" t="str">
            <v>AKTIF</v>
          </cell>
        </row>
        <row r="291">
          <cell r="C291" t="str">
            <v>Rusdin Haluddin  Ir</v>
          </cell>
          <cell r="D291" t="str">
            <v>BMC</v>
          </cell>
          <cell r="E291">
            <v>205000</v>
          </cell>
          <cell r="F291">
            <v>37920000</v>
          </cell>
          <cell r="G291">
            <v>0</v>
          </cell>
          <cell r="H291">
            <v>3569554.8122900832</v>
          </cell>
          <cell r="I291">
            <v>1087944.2514961725</v>
          </cell>
          <cell r="J291">
            <v>41694554.81229008</v>
          </cell>
          <cell r="K291" t="str">
            <v>AKTIF</v>
          </cell>
        </row>
        <row r="292">
          <cell r="C292" t="str">
            <v>Sabaruddin</v>
          </cell>
          <cell r="D292" t="str">
            <v>PB</v>
          </cell>
          <cell r="E292">
            <v>0</v>
          </cell>
          <cell r="F292">
            <v>100000</v>
          </cell>
          <cell r="G292">
            <v>0</v>
          </cell>
          <cell r="H292">
            <v>4102.9262832216918</v>
          </cell>
          <cell r="I292">
            <v>2716.378211103392</v>
          </cell>
          <cell r="J292">
            <v>104102.92628322169</v>
          </cell>
          <cell r="K292" t="str">
            <v>PASIF</v>
          </cell>
        </row>
        <row r="293">
          <cell r="C293" t="str">
            <v>Sabrina Mutiara Fani</v>
          </cell>
          <cell r="D293" t="str">
            <v>-</v>
          </cell>
          <cell r="E293">
            <v>5000</v>
          </cell>
          <cell r="F293">
            <v>295000</v>
          </cell>
          <cell r="G293">
            <v>0</v>
          </cell>
          <cell r="H293">
            <v>526766.16635558452</v>
          </cell>
          <cell r="I293">
            <v>21572.972827448273</v>
          </cell>
          <cell r="J293">
            <v>826766.16635558452</v>
          </cell>
          <cell r="K293" t="str">
            <v>PASIF</v>
          </cell>
        </row>
        <row r="294">
          <cell r="C294" t="str">
            <v>Sjaifuddin, M.SC</v>
          </cell>
          <cell r="D294" t="str">
            <v>DOK</v>
          </cell>
          <cell r="E294">
            <v>0</v>
          </cell>
          <cell r="F294">
            <v>0</v>
          </cell>
          <cell r="G294">
            <v>-190000</v>
          </cell>
          <cell r="H294">
            <v>-185128.4596754536</v>
          </cell>
          <cell r="I294">
            <v>-9788.3009691285752</v>
          </cell>
          <cell r="J294">
            <v>-375128.4596754536</v>
          </cell>
          <cell r="K294" t="str">
            <v>PASIF</v>
          </cell>
        </row>
        <row r="295">
          <cell r="C295" t="str">
            <v>Safiuddin, ST</v>
          </cell>
          <cell r="D295" t="str">
            <v>SV</v>
          </cell>
          <cell r="E295">
            <v>0</v>
          </cell>
          <cell r="F295">
            <v>100000</v>
          </cell>
          <cell r="G295">
            <v>0</v>
          </cell>
          <cell r="H295">
            <v>10354</v>
          </cell>
          <cell r="I295">
            <v>2879.4887118981655</v>
          </cell>
          <cell r="J295">
            <v>110354</v>
          </cell>
          <cell r="K295" t="str">
            <v>PASIF</v>
          </cell>
        </row>
        <row r="296">
          <cell r="C296" t="str">
            <v>Safril</v>
          </cell>
          <cell r="D296" t="str">
            <v>SBU ENI</v>
          </cell>
          <cell r="E296">
            <v>5000</v>
          </cell>
          <cell r="F296">
            <v>18613906</v>
          </cell>
          <cell r="G296">
            <v>2145000</v>
          </cell>
          <cell r="H296">
            <v>1550154.0654280507</v>
          </cell>
          <cell r="I296">
            <v>582245.17529965134</v>
          </cell>
          <cell r="J296">
            <v>22314060.065428052</v>
          </cell>
          <cell r="K296" t="str">
            <v>AKTIF</v>
          </cell>
        </row>
        <row r="297">
          <cell r="C297" t="str">
            <v>Saifoedin, ir</v>
          </cell>
          <cell r="D297" t="str">
            <v>DP</v>
          </cell>
          <cell r="E297">
            <v>5000</v>
          </cell>
          <cell r="F297">
            <v>5845353</v>
          </cell>
          <cell r="G297">
            <v>0</v>
          </cell>
          <cell r="H297">
            <v>7276039.1835132306</v>
          </cell>
          <cell r="I297">
            <v>342509.54311012436</v>
          </cell>
          <cell r="J297">
            <v>13126392.183513232</v>
          </cell>
          <cell r="K297" t="str">
            <v>PASIF</v>
          </cell>
        </row>
        <row r="298">
          <cell r="C298" t="str">
            <v>Saifuddin Wijaya, Ir</v>
          </cell>
          <cell r="D298" t="str">
            <v>DIREKSI</v>
          </cell>
          <cell r="E298">
            <v>0</v>
          </cell>
          <cell r="F298">
            <v>0</v>
          </cell>
          <cell r="G298">
            <v>0</v>
          </cell>
          <cell r="H298">
            <v>10443.984527468681</v>
          </cell>
          <cell r="I298">
            <v>272.51695048738753</v>
          </cell>
          <cell r="J298">
            <v>10443.984527468681</v>
          </cell>
          <cell r="K298" t="str">
            <v>PASIF</v>
          </cell>
        </row>
        <row r="299">
          <cell r="C299" t="str">
            <v>Salvinus Patangke, Ir</v>
          </cell>
          <cell r="D299" t="str">
            <v>M&amp;K</v>
          </cell>
          <cell r="E299">
            <v>5000</v>
          </cell>
          <cell r="F299">
            <v>28817111</v>
          </cell>
          <cell r="G299">
            <v>10000</v>
          </cell>
          <cell r="H299">
            <v>8764071.1292624213</v>
          </cell>
          <cell r="I299">
            <v>981004.60383564408</v>
          </cell>
          <cell r="J299">
            <v>37596182.129262418</v>
          </cell>
          <cell r="K299" t="str">
            <v>PASIF</v>
          </cell>
        </row>
        <row r="300">
          <cell r="C300" t="str">
            <v>Samsul Arif. ST</v>
          </cell>
          <cell r="D300" t="str">
            <v>BJ</v>
          </cell>
          <cell r="E300">
            <v>0</v>
          </cell>
          <cell r="F300">
            <v>0</v>
          </cell>
          <cell r="G300">
            <v>0</v>
          </cell>
          <cell r="H300">
            <v>3988.813247019425</v>
          </cell>
          <cell r="I300">
            <v>104.08089166375758</v>
          </cell>
          <cell r="J300">
            <v>3988.813247019425</v>
          </cell>
          <cell r="K300" t="str">
            <v>PASIF</v>
          </cell>
        </row>
        <row r="301">
          <cell r="C301" t="str">
            <v>Saptono</v>
          </cell>
          <cell r="D301" t="str">
            <v>MAC</v>
          </cell>
          <cell r="E301">
            <v>0</v>
          </cell>
          <cell r="F301">
            <v>0</v>
          </cell>
          <cell r="G301">
            <v>0</v>
          </cell>
          <cell r="H301">
            <v>37483</v>
          </cell>
          <cell r="I301">
            <v>978.05132018847473</v>
          </cell>
          <cell r="J301">
            <v>37483</v>
          </cell>
          <cell r="K301" t="str">
            <v>PASIF</v>
          </cell>
        </row>
        <row r="302">
          <cell r="C302" t="str">
            <v>Sari Putri Pertiwi</v>
          </cell>
          <cell r="D302" t="str">
            <v>PHP</v>
          </cell>
          <cell r="E302">
            <v>0</v>
          </cell>
          <cell r="F302">
            <v>100000</v>
          </cell>
          <cell r="G302">
            <v>0</v>
          </cell>
          <cell r="H302">
            <v>4103</v>
          </cell>
          <cell r="I302">
            <v>2716.3801346098439</v>
          </cell>
          <cell r="J302">
            <v>104103</v>
          </cell>
          <cell r="K302" t="str">
            <v>PASIF</v>
          </cell>
        </row>
        <row r="303">
          <cell r="C303" t="str">
            <v>Saridi</v>
          </cell>
          <cell r="D303" t="str">
            <v>PU</v>
          </cell>
          <cell r="E303">
            <v>5000</v>
          </cell>
          <cell r="F303">
            <v>19469063</v>
          </cell>
          <cell r="G303">
            <v>1230000</v>
          </cell>
          <cell r="H303">
            <v>2444761.8524467335</v>
          </cell>
          <cell r="I303">
            <v>604026.85771542578</v>
          </cell>
          <cell r="J303">
            <v>23148824.852446735</v>
          </cell>
          <cell r="K303" t="str">
            <v>AKTIF</v>
          </cell>
        </row>
        <row r="304">
          <cell r="C304" t="str">
            <v>Sefia Helmina, ST</v>
          </cell>
          <cell r="D304" t="str">
            <v>PRB</v>
          </cell>
          <cell r="E304">
            <v>5000</v>
          </cell>
          <cell r="F304">
            <v>31723838</v>
          </cell>
          <cell r="G304">
            <v>0</v>
          </cell>
          <cell r="H304">
            <v>2638665.3679358978</v>
          </cell>
          <cell r="I304">
            <v>896758.05139907578</v>
          </cell>
          <cell r="J304">
            <v>34367503.367935896</v>
          </cell>
          <cell r="K304" t="str">
            <v>AKTIF</v>
          </cell>
        </row>
        <row r="305">
          <cell r="C305" t="str">
            <v>Shindu Purwanto, Ir</v>
          </cell>
          <cell r="D305" t="str">
            <v>JB</v>
          </cell>
          <cell r="E305">
            <v>0</v>
          </cell>
          <cell r="F305">
            <v>0</v>
          </cell>
          <cell r="G305">
            <v>0</v>
          </cell>
          <cell r="H305">
            <v>556645.51189318486</v>
          </cell>
          <cell r="I305">
            <v>14524.661254011653</v>
          </cell>
          <cell r="J305">
            <v>556645.51189318486</v>
          </cell>
          <cell r="K305" t="str">
            <v>PASIF</v>
          </cell>
        </row>
        <row r="306">
          <cell r="C306" t="str">
            <v>Sigit Prastowo, Ir</v>
          </cell>
          <cell r="D306" t="str">
            <v>TP</v>
          </cell>
          <cell r="E306">
            <v>5000</v>
          </cell>
          <cell r="F306">
            <v>43348200</v>
          </cell>
          <cell r="G306">
            <v>60000</v>
          </cell>
          <cell r="H306">
            <v>4844775.4206330767</v>
          </cell>
          <cell r="I306">
            <v>1259204.8814068551</v>
          </cell>
          <cell r="J306">
            <v>48257975.420633078</v>
          </cell>
          <cell r="K306" t="str">
            <v>AKTIF</v>
          </cell>
        </row>
        <row r="307">
          <cell r="C307" t="str">
            <v>Siswanto ,ST</v>
          </cell>
          <cell r="D307" t="str">
            <v>R&amp;P</v>
          </cell>
          <cell r="E307">
            <v>0</v>
          </cell>
          <cell r="F307">
            <v>0</v>
          </cell>
          <cell r="G307">
            <v>0</v>
          </cell>
          <cell r="H307">
            <v>4707</v>
          </cell>
          <cell r="I307">
            <v>122.82068041851375</v>
          </cell>
          <cell r="J307">
            <v>4707</v>
          </cell>
          <cell r="K307" t="str">
            <v>PASIF</v>
          </cell>
        </row>
        <row r="308">
          <cell r="C308" t="str">
            <v>Siti Komariah. ir</v>
          </cell>
          <cell r="D308" t="str">
            <v>R&amp;P</v>
          </cell>
          <cell r="E308">
            <v>0</v>
          </cell>
          <cell r="F308">
            <v>0</v>
          </cell>
          <cell r="G308">
            <v>0</v>
          </cell>
          <cell r="H308">
            <v>3241</v>
          </cell>
          <cell r="I308">
            <v>84.568052950159981</v>
          </cell>
          <cell r="J308">
            <v>3241</v>
          </cell>
          <cell r="K308" t="str">
            <v>PASIF</v>
          </cell>
        </row>
        <row r="309">
          <cell r="C309" t="str">
            <v>Sofyan Hadi. ST</v>
          </cell>
          <cell r="D309" t="str">
            <v>DOK</v>
          </cell>
          <cell r="E309">
            <v>0</v>
          </cell>
          <cell r="F309">
            <v>250000</v>
          </cell>
          <cell r="G309">
            <v>0</v>
          </cell>
          <cell r="H309">
            <v>10258</v>
          </cell>
          <cell r="I309">
            <v>6790.9633831233377</v>
          </cell>
          <cell r="J309">
            <v>260258</v>
          </cell>
          <cell r="K309" t="str">
            <v>PASIF</v>
          </cell>
        </row>
        <row r="310">
          <cell r="C310" t="str">
            <v>Soleh Abidin</v>
          </cell>
          <cell r="D310" t="str">
            <v>TP</v>
          </cell>
          <cell r="E310">
            <v>5000</v>
          </cell>
          <cell r="F310">
            <v>24419336</v>
          </cell>
          <cell r="G310">
            <v>2807500</v>
          </cell>
          <cell r="H310">
            <v>3061530.4294213327</v>
          </cell>
          <cell r="I310">
            <v>790450.79180558538</v>
          </cell>
          <cell r="J310">
            <v>30293366.429421332</v>
          </cell>
          <cell r="K310" t="str">
            <v>AKTIF</v>
          </cell>
        </row>
        <row r="311">
          <cell r="C311" t="str">
            <v>Sri Atik, Dra</v>
          </cell>
          <cell r="D311" t="str">
            <v>-</v>
          </cell>
          <cell r="E311">
            <v>0</v>
          </cell>
          <cell r="F311">
            <v>0</v>
          </cell>
          <cell r="G311">
            <v>150000</v>
          </cell>
          <cell r="H311">
            <v>6155</v>
          </cell>
          <cell r="I311">
            <v>4074.5832485134933</v>
          </cell>
          <cell r="J311">
            <v>156155</v>
          </cell>
          <cell r="K311" t="str">
            <v>PASIF</v>
          </cell>
        </row>
        <row r="312">
          <cell r="C312" t="str">
            <v>Sri Dewi Amalia, Ir</v>
          </cell>
          <cell r="D312" t="str">
            <v>PHP</v>
          </cell>
          <cell r="E312">
            <v>0</v>
          </cell>
          <cell r="F312">
            <v>700000</v>
          </cell>
          <cell r="G312">
            <v>0</v>
          </cell>
          <cell r="H312">
            <v>18689.946346541867</v>
          </cell>
          <cell r="I312">
            <v>18752.918678612154</v>
          </cell>
          <cell r="J312">
            <v>718689.94634654187</v>
          </cell>
          <cell r="K312" t="str">
            <v>PASIF</v>
          </cell>
        </row>
        <row r="313">
          <cell r="C313" t="str">
            <v>Sri Jatmiko, Ir</v>
          </cell>
          <cell r="D313" t="str">
            <v>M&amp;K</v>
          </cell>
          <cell r="E313">
            <v>5000</v>
          </cell>
          <cell r="F313">
            <v>47012250</v>
          </cell>
          <cell r="G313">
            <v>10000</v>
          </cell>
          <cell r="H313">
            <v>11599587.745725181</v>
          </cell>
          <cell r="I313">
            <v>1529761.6534344107</v>
          </cell>
          <cell r="J313">
            <v>58626837.745725185</v>
          </cell>
          <cell r="K313" t="str">
            <v>AKTIF</v>
          </cell>
        </row>
        <row r="314">
          <cell r="C314" t="str">
            <v>Sri Mulyanti</v>
          </cell>
          <cell r="D314" t="str">
            <v>MHC</v>
          </cell>
          <cell r="E314">
            <v>5000</v>
          </cell>
          <cell r="F314">
            <v>23823756</v>
          </cell>
          <cell r="G314">
            <v>595000</v>
          </cell>
          <cell r="H314">
            <v>4253114.3817271385</v>
          </cell>
          <cell r="I314">
            <v>748271.24124861928</v>
          </cell>
          <cell r="J314">
            <v>28676870.381727137</v>
          </cell>
          <cell r="K314" t="str">
            <v>AKTIF</v>
          </cell>
        </row>
        <row r="315">
          <cell r="C315" t="str">
            <v>Sri Rachmi Andayani, Ir</v>
          </cell>
          <cell r="D315" t="str">
            <v>-</v>
          </cell>
          <cell r="E315">
            <v>0</v>
          </cell>
          <cell r="F315">
            <v>500000</v>
          </cell>
          <cell r="G315">
            <v>0</v>
          </cell>
          <cell r="H315">
            <v>1573475.4067935413</v>
          </cell>
          <cell r="I315">
            <v>54103.603206593863</v>
          </cell>
          <cell r="J315">
            <v>2073475.4067935413</v>
          </cell>
          <cell r="K315" t="str">
            <v>PASIF</v>
          </cell>
        </row>
        <row r="316">
          <cell r="C316" t="str">
            <v>Sriyati</v>
          </cell>
          <cell r="D316" t="str">
            <v>BM</v>
          </cell>
          <cell r="E316">
            <v>5000</v>
          </cell>
          <cell r="F316">
            <v>2336518</v>
          </cell>
          <cell r="G316">
            <v>0</v>
          </cell>
          <cell r="H316">
            <v>2636111.4274615985</v>
          </cell>
          <cell r="I316">
            <v>129882.26750627799</v>
          </cell>
          <cell r="J316">
            <v>4977629.4274615981</v>
          </cell>
          <cell r="K316" t="str">
            <v>PASIF</v>
          </cell>
        </row>
        <row r="317">
          <cell r="C317" t="str">
            <v>Su'ad Syuhada, SE, MM</v>
          </cell>
          <cell r="D317" t="str">
            <v>DP</v>
          </cell>
          <cell r="E317">
            <v>5000</v>
          </cell>
          <cell r="F317">
            <v>19084520</v>
          </cell>
          <cell r="G317">
            <v>2560000</v>
          </cell>
          <cell r="H317">
            <v>5777277.8419457832</v>
          </cell>
          <cell r="I317">
            <v>715652.85163560766</v>
          </cell>
          <cell r="J317">
            <v>27426797.841945782</v>
          </cell>
          <cell r="K317" t="str">
            <v>PASIF</v>
          </cell>
        </row>
        <row r="318">
          <cell r="C318" t="str">
            <v>Subur</v>
          </cell>
          <cell r="D318" t="str">
            <v>PRB</v>
          </cell>
          <cell r="E318">
            <v>0</v>
          </cell>
          <cell r="F318">
            <v>0</v>
          </cell>
          <cell r="G318">
            <v>0</v>
          </cell>
          <cell r="H318">
            <v>215198.83973440249</v>
          </cell>
          <cell r="I318">
            <v>5615.2258171773965</v>
          </cell>
          <cell r="J318">
            <v>215198.83973440249</v>
          </cell>
          <cell r="K318" t="str">
            <v>PASIF</v>
          </cell>
        </row>
        <row r="319">
          <cell r="C319" t="str">
            <v>Sudirman, SE</v>
          </cell>
          <cell r="D319" t="str">
            <v>MS</v>
          </cell>
          <cell r="E319">
            <v>0</v>
          </cell>
          <cell r="F319">
            <v>0</v>
          </cell>
          <cell r="G319">
            <v>0</v>
          </cell>
          <cell r="H319">
            <v>935.62767545320094</v>
          </cell>
          <cell r="I319">
            <v>24.413517679531441</v>
          </cell>
          <cell r="J319">
            <v>935.62767545320094</v>
          </cell>
          <cell r="K319" t="str">
            <v>PASIF</v>
          </cell>
        </row>
        <row r="320">
          <cell r="C320" t="str">
            <v>Sudiro, A.md.</v>
          </cell>
          <cell r="D320" t="str">
            <v>SBU ENI</v>
          </cell>
          <cell r="E320">
            <v>5000</v>
          </cell>
          <cell r="F320">
            <v>15995858</v>
          </cell>
          <cell r="G320">
            <v>0</v>
          </cell>
          <cell r="H320">
            <v>992364.97053756355</v>
          </cell>
          <cell r="I320">
            <v>443407.52235923958</v>
          </cell>
          <cell r="J320">
            <v>16993222.970537562</v>
          </cell>
          <cell r="K320" t="str">
            <v>AKTIF</v>
          </cell>
        </row>
        <row r="321">
          <cell r="C321" t="str">
            <v>Sugeng Yulianto, Ir</v>
          </cell>
          <cell r="D321" t="str">
            <v>IT</v>
          </cell>
          <cell r="E321">
            <v>5000</v>
          </cell>
          <cell r="F321">
            <v>69147982</v>
          </cell>
          <cell r="G321">
            <v>740000</v>
          </cell>
          <cell r="H321">
            <v>7887617.8054223936</v>
          </cell>
          <cell r="I321">
            <v>2029544.5488553424</v>
          </cell>
          <cell r="J321">
            <v>77780599.805422395</v>
          </cell>
          <cell r="K321" t="str">
            <v>AKTIF</v>
          </cell>
        </row>
        <row r="322">
          <cell r="C322" t="str">
            <v>Suhar Chandra Kurniawan, ST</v>
          </cell>
          <cell r="D322" t="str">
            <v>SD</v>
          </cell>
          <cell r="E322">
            <v>0</v>
          </cell>
          <cell r="F322">
            <v>1650000</v>
          </cell>
          <cell r="G322">
            <v>0</v>
          </cell>
          <cell r="H322">
            <v>36928.25561997667</v>
          </cell>
          <cell r="I322">
            <v>44017.352065532614</v>
          </cell>
          <cell r="J322">
            <v>1686928.2556199767</v>
          </cell>
          <cell r="K322" t="str">
            <v>PASIF</v>
          </cell>
        </row>
        <row r="323">
          <cell r="C323" t="str">
            <v>Suherman Sardi</v>
          </cell>
          <cell r="D323" t="str">
            <v>-</v>
          </cell>
          <cell r="E323">
            <v>0</v>
          </cell>
          <cell r="F323">
            <v>0</v>
          </cell>
          <cell r="G323">
            <v>0</v>
          </cell>
          <cell r="H323">
            <v>340843</v>
          </cell>
          <cell r="I323">
            <v>8893.6836999973402</v>
          </cell>
          <cell r="J323">
            <v>340843</v>
          </cell>
          <cell r="K323" t="str">
            <v>PASIF</v>
          </cell>
        </row>
        <row r="324">
          <cell r="C324" t="str">
            <v>Suhita Wardani, SE</v>
          </cell>
          <cell r="D324" t="str">
            <v>SBC</v>
          </cell>
          <cell r="E324">
            <v>0</v>
          </cell>
          <cell r="F324">
            <v>0</v>
          </cell>
          <cell r="G324">
            <v>0</v>
          </cell>
          <cell r="H324">
            <v>95488.277816710761</v>
          </cell>
          <cell r="I324">
            <v>2491.5944876652829</v>
          </cell>
          <cell r="J324">
            <v>95488.277816710761</v>
          </cell>
          <cell r="K324" t="str">
            <v>PASIF</v>
          </cell>
        </row>
        <row r="325">
          <cell r="C325" t="str">
            <v>Suismono</v>
          </cell>
          <cell r="D325" t="str">
            <v>CGC</v>
          </cell>
          <cell r="E325">
            <v>5000</v>
          </cell>
          <cell r="F325">
            <v>17609933</v>
          </cell>
          <cell r="G325">
            <v>250000</v>
          </cell>
          <cell r="H325">
            <v>2957248.0842479062</v>
          </cell>
          <cell r="I325">
            <v>543317.28246544173</v>
          </cell>
          <cell r="J325">
            <v>20822181.084247906</v>
          </cell>
          <cell r="K325" t="str">
            <v>AKTIF</v>
          </cell>
        </row>
        <row r="326">
          <cell r="C326" t="str">
            <v>Sukadi Redji</v>
          </cell>
          <cell r="D326" t="str">
            <v>PRB</v>
          </cell>
          <cell r="E326">
            <v>5000</v>
          </cell>
          <cell r="F326">
            <v>24744922</v>
          </cell>
          <cell r="G326">
            <v>786500</v>
          </cell>
          <cell r="H326">
            <v>2449976.1466625305</v>
          </cell>
          <cell r="I326">
            <v>730254.61288220179</v>
          </cell>
          <cell r="J326">
            <v>27986398.14666253</v>
          </cell>
          <cell r="K326" t="str">
            <v>AKTIF</v>
          </cell>
        </row>
        <row r="327">
          <cell r="C327" t="str">
            <v>Sukiyo, Drs</v>
          </cell>
          <cell r="D327" t="str">
            <v>DP</v>
          </cell>
          <cell r="E327">
            <v>0</v>
          </cell>
          <cell r="F327">
            <v>0</v>
          </cell>
          <cell r="G327">
            <v>0</v>
          </cell>
          <cell r="H327">
            <v>122791.89001115831</v>
          </cell>
          <cell r="I327">
            <v>3204.0330318771539</v>
          </cell>
          <cell r="J327">
            <v>122791.89001115831</v>
          </cell>
          <cell r="K327" t="str">
            <v>PASIF</v>
          </cell>
        </row>
        <row r="328">
          <cell r="C328" t="str">
            <v>Sukma Maharani, ST</v>
          </cell>
          <cell r="D328" t="str">
            <v>PHP</v>
          </cell>
          <cell r="E328">
            <v>0</v>
          </cell>
          <cell r="F328">
            <v>0</v>
          </cell>
          <cell r="G328">
            <v>0</v>
          </cell>
          <cell r="H328">
            <v>129405.05652984395</v>
          </cell>
          <cell r="I328">
            <v>3376.5916916489628</v>
          </cell>
          <cell r="J328">
            <v>129405.05652984395</v>
          </cell>
          <cell r="K328" t="str">
            <v>PASIF</v>
          </cell>
        </row>
        <row r="329">
          <cell r="C329" t="str">
            <v>Sukria</v>
          </cell>
          <cell r="D329" t="str">
            <v>-</v>
          </cell>
          <cell r="E329">
            <v>0</v>
          </cell>
          <cell r="F329">
            <v>150000</v>
          </cell>
          <cell r="G329">
            <v>0</v>
          </cell>
          <cell r="H329">
            <v>278705.6808121248</v>
          </cell>
          <cell r="I329">
            <v>11186.301979313223</v>
          </cell>
          <cell r="J329">
            <v>428705.6808121248</v>
          </cell>
          <cell r="K329" t="str">
            <v>PASIF</v>
          </cell>
        </row>
        <row r="330">
          <cell r="C330" t="str">
            <v>Sukron Makmun ST</v>
          </cell>
          <cell r="D330" t="str">
            <v>R&amp;P</v>
          </cell>
          <cell r="E330">
            <v>0</v>
          </cell>
          <cell r="F330">
            <v>0</v>
          </cell>
          <cell r="G330">
            <v>0</v>
          </cell>
          <cell r="H330">
            <v>434355.52007637476</v>
          </cell>
          <cell r="I330">
            <v>11333.724350821703</v>
          </cell>
          <cell r="J330">
            <v>434355.52007637476</v>
          </cell>
          <cell r="K330" t="str">
            <v>PASIF</v>
          </cell>
        </row>
        <row r="331">
          <cell r="C331" t="str">
            <v>Sulaeman</v>
          </cell>
          <cell r="D331" t="str">
            <v>KOP</v>
          </cell>
          <cell r="E331">
            <v>5000</v>
          </cell>
          <cell r="F331">
            <v>17871897</v>
          </cell>
          <cell r="G331">
            <v>2174000</v>
          </cell>
          <cell r="H331">
            <v>2251702.4139473019</v>
          </cell>
          <cell r="I331">
            <v>581946.13025760651</v>
          </cell>
          <cell r="J331">
            <v>22302599.413947303</v>
          </cell>
          <cell r="K331" t="str">
            <v>AKTIF</v>
          </cell>
        </row>
        <row r="332">
          <cell r="C332" t="str">
            <v>Sulaiman Bulahari</v>
          </cell>
          <cell r="D332" t="str">
            <v>BT</v>
          </cell>
          <cell r="E332">
            <v>5000</v>
          </cell>
          <cell r="F332">
            <v>14095000</v>
          </cell>
          <cell r="G332">
            <v>0</v>
          </cell>
          <cell r="H332">
            <v>1523107.4002757799</v>
          </cell>
          <cell r="I332">
            <v>407656.82624886098</v>
          </cell>
          <cell r="J332">
            <v>15623107.40027578</v>
          </cell>
          <cell r="K332" t="str">
            <v>AKTIF</v>
          </cell>
        </row>
        <row r="333">
          <cell r="C333" t="str">
            <v>Sulasman Ardi, Ir.</v>
          </cell>
          <cell r="D333" t="str">
            <v>SD</v>
          </cell>
          <cell r="E333">
            <v>5000</v>
          </cell>
          <cell r="F333">
            <v>31438168</v>
          </cell>
          <cell r="G333">
            <v>30000</v>
          </cell>
          <cell r="H333">
            <v>8284914.4788500108</v>
          </cell>
          <cell r="I333">
            <v>1037415.4965344694</v>
          </cell>
          <cell r="J333">
            <v>39758082.478850007</v>
          </cell>
          <cell r="K333" t="str">
            <v>AKTIF</v>
          </cell>
        </row>
        <row r="334">
          <cell r="C334" t="str">
            <v>Sulthan Said, M.Sc.</v>
          </cell>
          <cell r="D334" t="str">
            <v>DP</v>
          </cell>
          <cell r="E334">
            <v>5000</v>
          </cell>
          <cell r="F334">
            <v>606500</v>
          </cell>
          <cell r="G334">
            <v>0</v>
          </cell>
          <cell r="H334">
            <v>2457660.9094880414</v>
          </cell>
          <cell r="I334">
            <v>80084.221631023102</v>
          </cell>
          <cell r="J334">
            <v>3069160.9094880414</v>
          </cell>
          <cell r="K334" t="str">
            <v>PASIF</v>
          </cell>
        </row>
        <row r="335">
          <cell r="C335" t="str">
            <v>Sumartini</v>
          </cell>
          <cell r="D335" t="str">
            <v>KU</v>
          </cell>
          <cell r="E335">
            <v>5000</v>
          </cell>
          <cell r="F335">
            <v>35651521</v>
          </cell>
          <cell r="G335">
            <v>3460000</v>
          </cell>
          <cell r="H335">
            <v>897125.92720208201</v>
          </cell>
          <cell r="I335">
            <v>1044083.9901476804</v>
          </cell>
          <cell r="J335">
            <v>40013646.927202083</v>
          </cell>
          <cell r="K335" t="str">
            <v>AKTIF</v>
          </cell>
        </row>
        <row r="336">
          <cell r="C336" t="str">
            <v>Supardi, SE</v>
          </cell>
          <cell r="D336" t="str">
            <v>MS</v>
          </cell>
          <cell r="E336">
            <v>0</v>
          </cell>
          <cell r="F336">
            <v>-350000</v>
          </cell>
          <cell r="G336">
            <v>0</v>
          </cell>
          <cell r="H336">
            <v>-0.12553131999447942</v>
          </cell>
          <cell r="I336">
            <v>-9132.6223846020712</v>
          </cell>
          <cell r="J336">
            <v>-350000.12553131999</v>
          </cell>
          <cell r="K336" t="str">
            <v>BUKAN ANGGOTA</v>
          </cell>
        </row>
        <row r="337">
          <cell r="C337" t="str">
            <v>Suprapti</v>
          </cell>
          <cell r="D337" t="str">
            <v>BP</v>
          </cell>
          <cell r="E337">
            <v>5000</v>
          </cell>
          <cell r="F337">
            <v>135000</v>
          </cell>
          <cell r="G337">
            <v>0</v>
          </cell>
          <cell r="H337">
            <v>499532.49932751775</v>
          </cell>
          <cell r="I337">
            <v>16687.447783547574</v>
          </cell>
          <cell r="J337">
            <v>639532.49932751781</v>
          </cell>
          <cell r="K337" t="str">
            <v>PASIF</v>
          </cell>
        </row>
        <row r="338">
          <cell r="C338" t="str">
            <v>Suriaty Paramita Putri, ST</v>
          </cell>
          <cell r="D338" t="str">
            <v>MRKU</v>
          </cell>
          <cell r="E338">
            <v>5000</v>
          </cell>
          <cell r="F338">
            <v>37753235</v>
          </cell>
          <cell r="G338">
            <v>0</v>
          </cell>
          <cell r="H338">
            <v>3784067.3944127103</v>
          </cell>
          <cell r="I338">
            <v>1083971.4990935675</v>
          </cell>
          <cell r="J338">
            <v>41542302.394412711</v>
          </cell>
          <cell r="K338" t="str">
            <v>AKTIF</v>
          </cell>
        </row>
        <row r="339">
          <cell r="C339" t="str">
            <v>Suroso Tumidiono</v>
          </cell>
          <cell r="D339" t="str">
            <v>PK</v>
          </cell>
          <cell r="E339">
            <v>5000</v>
          </cell>
          <cell r="F339">
            <v>21275911</v>
          </cell>
          <cell r="G339">
            <v>0</v>
          </cell>
          <cell r="H339">
            <v>8776851.4002050925</v>
          </cell>
          <cell r="I339">
            <v>784303.12935016106</v>
          </cell>
          <cell r="J339">
            <v>30057762.400205091</v>
          </cell>
          <cell r="K339" t="str">
            <v>AKTIF</v>
          </cell>
        </row>
        <row r="340">
          <cell r="C340" t="str">
            <v>Suroyo</v>
          </cell>
          <cell r="D340" t="str">
            <v>IT</v>
          </cell>
          <cell r="E340">
            <v>0</v>
          </cell>
          <cell r="F340">
            <v>150000</v>
          </cell>
          <cell r="G340">
            <v>0</v>
          </cell>
          <cell r="H340">
            <v>0.4179716007784009</v>
          </cell>
          <cell r="I340">
            <v>3913.9905243963171</v>
          </cell>
          <cell r="J340">
            <v>150000.41797160078</v>
          </cell>
          <cell r="K340" t="str">
            <v>BUKAN ANGGOTA</v>
          </cell>
        </row>
        <row r="341">
          <cell r="C341" t="str">
            <v>Suryanto</v>
          </cell>
          <cell r="D341" t="str">
            <v>BPC</v>
          </cell>
          <cell r="E341">
            <v>5000</v>
          </cell>
          <cell r="F341">
            <v>1095000</v>
          </cell>
          <cell r="G341">
            <v>0</v>
          </cell>
          <cell r="H341">
            <v>1960460.3923551524</v>
          </cell>
          <cell r="I341">
            <v>79857.197319518033</v>
          </cell>
          <cell r="J341">
            <v>3060460.3923551524</v>
          </cell>
          <cell r="K341" t="str">
            <v>PASIF</v>
          </cell>
        </row>
        <row r="342">
          <cell r="C342" t="str">
            <v>Susetyo Wijanarko</v>
          </cell>
          <cell r="D342" t="str">
            <v>SBU ENI</v>
          </cell>
          <cell r="E342">
            <v>5000</v>
          </cell>
          <cell r="F342">
            <v>18613906</v>
          </cell>
          <cell r="G342">
            <v>20000</v>
          </cell>
          <cell r="H342">
            <v>445194.30034317856</v>
          </cell>
          <cell r="I342">
            <v>497965.19737907621</v>
          </cell>
          <cell r="J342">
            <v>19084100.300343178</v>
          </cell>
          <cell r="K342" t="str">
            <v>AKTIF</v>
          </cell>
        </row>
        <row r="343">
          <cell r="C343" t="str">
            <v>Sutrisno</v>
          </cell>
          <cell r="D343" t="str">
            <v>SBU ENI</v>
          </cell>
          <cell r="E343">
            <v>0</v>
          </cell>
          <cell r="F343">
            <v>0</v>
          </cell>
          <cell r="G343">
            <v>0</v>
          </cell>
          <cell r="H343">
            <v>43412.422275854973</v>
          </cell>
          <cell r="I343">
            <v>1132.7689064236988</v>
          </cell>
          <cell r="J343">
            <v>43412.422275854973</v>
          </cell>
          <cell r="K343" t="str">
            <v>PASIF</v>
          </cell>
        </row>
        <row r="344">
          <cell r="C344" t="str">
            <v>Suwandi, Ir</v>
          </cell>
          <cell r="D344" t="str">
            <v>TP</v>
          </cell>
          <cell r="E344">
            <v>5000</v>
          </cell>
          <cell r="F344">
            <v>53099395</v>
          </cell>
          <cell r="G344">
            <v>0</v>
          </cell>
          <cell r="H344">
            <v>4141000.1551198158</v>
          </cell>
          <cell r="I344">
            <v>1493715.3991456353</v>
          </cell>
          <cell r="J344">
            <v>57245395.155119814</v>
          </cell>
          <cell r="K344" t="str">
            <v>AKTIF</v>
          </cell>
        </row>
        <row r="345">
          <cell r="C345" t="str">
            <v>Suyani</v>
          </cell>
          <cell r="D345" t="str">
            <v>BJ</v>
          </cell>
          <cell r="E345">
            <v>0</v>
          </cell>
          <cell r="F345">
            <v>-150000</v>
          </cell>
          <cell r="G345">
            <v>0</v>
          </cell>
          <cell r="H345">
            <v>-6154.5118164140731</v>
          </cell>
          <cell r="I345">
            <v>-4074.5705102427919</v>
          </cell>
          <cell r="J345">
            <v>-156154.51181641407</v>
          </cell>
          <cell r="K345" t="str">
            <v>PASIF</v>
          </cell>
        </row>
        <row r="346">
          <cell r="C346" t="str">
            <v>Syahruddin Nur, Ir</v>
          </cell>
          <cell r="D346" t="str">
            <v>STA</v>
          </cell>
          <cell r="E346">
            <v>0</v>
          </cell>
          <cell r="F346">
            <v>1200000</v>
          </cell>
          <cell r="G346">
            <v>0</v>
          </cell>
          <cell r="H346">
            <v>1355822.2079556249</v>
          </cell>
          <cell r="I346">
            <v>66689.573530881244</v>
          </cell>
          <cell r="J346">
            <v>2555822.2079556249</v>
          </cell>
          <cell r="K346" t="str">
            <v xml:space="preserve">BUKAN ANGGOTA </v>
          </cell>
        </row>
        <row r="347">
          <cell r="C347" t="str">
            <v>Syahlir</v>
          </cell>
          <cell r="D347" t="str">
            <v>KU</v>
          </cell>
          <cell r="E347">
            <v>5000</v>
          </cell>
          <cell r="F347">
            <v>36098998</v>
          </cell>
          <cell r="G347">
            <v>740000</v>
          </cell>
          <cell r="H347">
            <v>832119.50685424148</v>
          </cell>
          <cell r="I347">
            <v>983090.37342675077</v>
          </cell>
          <cell r="J347">
            <v>37676117.506854244</v>
          </cell>
          <cell r="K347" t="str">
            <v>AKTIF</v>
          </cell>
        </row>
        <row r="348">
          <cell r="C348" t="str">
            <v>Syamsul Bahri, Ir</v>
          </cell>
          <cell r="D348" t="str">
            <v>CG</v>
          </cell>
          <cell r="E348">
            <v>-195000</v>
          </cell>
          <cell r="F348">
            <v>0</v>
          </cell>
          <cell r="G348">
            <v>0</v>
          </cell>
          <cell r="H348">
            <v>1194500.5600755885</v>
          </cell>
          <cell r="I348">
            <v>26080.16546997437</v>
          </cell>
          <cell r="J348">
            <v>999500.56007558852</v>
          </cell>
          <cell r="K348" t="str">
            <v>AKTIF</v>
          </cell>
        </row>
        <row r="349">
          <cell r="C349" t="str">
            <v>Syarif Hidayat</v>
          </cell>
          <cell r="D349" t="str">
            <v>R&amp;P</v>
          </cell>
          <cell r="E349">
            <v>0</v>
          </cell>
          <cell r="F349">
            <v>3450000</v>
          </cell>
          <cell r="G349">
            <v>0</v>
          </cell>
          <cell r="H349">
            <v>-18.096808982547373</v>
          </cell>
          <cell r="I349">
            <v>90021.059014548504</v>
          </cell>
          <cell r="J349">
            <v>3449981.9031910175</v>
          </cell>
          <cell r="K349" t="str">
            <v>PASIF</v>
          </cell>
        </row>
        <row r="350">
          <cell r="C350" t="str">
            <v>Syarif, Ir</v>
          </cell>
          <cell r="D350" t="str">
            <v>BM</v>
          </cell>
          <cell r="E350">
            <v>0</v>
          </cell>
          <cell r="F350">
            <v>0</v>
          </cell>
          <cell r="G350">
            <v>-20000</v>
          </cell>
          <cell r="H350">
            <v>-821</v>
          </cell>
          <cell r="I350">
            <v>-543.2864642009506</v>
          </cell>
          <cell r="J350">
            <v>-20821</v>
          </cell>
          <cell r="K350" t="str">
            <v>PASIF</v>
          </cell>
        </row>
        <row r="351">
          <cell r="C351" t="str">
            <v>Tantyo Prayogo, Ir</v>
          </cell>
          <cell r="D351" t="str">
            <v>SV</v>
          </cell>
          <cell r="E351">
            <v>5000</v>
          </cell>
          <cell r="F351">
            <v>47609920</v>
          </cell>
          <cell r="G351">
            <v>158000</v>
          </cell>
          <cell r="H351">
            <v>9713299.804638952</v>
          </cell>
          <cell r="I351">
            <v>1499999.2842774582</v>
          </cell>
          <cell r="J351">
            <v>57486219.804638952</v>
          </cell>
          <cell r="K351" t="str">
            <v>AKTIF</v>
          </cell>
        </row>
        <row r="352">
          <cell r="C352" t="str">
            <v>Taufik Hidayat, SE, MM.</v>
          </cell>
          <cell r="D352" t="str">
            <v>MS</v>
          </cell>
          <cell r="E352">
            <v>5000</v>
          </cell>
          <cell r="F352">
            <v>73402694</v>
          </cell>
          <cell r="G352">
            <v>698500</v>
          </cell>
          <cell r="H352">
            <v>8258608.0577875078</v>
          </cell>
          <cell r="I352">
            <v>2149161.0433978462</v>
          </cell>
          <cell r="J352">
            <v>82364802.057787508</v>
          </cell>
          <cell r="K352" t="str">
            <v>PASIF</v>
          </cell>
        </row>
        <row r="353">
          <cell r="C353" t="str">
            <v>Teguh Andani S.Sos</v>
          </cell>
          <cell r="D353" t="str">
            <v>PU</v>
          </cell>
          <cell r="E353">
            <v>5000</v>
          </cell>
          <cell r="F353">
            <v>34869319</v>
          </cell>
          <cell r="G353">
            <v>3500000</v>
          </cell>
          <cell r="H353">
            <v>1294405.6212644479</v>
          </cell>
          <cell r="I353">
            <v>1035083.864312375</v>
          </cell>
          <cell r="J353">
            <v>39668724.62126445</v>
          </cell>
          <cell r="K353" t="str">
            <v>AKTIF</v>
          </cell>
        </row>
        <row r="354">
          <cell r="C354" t="str">
            <v>Teguh Budi Santoso. Ir</v>
          </cell>
          <cell r="D354" t="str">
            <v>SB</v>
          </cell>
          <cell r="E354">
            <v>5000</v>
          </cell>
          <cell r="F354">
            <v>33992947</v>
          </cell>
          <cell r="G354">
            <v>0</v>
          </cell>
          <cell r="H354">
            <v>5832613.9428636692</v>
          </cell>
          <cell r="I354">
            <v>1039306.6914071797</v>
          </cell>
          <cell r="J354">
            <v>39830560.942863673</v>
          </cell>
          <cell r="K354" t="str">
            <v>AKTIF</v>
          </cell>
        </row>
        <row r="355">
          <cell r="C355" t="str">
            <v>Teko Prantoko, Ir</v>
          </cell>
          <cell r="D355" t="str">
            <v>MHC</v>
          </cell>
          <cell r="E355">
            <v>5000</v>
          </cell>
          <cell r="F355">
            <v>52457006</v>
          </cell>
          <cell r="G355">
            <v>10000</v>
          </cell>
          <cell r="H355">
            <v>12160925.138746317</v>
          </cell>
          <cell r="I355">
            <v>1686479.8342689117</v>
          </cell>
          <cell r="J355">
            <v>64632931.138746321</v>
          </cell>
          <cell r="K355" t="str">
            <v>AKTIF</v>
          </cell>
        </row>
        <row r="356">
          <cell r="C356" t="str">
            <v>Togap Hidayat. Ir</v>
          </cell>
          <cell r="D356" t="str">
            <v>SBU MNO</v>
          </cell>
          <cell r="E356">
            <v>5000</v>
          </cell>
          <cell r="F356">
            <v>31672002</v>
          </cell>
          <cell r="G356">
            <v>25000</v>
          </cell>
          <cell r="H356">
            <v>3930396.8822782487</v>
          </cell>
          <cell r="I356">
            <v>929763.21981417108</v>
          </cell>
          <cell r="J356">
            <v>35632398.882278249</v>
          </cell>
          <cell r="K356" t="str">
            <v>AKTIF</v>
          </cell>
        </row>
        <row r="357">
          <cell r="C357" t="str">
            <v>Toni Syarif Hidayat</v>
          </cell>
          <cell r="D357" t="str">
            <v>TP</v>
          </cell>
          <cell r="E357">
            <v>5000</v>
          </cell>
          <cell r="F357">
            <v>20111919</v>
          </cell>
          <cell r="G357">
            <v>0</v>
          </cell>
          <cell r="H357">
            <v>1947691.5755450055</v>
          </cell>
          <cell r="I357">
            <v>575736.24050519906</v>
          </cell>
          <cell r="J357">
            <v>22064610.575545006</v>
          </cell>
          <cell r="K357" t="str">
            <v>AKTIF</v>
          </cell>
        </row>
        <row r="358">
          <cell r="C358" t="str">
            <v>Topan Firmandha. ST</v>
          </cell>
          <cell r="D358" t="str">
            <v>R&amp;P</v>
          </cell>
          <cell r="E358">
            <v>0</v>
          </cell>
          <cell r="F358">
            <v>0</v>
          </cell>
          <cell r="G358">
            <v>0</v>
          </cell>
          <cell r="H358">
            <v>42</v>
          </cell>
          <cell r="I358">
            <v>1.095914293090626</v>
          </cell>
          <cell r="J358">
            <v>42</v>
          </cell>
          <cell r="K358" t="str">
            <v>PASIF</v>
          </cell>
        </row>
        <row r="359">
          <cell r="C359" t="str">
            <v>Totok Achmad, Ir</v>
          </cell>
          <cell r="D359" t="str">
            <v>STA</v>
          </cell>
          <cell r="E359">
            <v>5000</v>
          </cell>
          <cell r="F359">
            <v>68835223</v>
          </cell>
          <cell r="G359">
            <v>250000</v>
          </cell>
          <cell r="H359">
            <v>11680740.049718836</v>
          </cell>
          <cell r="I359">
            <v>2107572.6874495647</v>
          </cell>
          <cell r="J359">
            <v>80770963.049718842</v>
          </cell>
          <cell r="K359" t="str">
            <v>AKTIF</v>
          </cell>
        </row>
        <row r="360">
          <cell r="C360" t="str">
            <v>Tri Buana Galaxi</v>
          </cell>
          <cell r="D360" t="str">
            <v>STA</v>
          </cell>
          <cell r="E360">
            <v>0</v>
          </cell>
          <cell r="F360">
            <v>0</v>
          </cell>
          <cell r="G360">
            <v>0</v>
          </cell>
          <cell r="H360">
            <v>49200.964434333146</v>
          </cell>
          <cell r="I360">
            <v>1283.8104799387916</v>
          </cell>
          <cell r="J360">
            <v>49200.964434333146</v>
          </cell>
          <cell r="K360" t="str">
            <v>PASIF</v>
          </cell>
        </row>
        <row r="361">
          <cell r="C361" t="str">
            <v>Tri Januar Pratama</v>
          </cell>
          <cell r="D361" t="str">
            <v>MRKU</v>
          </cell>
          <cell r="E361">
            <v>5000</v>
          </cell>
          <cell r="F361">
            <v>18205960</v>
          </cell>
          <cell r="G361">
            <v>0</v>
          </cell>
          <cell r="H361">
            <v>1633305.7986281444</v>
          </cell>
          <cell r="I361">
            <v>517800.34582395363</v>
          </cell>
          <cell r="J361">
            <v>19844265.798628144</v>
          </cell>
          <cell r="K361" t="str">
            <v>AKTIF</v>
          </cell>
        </row>
        <row r="362">
          <cell r="C362" t="str">
            <v>Tri Laksono, Ir</v>
          </cell>
          <cell r="D362" t="str">
            <v>SD</v>
          </cell>
          <cell r="E362">
            <v>5000</v>
          </cell>
          <cell r="F362">
            <v>36263348</v>
          </cell>
          <cell r="G362">
            <v>0</v>
          </cell>
          <cell r="H362">
            <v>10481259.462735279</v>
          </cell>
          <cell r="I362">
            <v>1219846.7384473286</v>
          </cell>
          <cell r="J362">
            <v>46749607.46273528</v>
          </cell>
          <cell r="K362" t="str">
            <v>AKTIF</v>
          </cell>
        </row>
        <row r="363">
          <cell r="C363" t="str">
            <v>Triyono Samuel, ST.</v>
          </cell>
          <cell r="D363" t="str">
            <v>PBC</v>
          </cell>
          <cell r="E363">
            <v>5000</v>
          </cell>
          <cell r="F363">
            <v>17777980</v>
          </cell>
          <cell r="G363">
            <v>0</v>
          </cell>
          <cell r="H363">
            <v>2121694.0658864211</v>
          </cell>
          <cell r="I363">
            <v>519376.59066941042</v>
          </cell>
          <cell r="J363">
            <v>19904674.065886423</v>
          </cell>
          <cell r="K363" t="str">
            <v>AKTIF</v>
          </cell>
        </row>
        <row r="364">
          <cell r="C364" t="str">
            <v>Untung Prasetyo</v>
          </cell>
          <cell r="D364" t="str">
            <v>PU</v>
          </cell>
          <cell r="E364">
            <v>5000</v>
          </cell>
          <cell r="F364">
            <v>28888231</v>
          </cell>
          <cell r="G364">
            <v>395000</v>
          </cell>
          <cell r="H364">
            <v>3658717.567148976</v>
          </cell>
          <cell r="I364">
            <v>859691.23448714975</v>
          </cell>
          <cell r="J364">
            <v>32946948.567148976</v>
          </cell>
          <cell r="K364" t="str">
            <v>AKTIF</v>
          </cell>
        </row>
        <row r="365">
          <cell r="C365" t="str">
            <v>Vecky Budiman CI</v>
          </cell>
          <cell r="D365" t="str">
            <v>SBC</v>
          </cell>
          <cell r="E365">
            <v>5000</v>
          </cell>
          <cell r="F365">
            <v>1641653</v>
          </cell>
          <cell r="G365">
            <v>0</v>
          </cell>
          <cell r="H365">
            <v>1768476.7085807524</v>
          </cell>
          <cell r="I365">
            <v>89111.653818858846</v>
          </cell>
          <cell r="J365">
            <v>3415129.7085807524</v>
          </cell>
          <cell r="K365" t="str">
            <v>PASIF</v>
          </cell>
        </row>
        <row r="366">
          <cell r="C366" t="str">
            <v>Wahidin</v>
          </cell>
          <cell r="D366" t="str">
            <v>M&amp;K</v>
          </cell>
          <cell r="E366">
            <v>5000</v>
          </cell>
          <cell r="F366">
            <v>23993093</v>
          </cell>
          <cell r="G366">
            <v>855000</v>
          </cell>
          <cell r="H366">
            <v>2890657.6824608101</v>
          </cell>
          <cell r="I366">
            <v>723923.16468694329</v>
          </cell>
          <cell r="J366">
            <v>27743750.682460811</v>
          </cell>
          <cell r="K366" t="str">
            <v>AKTIF</v>
          </cell>
        </row>
        <row r="367">
          <cell r="C367" t="str">
            <v>Wahjoe Ario Tedjo, Ir</v>
          </cell>
          <cell r="D367" t="str">
            <v>PK</v>
          </cell>
          <cell r="E367">
            <v>5000</v>
          </cell>
          <cell r="F367">
            <v>52534919</v>
          </cell>
          <cell r="G367">
            <v>165000</v>
          </cell>
          <cell r="H367">
            <v>13957299.952690842</v>
          </cell>
          <cell r="I367">
            <v>1739430.4418902553</v>
          </cell>
          <cell r="J367">
            <v>66662218.95269084</v>
          </cell>
          <cell r="K367" t="str">
            <v>AKTIF</v>
          </cell>
        </row>
        <row r="368">
          <cell r="C368" t="str">
            <v>Wahyu Priambodo, ST.</v>
          </cell>
          <cell r="D368" t="str">
            <v>DOC</v>
          </cell>
          <cell r="E368">
            <v>5000</v>
          </cell>
          <cell r="F368">
            <v>17452747</v>
          </cell>
          <cell r="G368">
            <v>0</v>
          </cell>
          <cell r="H368">
            <v>2169390.5484163342</v>
          </cell>
          <cell r="I368">
            <v>512134.7755182184</v>
          </cell>
          <cell r="J368">
            <v>19627137.548416335</v>
          </cell>
          <cell r="K368" t="str">
            <v>AKTIF</v>
          </cell>
        </row>
        <row r="369">
          <cell r="C369" t="str">
            <v>Wasito Abdul Mukit, Ir</v>
          </cell>
          <cell r="D369" t="str">
            <v>STA</v>
          </cell>
          <cell r="E369">
            <v>5000</v>
          </cell>
          <cell r="F369">
            <v>53845785</v>
          </cell>
          <cell r="G369">
            <v>160000</v>
          </cell>
          <cell r="H369">
            <v>1629532.2828998226</v>
          </cell>
          <cell r="I369">
            <v>1451833.7852958881</v>
          </cell>
          <cell r="J369">
            <v>55640317.282899819</v>
          </cell>
          <cell r="K369" t="str">
            <v>AKTIF</v>
          </cell>
        </row>
        <row r="370">
          <cell r="C370" t="str">
            <v>Wawan Priya Widyanta</v>
          </cell>
          <cell r="D370" t="str">
            <v>R&amp;P</v>
          </cell>
          <cell r="E370">
            <v>5000</v>
          </cell>
          <cell r="F370">
            <v>31570840</v>
          </cell>
          <cell r="G370">
            <v>410000</v>
          </cell>
          <cell r="H370">
            <v>5501065.1169936918</v>
          </cell>
          <cell r="I370">
            <v>978153.21717727429</v>
          </cell>
          <cell r="J370">
            <v>37486905.116993695</v>
          </cell>
          <cell r="K370" t="str">
            <v>AKTIF</v>
          </cell>
        </row>
        <row r="371">
          <cell r="C371" t="str">
            <v>Wawan Sulaeman</v>
          </cell>
          <cell r="D371" t="str">
            <v>PU</v>
          </cell>
          <cell r="E371">
            <v>0</v>
          </cell>
          <cell r="F371">
            <v>0</v>
          </cell>
          <cell r="G371">
            <v>250000</v>
          </cell>
          <cell r="H371">
            <v>693042.001730063</v>
          </cell>
          <cell r="I371">
            <v>24606.981159065977</v>
          </cell>
          <cell r="J371">
            <v>943042.001730063</v>
          </cell>
          <cell r="K371" t="str">
            <v>AKTIF</v>
          </cell>
        </row>
        <row r="372">
          <cell r="C372" t="str">
            <v>Wibisono R.  Ir</v>
          </cell>
          <cell r="D372" t="str">
            <v>DP</v>
          </cell>
          <cell r="E372">
            <v>0</v>
          </cell>
          <cell r="F372">
            <v>0</v>
          </cell>
          <cell r="G372">
            <v>0</v>
          </cell>
          <cell r="H372">
            <v>412294</v>
          </cell>
          <cell r="I372">
            <v>10758.068751321585</v>
          </cell>
          <cell r="J372">
            <v>412294</v>
          </cell>
          <cell r="K372" t="str">
            <v>PASIF</v>
          </cell>
        </row>
        <row r="373">
          <cell r="C373" t="str">
            <v>Widodo</v>
          </cell>
          <cell r="D373" t="str">
            <v>PBC</v>
          </cell>
          <cell r="E373">
            <v>5000</v>
          </cell>
          <cell r="F373">
            <v>23452117</v>
          </cell>
          <cell r="G373">
            <v>50000</v>
          </cell>
          <cell r="H373">
            <v>12564695.594852367</v>
          </cell>
          <cell r="I373">
            <v>941228.92858059937</v>
          </cell>
          <cell r="J373">
            <v>36071812.594852366</v>
          </cell>
          <cell r="K373" t="str">
            <v>AKTIF</v>
          </cell>
        </row>
        <row r="374">
          <cell r="C374" t="str">
            <v>Winarto</v>
          </cell>
          <cell r="D374" t="str">
            <v>BPC</v>
          </cell>
          <cell r="E374">
            <v>5000</v>
          </cell>
          <cell r="F374">
            <v>26787174</v>
          </cell>
          <cell r="G374">
            <v>90000</v>
          </cell>
          <cell r="H374">
            <v>567366.59514374321</v>
          </cell>
          <cell r="I374">
            <v>716246.28278546187</v>
          </cell>
          <cell r="J374">
            <v>27449540.595143743</v>
          </cell>
          <cell r="K374" t="str">
            <v>AKTIF</v>
          </cell>
        </row>
        <row r="375">
          <cell r="C375" t="str">
            <v>Wiyono, Ir</v>
          </cell>
          <cell r="D375" t="str">
            <v>TP</v>
          </cell>
          <cell r="E375">
            <v>0</v>
          </cell>
          <cell r="F375">
            <v>0</v>
          </cell>
          <cell r="G375">
            <v>0</v>
          </cell>
          <cell r="H375">
            <v>37264.422429669648</v>
          </cell>
          <cell r="I375">
            <v>972.34793248671156</v>
          </cell>
          <cell r="J375">
            <v>37264.422429669648</v>
          </cell>
          <cell r="K375" t="str">
            <v>PASIF</v>
          </cell>
        </row>
        <row r="376">
          <cell r="C376" t="str">
            <v>Yansen Miri, Ir</v>
          </cell>
          <cell r="D376" t="str">
            <v>PHP</v>
          </cell>
          <cell r="E376">
            <v>0</v>
          </cell>
          <cell r="F376">
            <v>500000</v>
          </cell>
          <cell r="G376">
            <v>0</v>
          </cell>
          <cell r="H376">
            <v>65055.473211323842</v>
          </cell>
          <cell r="I376">
            <v>14744.104035270886</v>
          </cell>
          <cell r="J376">
            <v>565055.47321132384</v>
          </cell>
          <cell r="K376" t="str">
            <v>PASIF</v>
          </cell>
        </row>
        <row r="377">
          <cell r="C377" t="str">
            <v>Yohana Kaonseng</v>
          </cell>
          <cell r="D377" t="str">
            <v>KU</v>
          </cell>
          <cell r="E377">
            <v>5000</v>
          </cell>
          <cell r="F377">
            <v>30164378</v>
          </cell>
          <cell r="G377">
            <v>1670000</v>
          </cell>
          <cell r="H377">
            <v>705576.10776770907</v>
          </cell>
          <cell r="I377">
            <v>849201.91368288372</v>
          </cell>
          <cell r="J377">
            <v>32544954.107767709</v>
          </cell>
          <cell r="K377" t="str">
            <v>AKTIF</v>
          </cell>
        </row>
        <row r="378">
          <cell r="C378" t="str">
            <v>Yudas Pasomba</v>
          </cell>
          <cell r="D378" t="str">
            <v>PHP</v>
          </cell>
          <cell r="E378">
            <v>5000</v>
          </cell>
          <cell r="F378">
            <v>60400000</v>
          </cell>
          <cell r="G378">
            <v>0</v>
          </cell>
          <cell r="H378">
            <v>6376856.6139276167</v>
          </cell>
          <cell r="I378">
            <v>1742552.1710079059</v>
          </cell>
          <cell r="J378">
            <v>66781856.613927618</v>
          </cell>
          <cell r="K378" t="str">
            <v>AKTIF</v>
          </cell>
        </row>
        <row r="379">
          <cell r="C379" t="str">
            <v>Yudhi Ardikusuma AMK-C.</v>
          </cell>
          <cell r="D379" t="str">
            <v>SB</v>
          </cell>
          <cell r="E379">
            <v>5000</v>
          </cell>
          <cell r="F379">
            <v>5835211</v>
          </cell>
          <cell r="G379">
            <v>25000</v>
          </cell>
          <cell r="H379">
            <v>1723221.6190037541</v>
          </cell>
          <cell r="I379">
            <v>198006.47069812732</v>
          </cell>
          <cell r="J379">
            <v>7588432.6190037541</v>
          </cell>
          <cell r="K379" t="str">
            <v>PASIF</v>
          </cell>
        </row>
        <row r="380">
          <cell r="C380" t="str">
            <v>Yudi Wasianto, Ir</v>
          </cell>
          <cell r="D380" t="str">
            <v>SV</v>
          </cell>
          <cell r="E380">
            <v>0</v>
          </cell>
          <cell r="F380">
            <v>0</v>
          </cell>
          <cell r="G380">
            <v>0</v>
          </cell>
          <cell r="H380">
            <v>214089.82880702708</v>
          </cell>
          <cell r="I380">
            <v>5586.2881760701484</v>
          </cell>
          <cell r="J380">
            <v>214089.82880702708</v>
          </cell>
          <cell r="K380" t="str">
            <v>PASIF</v>
          </cell>
        </row>
        <row r="381">
          <cell r="C381" t="str">
            <v>Yulia Dian Anggraini</v>
          </cell>
          <cell r="D381" t="str">
            <v>MHC</v>
          </cell>
          <cell r="E381">
            <v>5000</v>
          </cell>
          <cell r="F381">
            <v>29464901</v>
          </cell>
          <cell r="G381">
            <v>1098000</v>
          </cell>
          <cell r="H381">
            <v>3651044.600051811</v>
          </cell>
          <cell r="I381">
            <v>892881.7042282708</v>
          </cell>
          <cell r="J381">
            <v>34218945.600051813</v>
          </cell>
          <cell r="K381" t="str">
            <v>AKTIF</v>
          </cell>
        </row>
        <row r="382">
          <cell r="C382" t="str">
            <v>Yulian Apriyanto. Ir</v>
          </cell>
          <cell r="D382" t="str">
            <v>JB</v>
          </cell>
          <cell r="E382">
            <v>5000</v>
          </cell>
          <cell r="F382">
            <v>34753217</v>
          </cell>
          <cell r="G382">
            <v>40000</v>
          </cell>
          <cell r="H382">
            <v>11634531.141255431</v>
          </cell>
          <cell r="I382">
            <v>1211578.8656066435</v>
          </cell>
          <cell r="J382">
            <v>46432748.141255431</v>
          </cell>
          <cell r="K382" t="str">
            <v>AKTIF</v>
          </cell>
        </row>
        <row r="383">
          <cell r="C383" t="str">
            <v>Yulid Anji. ST</v>
          </cell>
          <cell r="D383" t="str">
            <v>DOK</v>
          </cell>
          <cell r="E383">
            <v>5000</v>
          </cell>
          <cell r="F383">
            <v>33880222</v>
          </cell>
          <cell r="G383">
            <v>0</v>
          </cell>
          <cell r="H383">
            <v>4334491.2078599604</v>
          </cell>
          <cell r="I383">
            <v>997274.52338853141</v>
          </cell>
          <cell r="J383">
            <v>38219713.207859963</v>
          </cell>
          <cell r="K383" t="str">
            <v>AKTIF</v>
          </cell>
        </row>
        <row r="384">
          <cell r="C384" t="str">
            <v>Yusfi Noer Aryani</v>
          </cell>
          <cell r="D384" t="str">
            <v>KU</v>
          </cell>
          <cell r="E384">
            <v>5000</v>
          </cell>
          <cell r="F384">
            <v>29270858</v>
          </cell>
          <cell r="G384">
            <v>300000</v>
          </cell>
          <cell r="H384">
            <v>2546142.0961820371</v>
          </cell>
          <cell r="I384">
            <v>838165.69114438957</v>
          </cell>
          <cell r="J384">
            <v>32122000.096182037</v>
          </cell>
          <cell r="K384" t="str">
            <v>AKTIF</v>
          </cell>
        </row>
        <row r="385">
          <cell r="C385" t="str">
            <v>Yusman Susa</v>
          </cell>
          <cell r="D385" t="str">
            <v>-</v>
          </cell>
          <cell r="E385">
            <v>5000</v>
          </cell>
          <cell r="F385">
            <v>395000</v>
          </cell>
          <cell r="G385">
            <v>0</v>
          </cell>
          <cell r="H385">
            <v>662041.08690312982</v>
          </cell>
          <cell r="I385">
            <v>27712.047785396277</v>
          </cell>
          <cell r="J385">
            <v>1062041.0869031297</v>
          </cell>
          <cell r="K385" t="str">
            <v>PASIF</v>
          </cell>
        </row>
        <row r="386">
          <cell r="C386" t="str">
            <v>Edo Dody Handradi, ST.</v>
          </cell>
          <cell r="D386" t="str">
            <v>M&amp;K</v>
          </cell>
          <cell r="E386">
            <v>0</v>
          </cell>
          <cell r="F386">
            <v>6000000</v>
          </cell>
          <cell r="G386">
            <v>0</v>
          </cell>
          <cell r="H386">
            <v>0</v>
          </cell>
          <cell r="I386">
            <v>156559.18472723229</v>
          </cell>
          <cell r="J386">
            <v>6000000</v>
          </cell>
          <cell r="K386" t="str">
            <v>BUKAN ANGGOTA</v>
          </cell>
        </row>
        <row r="387">
          <cell r="C387" t="str">
            <v>Marwanto</v>
          </cell>
          <cell r="D387" t="str">
            <v>MAC</v>
          </cell>
          <cell r="E387">
            <v>0</v>
          </cell>
          <cell r="F387">
            <v>0</v>
          </cell>
          <cell r="G387">
            <v>0</v>
          </cell>
          <cell r="H387">
            <v>52730.846195780148</v>
          </cell>
          <cell r="I387">
            <v>1375.9163817314031</v>
          </cell>
          <cell r="J387">
            <v>52730.846195780148</v>
          </cell>
          <cell r="K387" t="str">
            <v>PASIF</v>
          </cell>
        </row>
        <row r="388">
          <cell r="C388" t="str">
            <v>Ratih Putri Arifianti, ST</v>
          </cell>
          <cell r="D388" t="str">
            <v>MHC</v>
          </cell>
          <cell r="E388">
            <v>5000</v>
          </cell>
          <cell r="F388">
            <v>29625000</v>
          </cell>
          <cell r="G388">
            <v>0</v>
          </cell>
          <cell r="H388">
            <v>666923.74893171783</v>
          </cell>
          <cell r="I388">
            <v>790543.61364597874</v>
          </cell>
          <cell r="J388">
            <v>30296923.748931717</v>
          </cell>
          <cell r="K388" t="str">
            <v>AKTIF</v>
          </cell>
        </row>
        <row r="389">
          <cell r="C389" t="str">
            <v>Andi Gunawan Sunre</v>
          </cell>
          <cell r="D389" t="str">
            <v>MKS</v>
          </cell>
          <cell r="E389">
            <v>5000</v>
          </cell>
          <cell r="F389">
            <v>3370000</v>
          </cell>
          <cell r="G389">
            <v>0</v>
          </cell>
          <cell r="H389">
            <v>-49690.169829299557</v>
          </cell>
          <cell r="I389">
            <v>86767.965996162689</v>
          </cell>
          <cell r="J389">
            <v>3325309.8301707003</v>
          </cell>
          <cell r="K389" t="str">
            <v>PASIF</v>
          </cell>
        </row>
        <row r="390">
          <cell r="C390" t="str">
            <v>Umar Agus Irianto</v>
          </cell>
          <cell r="D390" t="str">
            <v>SM</v>
          </cell>
          <cell r="E390">
            <v>0</v>
          </cell>
          <cell r="F390">
            <v>0</v>
          </cell>
          <cell r="G390">
            <v>200000</v>
          </cell>
          <cell r="H390">
            <v>43552.820287168637</v>
          </cell>
          <cell r="I390">
            <v>6355.0718303628746</v>
          </cell>
          <cell r="J390">
            <v>243552.82028716864</v>
          </cell>
          <cell r="K390" t="str">
            <v>PASIF</v>
          </cell>
        </row>
        <row r="391">
          <cell r="C391" t="str">
            <v>Sumardi (Sopir)</v>
          </cell>
          <cell r="D391" t="str">
            <v>PU</v>
          </cell>
          <cell r="E391">
            <v>5000</v>
          </cell>
          <cell r="F391">
            <v>0</v>
          </cell>
          <cell r="G391">
            <v>0</v>
          </cell>
          <cell r="H391">
            <v>199411.45983493421</v>
          </cell>
          <cell r="I391">
            <v>5333.7485834434483</v>
          </cell>
          <cell r="J391">
            <v>204411.45983493421</v>
          </cell>
          <cell r="K391" t="str">
            <v>BUKAN ANGGOTA</v>
          </cell>
        </row>
        <row r="392">
          <cell r="C392" t="str">
            <v>Awaludin Painging, ST.</v>
          </cell>
          <cell r="D392" t="str">
            <v>SB</v>
          </cell>
          <cell r="E392">
            <v>5000</v>
          </cell>
          <cell r="F392">
            <v>16750000</v>
          </cell>
          <cell r="G392">
            <v>0</v>
          </cell>
          <cell r="H392">
            <v>2481615.7387349401</v>
          </cell>
          <cell r="I392">
            <v>501944.8128278979</v>
          </cell>
          <cell r="J392">
            <v>19236615.738734938</v>
          </cell>
          <cell r="K392" t="str">
            <v>AKTIF</v>
          </cell>
        </row>
        <row r="393">
          <cell r="C393" t="str">
            <v>Fitriani A. Md.</v>
          </cell>
          <cell r="D393" t="str">
            <v>PK</v>
          </cell>
          <cell r="E393">
            <v>5000</v>
          </cell>
          <cell r="F393">
            <v>15280000</v>
          </cell>
          <cell r="G393">
            <v>350000</v>
          </cell>
          <cell r="H393">
            <v>2354344.4159868653</v>
          </cell>
          <cell r="I393">
            <v>469399.51592404878</v>
          </cell>
          <cell r="J393">
            <v>17989344.415986866</v>
          </cell>
          <cell r="K393" t="str">
            <v>AKTIF</v>
          </cell>
        </row>
        <row r="394">
          <cell r="C394" t="str">
            <v>M. Rizky Purnama</v>
          </cell>
          <cell r="D394" t="str">
            <v>BPC</v>
          </cell>
          <cell r="E394">
            <v>5000</v>
          </cell>
          <cell r="F394">
            <v>35180000</v>
          </cell>
          <cell r="G394">
            <v>0</v>
          </cell>
          <cell r="H394">
            <v>4828258.5633489387</v>
          </cell>
          <cell r="I394">
            <v>1044073.8564929762</v>
          </cell>
          <cell r="J394">
            <v>40013258.563348942</v>
          </cell>
          <cell r="K394" t="str">
            <v>AKTIF</v>
          </cell>
        </row>
        <row r="395">
          <cell r="C395" t="str">
            <v>Renza Muharam</v>
          </cell>
          <cell r="D395" t="str">
            <v>PK</v>
          </cell>
          <cell r="E395">
            <v>5000</v>
          </cell>
          <cell r="F395">
            <v>2390000</v>
          </cell>
          <cell r="G395">
            <v>0</v>
          </cell>
          <cell r="H395">
            <v>1477524.9917339797</v>
          </cell>
          <cell r="I395">
            <v>101046.55925695064</v>
          </cell>
          <cell r="J395">
            <v>3872524.9917339794</v>
          </cell>
          <cell r="K395" t="str">
            <v>PASIF</v>
          </cell>
        </row>
        <row r="396">
          <cell r="C396" t="str">
            <v>Warini</v>
          </cell>
          <cell r="D396" t="str">
            <v>SBU MNO</v>
          </cell>
          <cell r="E396">
            <v>5000</v>
          </cell>
          <cell r="F396">
            <v>18450000</v>
          </cell>
          <cell r="G396">
            <v>0</v>
          </cell>
          <cell r="H396">
            <v>1485787.5700571949</v>
          </cell>
          <cell r="I396">
            <v>520318.90746451367</v>
          </cell>
          <cell r="J396">
            <v>19940787.570057195</v>
          </cell>
          <cell r="K396" t="str">
            <v>AKTIF</v>
          </cell>
        </row>
        <row r="397">
          <cell r="C397" t="str">
            <v>Adhi kholidin</v>
          </cell>
          <cell r="D397" t="str">
            <v>MS</v>
          </cell>
          <cell r="E397">
            <v>0</v>
          </cell>
          <cell r="F397">
            <v>0</v>
          </cell>
          <cell r="G397">
            <v>0</v>
          </cell>
          <cell r="H397">
            <v>113023.38492858806</v>
          </cell>
          <cell r="I397">
            <v>2949.1414999219837</v>
          </cell>
          <cell r="J397">
            <v>113023.38492858806</v>
          </cell>
          <cell r="K397" t="str">
            <v>PASIF</v>
          </cell>
        </row>
        <row r="398">
          <cell r="C398" t="str">
            <v>Adi Yudho Wijayanto, ST</v>
          </cell>
          <cell r="D398" t="str">
            <v>SV</v>
          </cell>
          <cell r="E398">
            <v>0</v>
          </cell>
          <cell r="F398">
            <v>500000</v>
          </cell>
          <cell r="G398">
            <v>0</v>
          </cell>
          <cell r="H398">
            <v>20515</v>
          </cell>
          <cell r="I398">
            <v>13581.90067304922</v>
          </cell>
          <cell r="J398">
            <v>520515</v>
          </cell>
          <cell r="K398" t="str">
            <v>PASIF</v>
          </cell>
        </row>
        <row r="399">
          <cell r="C399" t="str">
            <v>Agris Setyawan, ST.</v>
          </cell>
          <cell r="D399" t="str">
            <v>SV</v>
          </cell>
          <cell r="E399">
            <v>0</v>
          </cell>
          <cell r="F399">
            <v>5250000</v>
          </cell>
          <cell r="G399">
            <v>250000</v>
          </cell>
          <cell r="H399">
            <v>0.15564831206575036</v>
          </cell>
          <cell r="I399">
            <v>143512.59006132509</v>
          </cell>
          <cell r="J399">
            <v>5500000.1556483116</v>
          </cell>
          <cell r="K399" t="str">
            <v>AKTIF</v>
          </cell>
        </row>
        <row r="400">
          <cell r="C400" t="str">
            <v>Ahmad Syaifulloh</v>
          </cell>
          <cell r="D400" t="str">
            <v>SB</v>
          </cell>
          <cell r="E400">
            <v>5000</v>
          </cell>
          <cell r="F400">
            <v>11845000</v>
          </cell>
          <cell r="G400">
            <v>0</v>
          </cell>
          <cell r="H400">
            <v>513134.87296413002</v>
          </cell>
          <cell r="I400">
            <v>322593.71939734649</v>
          </cell>
          <cell r="J400">
            <v>12363134.872964131</v>
          </cell>
          <cell r="K400" t="str">
            <v>AKTIF</v>
          </cell>
        </row>
        <row r="401">
          <cell r="C401" t="str">
            <v>Andre Guntur Teguh WS, ST.</v>
          </cell>
          <cell r="D401" t="str">
            <v>PB</v>
          </cell>
          <cell r="E401">
            <v>0</v>
          </cell>
          <cell r="F401">
            <v>750000</v>
          </cell>
          <cell r="G401">
            <v>0</v>
          </cell>
          <cell r="H401">
            <v>30773.365020134486</v>
          </cell>
          <cell r="I401">
            <v>20372.873580715001</v>
          </cell>
          <cell r="J401">
            <v>780773.36502013449</v>
          </cell>
          <cell r="K401" t="str">
            <v>PASIF</v>
          </cell>
        </row>
        <row r="402">
          <cell r="C402" t="str">
            <v>Angga Santoso</v>
          </cell>
          <cell r="D402"/>
          <cell r="E402">
            <v>0</v>
          </cell>
          <cell r="F402">
            <v>250000</v>
          </cell>
          <cell r="G402">
            <v>0</v>
          </cell>
          <cell r="H402">
            <v>10258</v>
          </cell>
          <cell r="I402">
            <v>6790.9633831233377</v>
          </cell>
          <cell r="J402">
            <v>260258</v>
          </cell>
          <cell r="K402" t="str">
            <v>PASIF</v>
          </cell>
        </row>
        <row r="403">
          <cell r="C403" t="str">
            <v>Angga Yustiawan, ST.</v>
          </cell>
          <cell r="D403" t="str">
            <v>BM</v>
          </cell>
          <cell r="E403">
            <v>0</v>
          </cell>
          <cell r="F403">
            <v>300000</v>
          </cell>
          <cell r="G403">
            <v>0</v>
          </cell>
          <cell r="H403">
            <v>96537.547672237968</v>
          </cell>
          <cell r="I403">
            <v>10346.932529550266</v>
          </cell>
          <cell r="J403">
            <v>396537.54767223797</v>
          </cell>
          <cell r="K403" t="str">
            <v>PASIF</v>
          </cell>
        </row>
        <row r="404">
          <cell r="C404" t="str">
            <v>Bambang Tri Nugroho</v>
          </cell>
          <cell r="D404" t="str">
            <v>CGC</v>
          </cell>
          <cell r="E404">
            <v>5000</v>
          </cell>
          <cell r="F404">
            <v>9595000</v>
          </cell>
          <cell r="G404">
            <v>0</v>
          </cell>
          <cell r="H404">
            <v>2262565.9958696021</v>
          </cell>
          <cell r="I404">
            <v>309532.2768477223</v>
          </cell>
          <cell r="J404">
            <v>11862565.995869603</v>
          </cell>
          <cell r="K404" t="str">
            <v>AKTIF</v>
          </cell>
        </row>
        <row r="405">
          <cell r="C405" t="str">
            <v>Bayu Mahardika W, ST.</v>
          </cell>
          <cell r="D405" t="str">
            <v>IT</v>
          </cell>
          <cell r="E405">
            <v>5000</v>
          </cell>
          <cell r="F405">
            <v>27970000</v>
          </cell>
          <cell r="G405">
            <v>1250000</v>
          </cell>
          <cell r="H405">
            <v>1664655.8224229182</v>
          </cell>
          <cell r="I405">
            <v>806009.88867722277</v>
          </cell>
          <cell r="J405">
            <v>30889655.822422918</v>
          </cell>
          <cell r="K405" t="str">
            <v>AKTIF</v>
          </cell>
        </row>
        <row r="406">
          <cell r="C406" t="str">
            <v>Bobby A. Novrianto</v>
          </cell>
          <cell r="D406" t="str">
            <v>ACD</v>
          </cell>
          <cell r="E406">
            <v>0</v>
          </cell>
          <cell r="F406">
            <v>28975000</v>
          </cell>
          <cell r="G406">
            <v>220000</v>
          </cell>
          <cell r="H406">
            <v>1823650.0840856722</v>
          </cell>
          <cell r="I406">
            <v>809375.76141729148</v>
          </cell>
          <cell r="J406">
            <v>31018650.084085673</v>
          </cell>
          <cell r="K406" t="str">
            <v>AKTIF</v>
          </cell>
        </row>
        <row r="407">
          <cell r="C407" t="str">
            <v>Budi Fitriawan, ST.</v>
          </cell>
          <cell r="D407" t="str">
            <v>DMH</v>
          </cell>
          <cell r="E407">
            <v>0</v>
          </cell>
          <cell r="F407">
            <v>29150000</v>
          </cell>
          <cell r="G407">
            <v>75000</v>
          </cell>
          <cell r="H407">
            <v>1800485.0120816934</v>
          </cell>
          <cell r="I407">
            <v>809554.10654307914</v>
          </cell>
          <cell r="J407">
            <v>31025485.012081694</v>
          </cell>
          <cell r="K407" t="str">
            <v>AKTIF</v>
          </cell>
        </row>
        <row r="408">
          <cell r="C408" t="str">
            <v>Budiwansyah</v>
          </cell>
          <cell r="D408" t="str">
            <v>PBC</v>
          </cell>
          <cell r="E408">
            <v>0</v>
          </cell>
          <cell r="F408">
            <v>250000</v>
          </cell>
          <cell r="G408">
            <v>0</v>
          </cell>
          <cell r="H408">
            <v>751324</v>
          </cell>
          <cell r="I408">
            <v>26127.744847968526</v>
          </cell>
          <cell r="J408">
            <v>1001324</v>
          </cell>
          <cell r="K408" t="str">
            <v>PASIF</v>
          </cell>
        </row>
        <row r="409">
          <cell r="C409" t="str">
            <v>Busrol</v>
          </cell>
          <cell r="D409" t="str">
            <v>SBU ENI</v>
          </cell>
          <cell r="E409">
            <v>5000</v>
          </cell>
          <cell r="F409">
            <v>20495000</v>
          </cell>
          <cell r="G409">
            <v>0</v>
          </cell>
          <cell r="H409">
            <v>442871.43571855722</v>
          </cell>
          <cell r="I409">
            <v>546466.47963722306</v>
          </cell>
          <cell r="J409">
            <v>20942871.435718559</v>
          </cell>
          <cell r="K409" t="str">
            <v>AKTIF</v>
          </cell>
        </row>
        <row r="410">
          <cell r="C410" t="str">
            <v>Donny Putra Santika</v>
          </cell>
          <cell r="D410" t="str">
            <v>CG</v>
          </cell>
          <cell r="E410">
            <v>5000</v>
          </cell>
          <cell r="F410">
            <v>1970000</v>
          </cell>
          <cell r="G410">
            <v>0</v>
          </cell>
          <cell r="H410">
            <v>1237384.1318850974</v>
          </cell>
          <cell r="I410">
            <v>83821.373453104796</v>
          </cell>
          <cell r="J410">
            <v>3212384.1318850974</v>
          </cell>
          <cell r="K410" t="str">
            <v>PASIF</v>
          </cell>
        </row>
        <row r="411">
          <cell r="C411" t="str">
            <v>Eko Maja Priyanto, ST.</v>
          </cell>
          <cell r="D411" t="str">
            <v>SBU MNO</v>
          </cell>
          <cell r="E411">
            <v>0</v>
          </cell>
          <cell r="F411">
            <v>0</v>
          </cell>
          <cell r="G411">
            <v>0</v>
          </cell>
          <cell r="H411">
            <v>198289</v>
          </cell>
          <cell r="I411">
            <v>5173.9940300630278</v>
          </cell>
          <cell r="J411">
            <v>198289</v>
          </cell>
          <cell r="K411" t="str">
            <v>PASIF</v>
          </cell>
        </row>
        <row r="412">
          <cell r="C412" t="str">
            <v>Fachruddin, ST.</v>
          </cell>
          <cell r="D412" t="str">
            <v>PRB</v>
          </cell>
          <cell r="E412">
            <v>5000</v>
          </cell>
          <cell r="F412">
            <v>29095000</v>
          </cell>
          <cell r="G412">
            <v>0</v>
          </cell>
          <cell r="H412">
            <v>2554138.9236518126</v>
          </cell>
          <cell r="I412">
            <v>825957.69718824641</v>
          </cell>
          <cell r="J412">
            <v>31654138.923651814</v>
          </cell>
          <cell r="K412" t="str">
            <v>AKTIF</v>
          </cell>
        </row>
        <row r="413">
          <cell r="C413" t="str">
            <v>Fachruddin Nur, ST.</v>
          </cell>
          <cell r="D413" t="str">
            <v>R&amp;P</v>
          </cell>
          <cell r="E413">
            <v>0</v>
          </cell>
          <cell r="F413">
            <v>0</v>
          </cell>
          <cell r="G413">
            <v>0</v>
          </cell>
          <cell r="H413">
            <v>-697821.40866634343</v>
          </cell>
          <cell r="I413">
            <v>-18208.391804335253</v>
          </cell>
          <cell r="J413">
            <v>-697821.40866634343</v>
          </cell>
          <cell r="K413" t="str">
            <v>PASIF</v>
          </cell>
        </row>
        <row r="414">
          <cell r="C414" t="str">
            <v>Firmansyah Putra AM, ST.</v>
          </cell>
          <cell r="D414" t="str">
            <v>BJ</v>
          </cell>
          <cell r="E414">
            <v>0</v>
          </cell>
          <cell r="F414">
            <v>0</v>
          </cell>
          <cell r="G414">
            <v>0</v>
          </cell>
          <cell r="H414">
            <v>84388.351282002404</v>
          </cell>
          <cell r="I414">
            <v>2201.9619128642644</v>
          </cell>
          <cell r="J414">
            <v>84388.351282002404</v>
          </cell>
          <cell r="K414" t="str">
            <v>PASIF</v>
          </cell>
        </row>
        <row r="415">
          <cell r="C415" t="str">
            <v>Hendra, ST,</v>
          </cell>
          <cell r="D415" t="str">
            <v>BM</v>
          </cell>
          <cell r="E415">
            <v>5000</v>
          </cell>
          <cell r="F415">
            <v>445000</v>
          </cell>
          <cell r="G415">
            <v>0</v>
          </cell>
          <cell r="H415">
            <v>395283.45205149928</v>
          </cell>
          <cell r="I415">
            <v>22056.14801943388</v>
          </cell>
          <cell r="J415">
            <v>845283.45205149928</v>
          </cell>
          <cell r="K415" t="str">
            <v>PASIF</v>
          </cell>
        </row>
        <row r="416">
          <cell r="C416" t="str">
            <v>Hendra Saputra</v>
          </cell>
          <cell r="D416"/>
          <cell r="E416">
            <v>0</v>
          </cell>
          <cell r="F416">
            <v>0</v>
          </cell>
          <cell r="G416">
            <v>0</v>
          </cell>
          <cell r="H416">
            <v>50040</v>
          </cell>
          <cell r="I416">
            <v>1305.7036006251174</v>
          </cell>
          <cell r="J416">
            <v>50040</v>
          </cell>
          <cell r="K416" t="str">
            <v>PASIF</v>
          </cell>
        </row>
        <row r="417">
          <cell r="C417" t="str">
            <v>I Gusti Ngurah Wira P, ST.</v>
          </cell>
          <cell r="D417" t="str">
            <v>PR</v>
          </cell>
          <cell r="E417">
            <v>0</v>
          </cell>
          <cell r="F417">
            <v>750000</v>
          </cell>
          <cell r="G417">
            <v>0</v>
          </cell>
          <cell r="H417">
            <v>30772.527572895866</v>
          </cell>
          <cell r="I417">
            <v>20372.851729038848</v>
          </cell>
          <cell r="J417">
            <v>780772.52757289587</v>
          </cell>
          <cell r="K417" t="str">
            <v>PASIF</v>
          </cell>
        </row>
        <row r="418">
          <cell r="C418" t="str">
            <v>Indra Mariska Amd.</v>
          </cell>
          <cell r="D418" t="str">
            <v>PBC</v>
          </cell>
          <cell r="E418">
            <v>0</v>
          </cell>
          <cell r="F418">
            <v>100000</v>
          </cell>
          <cell r="G418">
            <v>0</v>
          </cell>
          <cell r="H418">
            <v>728081</v>
          </cell>
          <cell r="I418">
            <v>21607.281041351875</v>
          </cell>
          <cell r="J418">
            <v>828081</v>
          </cell>
          <cell r="K418" t="str">
            <v>PASIF</v>
          </cell>
        </row>
        <row r="419">
          <cell r="C419" t="str">
            <v>Kartika Kushendra, Dr.</v>
          </cell>
          <cell r="D419" t="str">
            <v>TP</v>
          </cell>
          <cell r="E419">
            <v>5000</v>
          </cell>
          <cell r="F419">
            <v>43695000</v>
          </cell>
          <cell r="G419">
            <v>0</v>
          </cell>
          <cell r="H419">
            <v>3503562</v>
          </cell>
          <cell r="I419">
            <v>1231691.8638235605</v>
          </cell>
          <cell r="J419">
            <v>47203562</v>
          </cell>
          <cell r="K419" t="str">
            <v>AKTIF</v>
          </cell>
        </row>
        <row r="420">
          <cell r="C420" t="str">
            <v>Khairul Akbar ST.</v>
          </cell>
          <cell r="D420" t="str">
            <v>PBC</v>
          </cell>
          <cell r="E420">
            <v>5000</v>
          </cell>
          <cell r="F420">
            <v>16295000</v>
          </cell>
          <cell r="G420">
            <v>0</v>
          </cell>
          <cell r="H420">
            <v>2729755.5444167322</v>
          </cell>
          <cell r="I420">
            <v>496547.16893206874</v>
          </cell>
          <cell r="J420">
            <v>19029755.544416733</v>
          </cell>
          <cell r="K420" t="str">
            <v>AKTIF</v>
          </cell>
        </row>
        <row r="421">
          <cell r="C421" t="str">
            <v>LA Ode Abdul Rahman F, ST.</v>
          </cell>
          <cell r="D421" t="str">
            <v>AB</v>
          </cell>
          <cell r="E421">
            <v>5000</v>
          </cell>
          <cell r="F421">
            <v>14370000</v>
          </cell>
          <cell r="G421">
            <v>0</v>
          </cell>
          <cell r="H421">
            <v>3192448.653742149</v>
          </cell>
          <cell r="I421">
            <v>458390.90649456426</v>
          </cell>
          <cell r="J421">
            <v>17567448.653742149</v>
          </cell>
          <cell r="K421" t="str">
            <v>AKTIF</v>
          </cell>
        </row>
        <row r="422">
          <cell r="C422" t="str">
            <v>M. Yudi Oktavianto, ST.</v>
          </cell>
          <cell r="D422" t="str">
            <v>R&amp;P</v>
          </cell>
          <cell r="E422">
            <v>5000</v>
          </cell>
          <cell r="F422">
            <v>28595000</v>
          </cell>
          <cell r="G422">
            <v>100000</v>
          </cell>
          <cell r="H422">
            <v>1536009.213705292</v>
          </cell>
          <cell r="I422">
            <v>788954.15865046415</v>
          </cell>
          <cell r="J422">
            <v>30236009.213705294</v>
          </cell>
          <cell r="K422" t="str">
            <v>AKTIF</v>
          </cell>
        </row>
        <row r="423">
          <cell r="C423" t="str">
            <v>Mahesa Saga, ST.</v>
          </cell>
          <cell r="D423" t="str">
            <v>SV</v>
          </cell>
          <cell r="E423">
            <v>5000</v>
          </cell>
          <cell r="F423">
            <v>24070000</v>
          </cell>
          <cell r="G423">
            <v>300000</v>
          </cell>
          <cell r="H423">
            <v>1296805.8749968708</v>
          </cell>
          <cell r="I423">
            <v>669859.49971088045</v>
          </cell>
          <cell r="J423">
            <v>25671805.874996871</v>
          </cell>
          <cell r="K423" t="str">
            <v>AKTIF</v>
          </cell>
        </row>
        <row r="424">
          <cell r="C424" t="str">
            <v>Muh. Asqar, ST.</v>
          </cell>
          <cell r="D424" t="str">
            <v>SD</v>
          </cell>
          <cell r="E424">
            <v>5000</v>
          </cell>
          <cell r="F424">
            <v>16495000</v>
          </cell>
          <cell r="G424">
            <v>0</v>
          </cell>
          <cell r="H424">
            <v>2845317.885681381</v>
          </cell>
          <cell r="I424">
            <v>504781.19941190368</v>
          </cell>
          <cell r="J424">
            <v>19345317.88568138</v>
          </cell>
          <cell r="K424" t="str">
            <v>AKTIF</v>
          </cell>
        </row>
        <row r="425">
          <cell r="C425" t="str">
            <v>Muhammad Irfan, ST.</v>
          </cell>
          <cell r="D425" t="str">
            <v>R&amp;P</v>
          </cell>
          <cell r="E425">
            <v>0</v>
          </cell>
          <cell r="F425">
            <v>0</v>
          </cell>
          <cell r="G425">
            <v>0</v>
          </cell>
          <cell r="H425">
            <v>398577</v>
          </cell>
          <cell r="I425">
            <v>10400.148361837679</v>
          </cell>
          <cell r="J425">
            <v>398577</v>
          </cell>
          <cell r="K425" t="str">
            <v>PASIF</v>
          </cell>
        </row>
        <row r="426">
          <cell r="C426" t="str">
            <v>Neni Yuniarti</v>
          </cell>
          <cell r="D426" t="str">
            <v>MRKU</v>
          </cell>
          <cell r="E426">
            <v>5000</v>
          </cell>
          <cell r="F426">
            <v>16045000</v>
          </cell>
          <cell r="G426">
            <v>400000</v>
          </cell>
          <cell r="H426">
            <v>1495261.2506256672</v>
          </cell>
          <cell r="I426">
            <v>468249.24518585793</v>
          </cell>
          <cell r="J426">
            <v>17945261.250625666</v>
          </cell>
          <cell r="K426" t="str">
            <v>AKTIF</v>
          </cell>
        </row>
        <row r="427">
          <cell r="C427" t="str">
            <v>Nevi Eko Yuliananto, ST.</v>
          </cell>
          <cell r="D427" t="str">
            <v>PRB</v>
          </cell>
          <cell r="E427">
            <v>5000</v>
          </cell>
          <cell r="F427">
            <v>23820000</v>
          </cell>
          <cell r="G427">
            <v>0</v>
          </cell>
          <cell r="H427">
            <v>1497383.3618177781</v>
          </cell>
          <cell r="I427">
            <v>660741.94907943718</v>
          </cell>
          <cell r="J427">
            <v>25322383.361817777</v>
          </cell>
          <cell r="K427" t="str">
            <v>AKTIF</v>
          </cell>
        </row>
        <row r="428">
          <cell r="C428" t="str">
            <v>Noah Cahyasasnita, ST.</v>
          </cell>
          <cell r="D428" t="str">
            <v>TP</v>
          </cell>
          <cell r="E428">
            <v>5000</v>
          </cell>
          <cell r="F428">
            <v>24970000</v>
          </cell>
          <cell r="G428">
            <v>500000</v>
          </cell>
          <cell r="H428">
            <v>1620680.7916150757</v>
          </cell>
          <cell r="I428">
            <v>707012.94906076416</v>
          </cell>
          <cell r="J428">
            <v>27095680.791615076</v>
          </cell>
          <cell r="K428" t="str">
            <v>AKTIF</v>
          </cell>
        </row>
        <row r="429">
          <cell r="C429" t="str">
            <v>Ridwan Ahmad Fauzi, ST.</v>
          </cell>
          <cell r="D429" t="str">
            <v>SB</v>
          </cell>
          <cell r="E429">
            <v>5000</v>
          </cell>
          <cell r="F429">
            <v>17845000</v>
          </cell>
          <cell r="G429">
            <v>0</v>
          </cell>
          <cell r="H429">
            <v>3639691.3211036818</v>
          </cell>
          <cell r="I429">
            <v>560734.75887864537</v>
          </cell>
          <cell r="J429">
            <v>21489691.321103681</v>
          </cell>
          <cell r="K429" t="str">
            <v>AKTIF</v>
          </cell>
        </row>
        <row r="430">
          <cell r="C430" t="str">
            <v>Riska Deriani M, ST.</v>
          </cell>
          <cell r="D430" t="str">
            <v>R&amp;P</v>
          </cell>
          <cell r="E430">
            <v>5000</v>
          </cell>
          <cell r="F430">
            <v>28895000</v>
          </cell>
          <cell r="G430">
            <v>300000</v>
          </cell>
          <cell r="H430">
            <v>1673308.7382874032</v>
          </cell>
          <cell r="I430">
            <v>805583.3409830688</v>
          </cell>
          <cell r="J430">
            <v>30873308.738287404</v>
          </cell>
          <cell r="K430" t="str">
            <v>AKTIF</v>
          </cell>
        </row>
        <row r="431">
          <cell r="C431" t="str">
            <v>Riswan Akbar, ST.</v>
          </cell>
          <cell r="D431" t="str">
            <v>TP</v>
          </cell>
          <cell r="E431">
            <v>5000</v>
          </cell>
          <cell r="F431">
            <v>24995000</v>
          </cell>
          <cell r="G431">
            <v>500000</v>
          </cell>
          <cell r="H431">
            <v>2186286.5953333792</v>
          </cell>
          <cell r="I431">
            <v>722423.74291498237</v>
          </cell>
          <cell r="J431">
            <v>27686286.595333379</v>
          </cell>
          <cell r="K431" t="str">
            <v>AKTIF</v>
          </cell>
        </row>
        <row r="432">
          <cell r="C432" t="str">
            <v>Ruri Apridah</v>
          </cell>
          <cell r="D432" t="str">
            <v>BNC</v>
          </cell>
          <cell r="E432">
            <v>0</v>
          </cell>
          <cell r="F432">
            <v>0</v>
          </cell>
          <cell r="G432">
            <v>0</v>
          </cell>
          <cell r="H432">
            <v>70189.260350375902</v>
          </cell>
          <cell r="I432">
            <v>1831.4622295103838</v>
          </cell>
          <cell r="J432">
            <v>70189.260350375902</v>
          </cell>
          <cell r="K432" t="str">
            <v>PASIF</v>
          </cell>
        </row>
        <row r="433">
          <cell r="C433" t="str">
            <v>Sigit Suhakso</v>
          </cell>
          <cell r="D433" t="str">
            <v>SBU ENI</v>
          </cell>
          <cell r="E433">
            <v>0</v>
          </cell>
          <cell r="F433">
            <v>0</v>
          </cell>
          <cell r="G433">
            <v>0</v>
          </cell>
          <cell r="H433">
            <v>163088.17036131863</v>
          </cell>
          <cell r="I433">
            <v>4255.4918317373358</v>
          </cell>
          <cell r="J433">
            <v>163088.17036131863</v>
          </cell>
          <cell r="K433" t="str">
            <v>PASIF</v>
          </cell>
        </row>
        <row r="434">
          <cell r="C434" t="str">
            <v>Suwandy, ST.</v>
          </cell>
          <cell r="D434" t="str">
            <v>BM</v>
          </cell>
          <cell r="E434">
            <v>0</v>
          </cell>
          <cell r="F434">
            <v>-750000</v>
          </cell>
          <cell r="G434">
            <v>0</v>
          </cell>
          <cell r="H434">
            <v>223068.70769950375</v>
          </cell>
          <cell r="I434">
            <v>-13749.322254972105</v>
          </cell>
          <cell r="J434">
            <v>-526931.29230049625</v>
          </cell>
          <cell r="K434" t="str">
            <v>PASIF</v>
          </cell>
        </row>
        <row r="435">
          <cell r="C435" t="str">
            <v>Syari Dodi A.Yani</v>
          </cell>
          <cell r="D435" t="str">
            <v>BNC</v>
          </cell>
          <cell r="E435">
            <v>0</v>
          </cell>
          <cell r="F435">
            <v>-1200000</v>
          </cell>
          <cell r="G435">
            <v>0</v>
          </cell>
          <cell r="H435">
            <v>20951.260350375902</v>
          </cell>
          <cell r="I435">
            <v>-30765.151572202656</v>
          </cell>
          <cell r="J435">
            <v>-1179048.7396496241</v>
          </cell>
          <cell r="K435" t="str">
            <v>PASIF</v>
          </cell>
        </row>
        <row r="436">
          <cell r="C436" t="str">
            <v>Syariful Mahsyar, ST.</v>
          </cell>
          <cell r="D436" t="str">
            <v>SD</v>
          </cell>
          <cell r="E436">
            <v>5000</v>
          </cell>
          <cell r="F436">
            <v>18095000</v>
          </cell>
          <cell r="G436">
            <v>0</v>
          </cell>
          <cell r="H436">
            <v>3647552.1499594441</v>
          </cell>
          <cell r="I436">
            <v>567463.17240176979</v>
          </cell>
          <cell r="J436">
            <v>21747552.149959445</v>
          </cell>
          <cell r="K436" t="str">
            <v>AKTIF</v>
          </cell>
        </row>
        <row r="437">
          <cell r="C437" t="str">
            <v>Trian Indrawan, ST.</v>
          </cell>
          <cell r="D437" t="str">
            <v>DOC</v>
          </cell>
          <cell r="E437">
            <v>0</v>
          </cell>
          <cell r="F437">
            <v>0</v>
          </cell>
          <cell r="G437">
            <v>0</v>
          </cell>
          <cell r="H437">
            <v>111996.61411527847</v>
          </cell>
          <cell r="I437">
            <v>2922.3497663497392</v>
          </cell>
          <cell r="J437">
            <v>111996.61411527847</v>
          </cell>
          <cell r="K437" t="str">
            <v>PASIF</v>
          </cell>
        </row>
        <row r="438">
          <cell r="C438" t="str">
            <v>Wanginingastuti M, ST.</v>
          </cell>
          <cell r="D438" t="str">
            <v>R&amp;P</v>
          </cell>
          <cell r="E438">
            <v>0</v>
          </cell>
          <cell r="F438">
            <v>23375000</v>
          </cell>
          <cell r="G438">
            <v>0</v>
          </cell>
          <cell r="H438">
            <v>1373896.9821841144</v>
          </cell>
          <cell r="I438">
            <v>645777.85573816753</v>
          </cell>
          <cell r="J438">
            <v>24748896.982184116</v>
          </cell>
          <cell r="K438" t="str">
            <v>AKTIF</v>
          </cell>
        </row>
        <row r="439">
          <cell r="C439" t="str">
            <v>Zainal ST.</v>
          </cell>
          <cell r="D439" t="str">
            <v>PBC</v>
          </cell>
          <cell r="E439">
            <v>5000</v>
          </cell>
          <cell r="F439">
            <v>15895000</v>
          </cell>
          <cell r="G439">
            <v>0</v>
          </cell>
          <cell r="H439">
            <v>3768577.5877324766</v>
          </cell>
          <cell r="I439">
            <v>513216.07864661829</v>
          </cell>
          <cell r="J439">
            <v>19668577.587732475</v>
          </cell>
          <cell r="K439" t="str">
            <v>AKTIF</v>
          </cell>
        </row>
        <row r="440">
          <cell r="C440" t="str">
            <v>Jakaria</v>
          </cell>
          <cell r="D440" t="str">
            <v>STA</v>
          </cell>
          <cell r="E440">
            <v>0</v>
          </cell>
          <cell r="F440">
            <v>0</v>
          </cell>
          <cell r="G440">
            <v>0</v>
          </cell>
          <cell r="H440">
            <v>910266</v>
          </cell>
          <cell r="I440">
            <v>23751.750474153141</v>
          </cell>
          <cell r="J440">
            <v>910266</v>
          </cell>
          <cell r="K440" t="str">
            <v>PASIF</v>
          </cell>
        </row>
        <row r="441">
          <cell r="C441" t="str">
            <v>Hendro Lukito</v>
          </cell>
          <cell r="D441" t="str">
            <v>PBC</v>
          </cell>
          <cell r="E441">
            <v>0</v>
          </cell>
          <cell r="F441">
            <v>100000</v>
          </cell>
          <cell r="G441">
            <v>0</v>
          </cell>
          <cell r="H441">
            <v>745169</v>
          </cell>
          <cell r="I441">
            <v>22053.161599455034</v>
          </cell>
          <cell r="J441">
            <v>845169</v>
          </cell>
          <cell r="K441" t="str">
            <v>PASIF</v>
          </cell>
        </row>
        <row r="442">
          <cell r="C442" t="str">
            <v>Lucky Lukman Nur Hakim</v>
          </cell>
          <cell r="D442" t="str">
            <v>BALIKPAPAN</v>
          </cell>
          <cell r="E442">
            <v>5000</v>
          </cell>
          <cell r="F442">
            <v>4495000</v>
          </cell>
          <cell r="G442">
            <v>100000</v>
          </cell>
          <cell r="H442">
            <v>836517.0357998726</v>
          </cell>
          <cell r="I442">
            <v>141856.11248008959</v>
          </cell>
          <cell r="J442">
            <v>5436517.0357998721</v>
          </cell>
          <cell r="K442" t="str">
            <v>PASIF</v>
          </cell>
        </row>
        <row r="443">
          <cell r="C443" t="str">
            <v>Hendry Kurniawan</v>
          </cell>
          <cell r="D443" t="str">
            <v>STA</v>
          </cell>
          <cell r="E443">
            <v>0</v>
          </cell>
          <cell r="F443">
            <v>0</v>
          </cell>
          <cell r="G443">
            <v>0</v>
          </cell>
          <cell r="H443">
            <v>108834.9780465333</v>
          </cell>
          <cell r="I443">
            <v>2839.8525721285801</v>
          </cell>
          <cell r="J443">
            <v>108834.9780465333</v>
          </cell>
          <cell r="K443" t="str">
            <v>PASIF</v>
          </cell>
        </row>
        <row r="444">
          <cell r="C444" t="str">
            <v>Capt. Iman Satria Utama</v>
          </cell>
          <cell r="D444" t="str">
            <v>-</v>
          </cell>
          <cell r="E444">
            <v>5000</v>
          </cell>
          <cell r="F444">
            <v>12995000</v>
          </cell>
          <cell r="G444">
            <v>0</v>
          </cell>
          <cell r="H444">
            <v>6535899.1132524144</v>
          </cell>
          <cell r="I444">
            <v>509754.07301404316</v>
          </cell>
          <cell r="J444">
            <v>19535899.113252416</v>
          </cell>
          <cell r="K444" t="str">
            <v>PASIF</v>
          </cell>
        </row>
        <row r="445">
          <cell r="C445" t="str">
            <v>Muhammad Rizky Satrio</v>
          </cell>
          <cell r="D445" t="str">
            <v>PU</v>
          </cell>
          <cell r="E445">
            <v>5000</v>
          </cell>
          <cell r="F445">
            <v>14295000</v>
          </cell>
          <cell r="G445">
            <v>100000</v>
          </cell>
          <cell r="H445">
            <v>1313153.3587346759</v>
          </cell>
          <cell r="I445">
            <v>410006.41322291218</v>
          </cell>
          <cell r="J445">
            <v>15713153.358734677</v>
          </cell>
          <cell r="K445" t="str">
            <v>AKTIF</v>
          </cell>
        </row>
        <row r="446">
          <cell r="C446" t="str">
            <v>Abdur Rahman, S.T</v>
          </cell>
          <cell r="D446" t="str">
            <v>MRKU</v>
          </cell>
          <cell r="E446">
            <v>5000</v>
          </cell>
          <cell r="F446">
            <v>45839480</v>
          </cell>
          <cell r="G446">
            <v>1110000</v>
          </cell>
          <cell r="H446">
            <v>834578.11715491489</v>
          </cell>
          <cell r="I446">
            <v>1246969.3296173494</v>
          </cell>
          <cell r="J446">
            <v>47789058.117154911</v>
          </cell>
          <cell r="K446" t="str">
            <v>AKTIF</v>
          </cell>
        </row>
        <row r="447">
          <cell r="C447" t="str">
            <v>Sari Gita Tantini</v>
          </cell>
          <cell r="D447" t="str">
            <v>SPI</v>
          </cell>
          <cell r="E447">
            <v>0</v>
          </cell>
          <cell r="F447">
            <v>17175000</v>
          </cell>
          <cell r="G447">
            <v>1220000</v>
          </cell>
          <cell r="H447">
            <v>961964.85773823084</v>
          </cell>
          <cell r="I447">
            <v>505085.10615353059</v>
          </cell>
          <cell r="J447">
            <v>19356964.85773823</v>
          </cell>
          <cell r="K447" t="str">
            <v>AKTIF</v>
          </cell>
        </row>
        <row r="448">
          <cell r="C448" t="str">
            <v>Dwi Cahyo Kurniawan</v>
          </cell>
          <cell r="D448" t="str">
            <v>MS</v>
          </cell>
          <cell r="E448">
            <v>5000</v>
          </cell>
          <cell r="F448">
            <v>17320000</v>
          </cell>
          <cell r="G448">
            <v>400000</v>
          </cell>
          <cell r="H448">
            <v>910168.13301185262</v>
          </cell>
          <cell r="I448">
            <v>486251.12169320585</v>
          </cell>
          <cell r="J448">
            <v>18635168.133011851</v>
          </cell>
          <cell r="K448" t="str">
            <v>AKTIF</v>
          </cell>
        </row>
        <row r="449">
          <cell r="C449" t="str">
            <v>Bayu Indra Purbaya</v>
          </cell>
          <cell r="D449" t="str">
            <v>KU</v>
          </cell>
          <cell r="E449">
            <v>0</v>
          </cell>
          <cell r="F449">
            <v>0</v>
          </cell>
          <cell r="G449">
            <v>0</v>
          </cell>
          <cell r="H449">
            <v>742883</v>
          </cell>
          <cell r="I449">
            <v>19384.192804620085</v>
          </cell>
          <cell r="J449">
            <v>742883</v>
          </cell>
          <cell r="K449" t="str">
            <v>PASIF</v>
          </cell>
        </row>
        <row r="450">
          <cell r="C450" t="str">
            <v>Riki Sanjaya</v>
          </cell>
          <cell r="D450" t="str">
            <v>-</v>
          </cell>
          <cell r="E450">
            <v>5000</v>
          </cell>
          <cell r="F450">
            <v>445000</v>
          </cell>
          <cell r="G450">
            <v>0</v>
          </cell>
          <cell r="H450">
            <v>308415.6696519719</v>
          </cell>
          <cell r="I450">
            <v>19789.489820845109</v>
          </cell>
          <cell r="J450">
            <v>758415.6696519719</v>
          </cell>
          <cell r="K450" t="str">
            <v>PASIF</v>
          </cell>
        </row>
        <row r="451">
          <cell r="C451" t="str">
            <v>Agus Sunarto</v>
          </cell>
          <cell r="D451" t="str">
            <v>SBU ENI</v>
          </cell>
          <cell r="E451">
            <v>5000</v>
          </cell>
          <cell r="F451">
            <v>16975000</v>
          </cell>
          <cell r="G451">
            <v>0</v>
          </cell>
          <cell r="H451">
            <v>1276551.8322601626</v>
          </cell>
          <cell r="I451">
            <v>476371.81179818499</v>
          </cell>
          <cell r="J451">
            <v>18256551.832260162</v>
          </cell>
          <cell r="K451" t="str">
            <v>AKTIF</v>
          </cell>
        </row>
        <row r="452">
          <cell r="C452" t="str">
            <v>May Setiawan</v>
          </cell>
          <cell r="D452" t="str">
            <v>SBU ENI</v>
          </cell>
          <cell r="E452">
            <v>0</v>
          </cell>
          <cell r="F452">
            <v>0</v>
          </cell>
          <cell r="G452">
            <v>0</v>
          </cell>
          <cell r="H452">
            <v>62041</v>
          </cell>
          <cell r="I452">
            <v>1618.8480632770365</v>
          </cell>
          <cell r="J452">
            <v>62041</v>
          </cell>
          <cell r="K452" t="str">
            <v xml:space="preserve">BUKAN ANGGOTA </v>
          </cell>
        </row>
        <row r="453">
          <cell r="C453" t="str">
            <v>Slamet Apriadi</v>
          </cell>
          <cell r="D453" t="str">
            <v>MAC</v>
          </cell>
          <cell r="E453">
            <v>0</v>
          </cell>
          <cell r="F453">
            <v>0</v>
          </cell>
          <cell r="G453">
            <v>0</v>
          </cell>
          <cell r="H453">
            <v>354015.87034101144</v>
          </cell>
          <cell r="I453">
            <v>9237.4060068483886</v>
          </cell>
          <cell r="J453">
            <v>354015.87034101144</v>
          </cell>
          <cell r="K453" t="str">
            <v>PASIF</v>
          </cell>
        </row>
        <row r="454">
          <cell r="C454" t="str">
            <v>Agah Dirgapatria D, ST</v>
          </cell>
          <cell r="D454" t="str">
            <v>R&amp;P</v>
          </cell>
          <cell r="E454">
            <v>5000</v>
          </cell>
          <cell r="F454">
            <v>38495000</v>
          </cell>
          <cell r="G454">
            <v>0</v>
          </cell>
          <cell r="H454">
            <v>1592411.4747775474</v>
          </cell>
          <cell r="I454">
            <v>1046139.2090399844</v>
          </cell>
          <cell r="J454">
            <v>40092411.47477755</v>
          </cell>
          <cell r="K454" t="str">
            <v>AKTIF</v>
          </cell>
        </row>
        <row r="455">
          <cell r="C455" t="str">
            <v>Afif Amrullah, ST</v>
          </cell>
          <cell r="D455" t="str">
            <v>STA</v>
          </cell>
          <cell r="E455">
            <v>5000</v>
          </cell>
          <cell r="F455">
            <v>26545000</v>
          </cell>
          <cell r="G455">
            <v>0</v>
          </cell>
          <cell r="H455">
            <v>1059114.3674471397</v>
          </cell>
          <cell r="I455">
            <v>720410.07273473998</v>
          </cell>
          <cell r="J455">
            <v>27609114.367447138</v>
          </cell>
          <cell r="K455" t="str">
            <v>AKTIF</v>
          </cell>
        </row>
        <row r="456">
          <cell r="C456" t="str">
            <v>Andik Eko Saputro, ST</v>
          </cell>
          <cell r="D456" t="str">
            <v>STA</v>
          </cell>
          <cell r="E456">
            <v>0</v>
          </cell>
          <cell r="F456">
            <v>0</v>
          </cell>
          <cell r="G456">
            <v>0</v>
          </cell>
          <cell r="H456">
            <v>95613.23647030734</v>
          </cell>
          <cell r="I456">
            <v>2494.8550584872319</v>
          </cell>
          <cell r="J456">
            <v>95613.23647030734</v>
          </cell>
          <cell r="K456" t="str">
            <v>PASIF</v>
          </cell>
        </row>
        <row r="457">
          <cell r="C457" t="str">
            <v>Nomo Prihasta, ST</v>
          </cell>
          <cell r="D457" t="str">
            <v>STA</v>
          </cell>
          <cell r="E457">
            <v>0</v>
          </cell>
          <cell r="F457">
            <v>26625000</v>
          </cell>
          <cell r="G457">
            <v>0</v>
          </cell>
          <cell r="H457">
            <v>1074590.3525207075</v>
          </cell>
          <cell r="I457">
            <v>722770.88047815859</v>
          </cell>
          <cell r="J457">
            <v>27699590.352520708</v>
          </cell>
          <cell r="K457" t="str">
            <v>AKTIF</v>
          </cell>
        </row>
        <row r="458">
          <cell r="C458" t="str">
            <v>Wawan Widiatmoko, ST</v>
          </cell>
          <cell r="D458" t="str">
            <v>STA</v>
          </cell>
          <cell r="E458">
            <v>0</v>
          </cell>
          <cell r="F458">
            <v>0</v>
          </cell>
          <cell r="G458">
            <v>0</v>
          </cell>
          <cell r="H458">
            <v>90567.651081740391</v>
          </cell>
          <cell r="I458">
            <v>2363.1996026696193</v>
          </cell>
          <cell r="J458">
            <v>90567.651081740391</v>
          </cell>
          <cell r="K458" t="str">
            <v>PASIF</v>
          </cell>
        </row>
        <row r="459">
          <cell r="C459" t="str">
            <v>Taufik Akbar, ST</v>
          </cell>
          <cell r="D459" t="str">
            <v>M&amp;K</v>
          </cell>
          <cell r="E459">
            <v>5000</v>
          </cell>
          <cell r="F459">
            <v>26420000</v>
          </cell>
          <cell r="G459">
            <v>0</v>
          </cell>
          <cell r="H459">
            <v>1055515.7900904841</v>
          </cell>
          <cell r="I459">
            <v>717054.52466340002</v>
          </cell>
          <cell r="J459">
            <v>27480515.790090483</v>
          </cell>
          <cell r="K459" t="str">
            <v>AKTIF</v>
          </cell>
        </row>
        <row r="460">
          <cell r="C460" t="str">
            <v>Abdul Kholick, ST</v>
          </cell>
          <cell r="D460" t="str">
            <v>SD</v>
          </cell>
          <cell r="E460">
            <v>5000</v>
          </cell>
          <cell r="F460">
            <v>10745000</v>
          </cell>
          <cell r="G460">
            <v>0</v>
          </cell>
          <cell r="H460">
            <v>791063.56150995125</v>
          </cell>
          <cell r="I460">
            <v>301143.25034586102</v>
          </cell>
          <cell r="J460">
            <v>11541063.561509952</v>
          </cell>
          <cell r="K460" t="str">
            <v>AKTIF</v>
          </cell>
        </row>
        <row r="461">
          <cell r="C461" t="str">
            <v>Agus Ericson Sianipar, ST</v>
          </cell>
          <cell r="D461" t="str">
            <v>SR</v>
          </cell>
          <cell r="E461">
            <v>5000</v>
          </cell>
          <cell r="F461">
            <v>25995000</v>
          </cell>
          <cell r="G461">
            <v>0</v>
          </cell>
          <cell r="H461">
            <v>2972761.0328543242</v>
          </cell>
          <cell r="I461">
            <v>755991.97443343303</v>
          </cell>
          <cell r="J461">
            <v>28972761.032854326</v>
          </cell>
          <cell r="K461" t="str">
            <v>AKTIF</v>
          </cell>
        </row>
        <row r="462">
          <cell r="C462" t="str">
            <v>Alfan Fadhli, ST</v>
          </cell>
          <cell r="D462" t="str">
            <v>-</v>
          </cell>
          <cell r="E462">
            <v>0</v>
          </cell>
          <cell r="F462">
            <v>0</v>
          </cell>
          <cell r="G462">
            <v>0</v>
          </cell>
          <cell r="H462">
            <v>2923</v>
          </cell>
          <cell r="I462">
            <v>76.270416159616673</v>
          </cell>
          <cell r="J462">
            <v>2923</v>
          </cell>
          <cell r="K462" t="str">
            <v>PASIF</v>
          </cell>
        </row>
        <row r="463">
          <cell r="C463" t="str">
            <v>Amir Hamzah, ST</v>
          </cell>
          <cell r="D463" t="str">
            <v>PK</v>
          </cell>
          <cell r="E463">
            <v>5000</v>
          </cell>
          <cell r="F463">
            <v>7495000</v>
          </cell>
          <cell r="G463">
            <v>0</v>
          </cell>
          <cell r="H463">
            <v>2459628.8530594883</v>
          </cell>
          <cell r="I463">
            <v>259878.56223680225</v>
          </cell>
          <cell r="J463">
            <v>9959628.8530594893</v>
          </cell>
          <cell r="K463" t="str">
            <v>PASIF</v>
          </cell>
        </row>
        <row r="464">
          <cell r="C464" t="str">
            <v>Arifin Gustian Pramoko, ST</v>
          </cell>
          <cell r="D464" t="str">
            <v>SB</v>
          </cell>
          <cell r="E464">
            <v>5000</v>
          </cell>
          <cell r="F464">
            <v>11320000</v>
          </cell>
          <cell r="G464">
            <v>0</v>
          </cell>
          <cell r="H464">
            <v>594556.26212195097</v>
          </cell>
          <cell r="I464">
            <v>311019.33511803154</v>
          </cell>
          <cell r="J464">
            <v>11919556.262121951</v>
          </cell>
          <cell r="K464" t="str">
            <v>AKTIF</v>
          </cell>
        </row>
        <row r="465">
          <cell r="C465" t="str">
            <v>Eka Nanda Pratama S, ST</v>
          </cell>
          <cell r="D465" t="str">
            <v>BJ</v>
          </cell>
          <cell r="E465">
            <v>5000</v>
          </cell>
          <cell r="F465">
            <v>21170000</v>
          </cell>
          <cell r="G465">
            <v>0</v>
          </cell>
          <cell r="H465">
            <v>2332832.4063814906</v>
          </cell>
          <cell r="I465">
            <v>613394.51270791632</v>
          </cell>
          <cell r="J465">
            <v>23507832.406381492</v>
          </cell>
          <cell r="K465" t="str">
            <v>AKTIF</v>
          </cell>
        </row>
        <row r="466">
          <cell r="C466" t="str">
            <v>Ferry Fadli, ST</v>
          </cell>
          <cell r="D466" t="str">
            <v>BJ</v>
          </cell>
          <cell r="E466">
            <v>0</v>
          </cell>
          <cell r="F466">
            <v>0</v>
          </cell>
          <cell r="G466">
            <v>0</v>
          </cell>
          <cell r="H466">
            <v>474823.62392520159</v>
          </cell>
          <cell r="I466">
            <v>12389.666575159919</v>
          </cell>
          <cell r="J466">
            <v>474823.62392520159</v>
          </cell>
          <cell r="K466" t="str">
            <v>PASIF</v>
          </cell>
        </row>
        <row r="467">
          <cell r="C467" t="str">
            <v>Gary Simon</v>
          </cell>
          <cell r="D467" t="str">
            <v>DOK</v>
          </cell>
          <cell r="E467">
            <v>0</v>
          </cell>
          <cell r="F467">
            <v>1500000</v>
          </cell>
          <cell r="G467">
            <v>0</v>
          </cell>
          <cell r="H467">
            <v>61546</v>
          </cell>
          <cell r="I467">
            <v>40745.728112345118</v>
          </cell>
          <cell r="J467">
            <v>1561546</v>
          </cell>
          <cell r="K467" t="str">
            <v>PASIF</v>
          </cell>
        </row>
        <row r="468">
          <cell r="C468" t="str">
            <v>I Nyoman Eriksandika P, ST</v>
          </cell>
          <cell r="D468" t="str">
            <v>CG</v>
          </cell>
          <cell r="E468">
            <v>0</v>
          </cell>
          <cell r="F468">
            <v>225000</v>
          </cell>
          <cell r="G468">
            <v>0</v>
          </cell>
          <cell r="H468">
            <v>485458.02095881535</v>
          </cell>
          <cell r="I468">
            <v>18538.121424039175</v>
          </cell>
          <cell r="J468">
            <v>710458.02095881535</v>
          </cell>
          <cell r="K468" t="str">
            <v>PASIF</v>
          </cell>
        </row>
        <row r="469">
          <cell r="C469" t="str">
            <v>La Ode Abdul Haslan P, ST</v>
          </cell>
          <cell r="D469" t="str">
            <v>PB</v>
          </cell>
          <cell r="E469">
            <v>0</v>
          </cell>
          <cell r="F469">
            <v>0</v>
          </cell>
          <cell r="G469">
            <v>0</v>
          </cell>
          <cell r="H469">
            <v>967161.31484213378</v>
          </cell>
          <cell r="I469">
            <v>25236.331158567085</v>
          </cell>
          <cell r="J469">
            <v>967161.31484213378</v>
          </cell>
          <cell r="K469" t="str">
            <v>PASIF</v>
          </cell>
        </row>
        <row r="470">
          <cell r="C470" t="str">
            <v>Sandi Nandarianto, ST</v>
          </cell>
          <cell r="D470" t="str">
            <v>PHP</v>
          </cell>
          <cell r="E470">
            <v>0</v>
          </cell>
          <cell r="F470">
            <v>25000000</v>
          </cell>
          <cell r="G470">
            <v>350000</v>
          </cell>
          <cell r="H470">
            <v>928189.93598511256</v>
          </cell>
          <cell r="I470">
            <v>685681.99874753167</v>
          </cell>
          <cell r="J470">
            <v>26278189.935985111</v>
          </cell>
          <cell r="K470" t="str">
            <v>AKTIF</v>
          </cell>
        </row>
        <row r="471">
          <cell r="C471" t="str">
            <v>Sang Lanang S, ST</v>
          </cell>
          <cell r="D471" t="str">
            <v>SV</v>
          </cell>
          <cell r="E471">
            <v>0</v>
          </cell>
          <cell r="F471">
            <v>23775000</v>
          </cell>
          <cell r="G471">
            <v>0</v>
          </cell>
          <cell r="H471">
            <v>1122956.2192475046</v>
          </cell>
          <cell r="I471">
            <v>649667.28784328548</v>
          </cell>
          <cell r="J471">
            <v>24897956.219247505</v>
          </cell>
          <cell r="K471" t="str">
            <v>AKTIF</v>
          </cell>
        </row>
        <row r="472">
          <cell r="C472" t="str">
            <v>Sigit Pamungkas, ST</v>
          </cell>
          <cell r="D472" t="str">
            <v>BJ</v>
          </cell>
          <cell r="E472">
            <v>0</v>
          </cell>
          <cell r="F472">
            <v>0</v>
          </cell>
          <cell r="G472">
            <v>0</v>
          </cell>
          <cell r="H472">
            <v>144090.19320884394</v>
          </cell>
          <cell r="I472">
            <v>3759.7738626609985</v>
          </cell>
          <cell r="J472">
            <v>144090.19320884394</v>
          </cell>
          <cell r="K472" t="str">
            <v>PASIF</v>
          </cell>
        </row>
        <row r="473">
          <cell r="C473" t="str">
            <v>Yogia Rivaldhi, ST</v>
          </cell>
          <cell r="D473" t="str">
            <v>PK</v>
          </cell>
          <cell r="E473">
            <v>5000</v>
          </cell>
          <cell r="F473">
            <v>5995000</v>
          </cell>
          <cell r="G473">
            <v>0</v>
          </cell>
          <cell r="H473">
            <v>1754634.0919973422</v>
          </cell>
          <cell r="I473">
            <v>202343.1985501842</v>
          </cell>
          <cell r="J473">
            <v>7754634.0919973422</v>
          </cell>
          <cell r="K473" t="str">
            <v>PASIF</v>
          </cell>
        </row>
        <row r="474">
          <cell r="C474" t="str">
            <v>Bambang Firdiansyah H. K, ST</v>
          </cell>
          <cell r="D474" t="str">
            <v>BP</v>
          </cell>
          <cell r="E474">
            <v>0</v>
          </cell>
          <cell r="F474">
            <v>0</v>
          </cell>
          <cell r="G474">
            <v>0</v>
          </cell>
          <cell r="H474">
            <v>994670</v>
          </cell>
          <cell r="I474">
            <v>25954.120712106025</v>
          </cell>
          <cell r="J474">
            <v>994670</v>
          </cell>
          <cell r="K474" t="str">
            <v>PASIF</v>
          </cell>
        </row>
        <row r="475">
          <cell r="C475" t="str">
            <v xml:space="preserve">Septi Wulandari, </v>
          </cell>
          <cell r="D475" t="str">
            <v>-</v>
          </cell>
          <cell r="E475">
            <v>0</v>
          </cell>
          <cell r="F475">
            <v>3625000</v>
          </cell>
          <cell r="G475">
            <v>0</v>
          </cell>
          <cell r="H475">
            <v>1627635.741716404</v>
          </cell>
          <cell r="I475">
            <v>137058.06156537356</v>
          </cell>
          <cell r="J475">
            <v>5252635.7417164035</v>
          </cell>
          <cell r="K475" t="str">
            <v>PASIF</v>
          </cell>
        </row>
        <row r="476">
          <cell r="C476" t="str">
            <v>Irawati, ST</v>
          </cell>
          <cell r="D476" t="str">
            <v>STA</v>
          </cell>
          <cell r="E476">
            <v>5000</v>
          </cell>
          <cell r="F476">
            <v>26520000</v>
          </cell>
          <cell r="G476">
            <v>1050000</v>
          </cell>
          <cell r="H476">
            <v>1131400.3150375804</v>
          </cell>
          <cell r="I476">
            <v>749041.77162930812</v>
          </cell>
          <cell r="J476">
            <v>28706400.315037582</v>
          </cell>
          <cell r="K476" t="str">
            <v>AKTIF</v>
          </cell>
        </row>
        <row r="477">
          <cell r="C477" t="str">
            <v>Gde Sandhyana P, S.KOM</v>
          </cell>
          <cell r="D477" t="str">
            <v>SEKPER</v>
          </cell>
          <cell r="E477">
            <v>5000</v>
          </cell>
          <cell r="F477">
            <v>16420000</v>
          </cell>
          <cell r="G477">
            <v>200000</v>
          </cell>
          <cell r="H477">
            <v>1466405.9425771008</v>
          </cell>
          <cell r="I477">
            <v>472062.62748987944</v>
          </cell>
          <cell r="J477">
            <v>18091405.942577101</v>
          </cell>
          <cell r="K477" t="str">
            <v>AKTIF</v>
          </cell>
        </row>
        <row r="478">
          <cell r="C478" t="str">
            <v>Ndaru Triwibowo</v>
          </cell>
          <cell r="D478" t="str">
            <v>KU</v>
          </cell>
          <cell r="E478">
            <v>0</v>
          </cell>
          <cell r="F478">
            <v>0</v>
          </cell>
          <cell r="G478">
            <v>0</v>
          </cell>
          <cell r="H478">
            <v>44519.607713351434</v>
          </cell>
          <cell r="I478">
            <v>1161.6589146630838</v>
          </cell>
          <cell r="J478">
            <v>44519.607713351434</v>
          </cell>
          <cell r="K478" t="str">
            <v>PASIF</v>
          </cell>
        </row>
        <row r="479">
          <cell r="C479" t="str">
            <v>Hardian, S.KOM.</v>
          </cell>
          <cell r="D479" t="str">
            <v>DMH</v>
          </cell>
          <cell r="E479">
            <v>5000</v>
          </cell>
          <cell r="F479">
            <v>25995000</v>
          </cell>
          <cell r="G479">
            <v>2100000</v>
          </cell>
          <cell r="H479">
            <v>988497.29800598649</v>
          </cell>
          <cell r="I479">
            <v>759011.90365268616</v>
          </cell>
          <cell r="J479">
            <v>29088497.298005987</v>
          </cell>
          <cell r="K479" t="str">
            <v>AKTIF</v>
          </cell>
        </row>
        <row r="480">
          <cell r="C480" t="str">
            <v>Muhamad Sofian Ibrahim</v>
          </cell>
          <cell r="D480" t="str">
            <v>SBU ENI</v>
          </cell>
          <cell r="E480">
            <v>10000</v>
          </cell>
          <cell r="F480">
            <v>15107047</v>
          </cell>
          <cell r="G480">
            <v>1345000</v>
          </cell>
          <cell r="H480">
            <v>564955.48804120847</v>
          </cell>
          <cell r="I480">
            <v>444288.93797938124</v>
          </cell>
          <cell r="J480">
            <v>17027002.488041207</v>
          </cell>
          <cell r="K480" t="str">
            <v>AKTIF</v>
          </cell>
        </row>
        <row r="481">
          <cell r="C481" t="str">
            <v>Aziz Husain</v>
          </cell>
          <cell r="D481" t="str">
            <v>BMC</v>
          </cell>
          <cell r="E481">
            <v>5000</v>
          </cell>
          <cell r="F481">
            <v>2395000</v>
          </cell>
          <cell r="G481">
            <v>0</v>
          </cell>
          <cell r="H481">
            <v>1361198.3678363001</v>
          </cell>
          <cell r="I481">
            <v>98141.691677641327</v>
          </cell>
          <cell r="J481">
            <v>3761198.3678363003</v>
          </cell>
          <cell r="K481" t="str">
            <v>PASIF</v>
          </cell>
        </row>
        <row r="482">
          <cell r="C482" t="str">
            <v>Aziza</v>
          </cell>
          <cell r="D482" t="str">
            <v>KU</v>
          </cell>
          <cell r="E482">
            <v>5000</v>
          </cell>
          <cell r="F482">
            <v>21595000</v>
          </cell>
          <cell r="G482">
            <v>0</v>
          </cell>
          <cell r="H482">
            <v>857512.41744394007</v>
          </cell>
          <cell r="I482">
            <v>585988.30584611977</v>
          </cell>
          <cell r="J482">
            <v>22457512.417443939</v>
          </cell>
          <cell r="K482" t="str">
            <v>AKTIF</v>
          </cell>
        </row>
        <row r="483">
          <cell r="C483" t="str">
            <v>Agiyani Permana Putra</v>
          </cell>
          <cell r="D483" t="str">
            <v>KU</v>
          </cell>
          <cell r="E483">
            <v>0</v>
          </cell>
          <cell r="F483">
            <v>0</v>
          </cell>
          <cell r="G483">
            <v>190000</v>
          </cell>
          <cell r="H483">
            <v>590334.70136152185</v>
          </cell>
          <cell r="I483">
            <v>20361.427443254692</v>
          </cell>
          <cell r="J483">
            <v>780334.70136152185</v>
          </cell>
          <cell r="K483" t="str">
            <v>PASIF</v>
          </cell>
        </row>
        <row r="484">
          <cell r="C484" t="str">
            <v>Agung Prasetyo</v>
          </cell>
          <cell r="D484" t="str">
            <v>DMH</v>
          </cell>
          <cell r="E484">
            <v>5000</v>
          </cell>
          <cell r="F484">
            <v>10545000</v>
          </cell>
          <cell r="G484">
            <v>0</v>
          </cell>
          <cell r="H484">
            <v>875316.873332727</v>
          </cell>
          <cell r="I484">
            <v>298123.0491565438</v>
          </cell>
          <cell r="J484">
            <v>11425316.873332728</v>
          </cell>
          <cell r="K484" t="str">
            <v>AKTIF</v>
          </cell>
        </row>
        <row r="485">
          <cell r="C485" t="str">
            <v>Apriansyah</v>
          </cell>
          <cell r="D485" t="str">
            <v>KU</v>
          </cell>
          <cell r="E485">
            <v>5000</v>
          </cell>
          <cell r="F485">
            <v>10545000</v>
          </cell>
          <cell r="G485">
            <v>540000</v>
          </cell>
          <cell r="H485">
            <v>935268.67713939119</v>
          </cell>
          <cell r="I485">
            <v>313777.71003647771</v>
          </cell>
          <cell r="J485">
            <v>12025268.67713939</v>
          </cell>
          <cell r="K485" t="str">
            <v>AKTIF</v>
          </cell>
        </row>
        <row r="486">
          <cell r="C486" t="str">
            <v>M. Abdurrahman Ali</v>
          </cell>
          <cell r="D486" t="str">
            <v>KU</v>
          </cell>
          <cell r="E486">
            <v>0</v>
          </cell>
          <cell r="F486">
            <v>0</v>
          </cell>
          <cell r="G486">
            <v>0</v>
          </cell>
          <cell r="H486">
            <v>100204.44056023995</v>
          </cell>
          <cell r="I486">
            <v>2614.6542533599295</v>
          </cell>
          <cell r="J486">
            <v>100204.44056023995</v>
          </cell>
          <cell r="K486" t="str">
            <v>PASIF</v>
          </cell>
        </row>
        <row r="487">
          <cell r="C487" t="str">
            <v>Sahdat Farma Ridho</v>
          </cell>
          <cell r="D487" t="str">
            <v>KU</v>
          </cell>
          <cell r="E487">
            <v>5000</v>
          </cell>
          <cell r="F487">
            <v>10545000</v>
          </cell>
          <cell r="G487">
            <v>1240000</v>
          </cell>
          <cell r="H487">
            <v>955288.79083104874</v>
          </cell>
          <cell r="I487">
            <v>332565.33703427354</v>
          </cell>
          <cell r="J487">
            <v>12745288.790831048</v>
          </cell>
          <cell r="K487" t="str">
            <v>AKTIF</v>
          </cell>
        </row>
        <row r="488">
          <cell r="C488" t="str">
            <v>Yulia Fajri Kinanti</v>
          </cell>
          <cell r="D488" t="str">
            <v>KU</v>
          </cell>
          <cell r="E488">
            <v>5000</v>
          </cell>
          <cell r="F488">
            <v>10545000</v>
          </cell>
          <cell r="G488">
            <v>385000</v>
          </cell>
          <cell r="H488">
            <v>914525.09628876206</v>
          </cell>
          <cell r="I488">
            <v>309191.99807997461</v>
          </cell>
          <cell r="J488">
            <v>11849525.096288763</v>
          </cell>
          <cell r="K488" t="str">
            <v>AKTIF</v>
          </cell>
        </row>
        <row r="489">
          <cell r="C489" t="str">
            <v>Itqan Harchia</v>
          </cell>
          <cell r="D489" t="str">
            <v>MRKU</v>
          </cell>
          <cell r="E489">
            <v>0</v>
          </cell>
          <cell r="F489">
            <v>100000</v>
          </cell>
          <cell r="G489">
            <v>0</v>
          </cell>
          <cell r="H489">
            <v>96952.675325927208</v>
          </cell>
          <cell r="I489">
            <v>5139.1250464790746</v>
          </cell>
          <cell r="J489">
            <v>196952.67532592721</v>
          </cell>
          <cell r="K489" t="str">
            <v>PASIF</v>
          </cell>
        </row>
        <row r="490">
          <cell r="C490" t="str">
            <v>Holis Nor Aini</v>
          </cell>
          <cell r="D490" t="str">
            <v>MRKU</v>
          </cell>
          <cell r="E490">
            <v>0</v>
          </cell>
          <cell r="F490">
            <v>0</v>
          </cell>
          <cell r="G490">
            <v>0</v>
          </cell>
          <cell r="H490">
            <v>36943.611379728303</v>
          </cell>
          <cell r="I490">
            <v>963.97694641499413</v>
          </cell>
          <cell r="J490">
            <v>36943.611379728303</v>
          </cell>
          <cell r="K490" t="str">
            <v>PASIF</v>
          </cell>
        </row>
        <row r="491">
          <cell r="C491" t="str">
            <v>Muchlis Rachman, S.Kom.</v>
          </cell>
          <cell r="D491" t="str">
            <v>IT</v>
          </cell>
          <cell r="E491">
            <v>5000</v>
          </cell>
          <cell r="F491">
            <v>16370000</v>
          </cell>
          <cell r="G491">
            <v>300000</v>
          </cell>
          <cell r="H491">
            <v>1154683.0575526834</v>
          </cell>
          <cell r="I491">
            <v>465233.44057256577</v>
          </cell>
          <cell r="J491">
            <v>17829683.057552684</v>
          </cell>
          <cell r="K491" t="str">
            <v>AKTIF</v>
          </cell>
        </row>
        <row r="492">
          <cell r="C492" t="str">
            <v>Ahmad Barnes</v>
          </cell>
          <cell r="D492" t="str">
            <v>MRKU</v>
          </cell>
          <cell r="E492">
            <v>5000</v>
          </cell>
          <cell r="F492">
            <v>3295000</v>
          </cell>
          <cell r="G492">
            <v>0</v>
          </cell>
          <cell r="H492">
            <v>1675230.006905437</v>
          </cell>
          <cell r="I492">
            <v>129819.65895192958</v>
          </cell>
          <cell r="J492">
            <v>4975230.0069054365</v>
          </cell>
          <cell r="K492" t="str">
            <v>PASIF</v>
          </cell>
        </row>
        <row r="493">
          <cell r="C493" t="str">
            <v>M. Rahmat Akbar Ramadhan, S.KOM.</v>
          </cell>
          <cell r="D493" t="str">
            <v>IT</v>
          </cell>
          <cell r="E493">
            <v>5000</v>
          </cell>
          <cell r="F493">
            <v>14445000</v>
          </cell>
          <cell r="G493">
            <v>500000</v>
          </cell>
          <cell r="H493">
            <v>1040449.539851392</v>
          </cell>
          <cell r="I493">
            <v>417241.95723018015</v>
          </cell>
          <cell r="J493">
            <v>15990449.539851392</v>
          </cell>
          <cell r="K493" t="str">
            <v>AKTIF</v>
          </cell>
        </row>
        <row r="494">
          <cell r="C494" t="str">
            <v>Tri Budiyanto</v>
          </cell>
          <cell r="D494" t="str">
            <v>-</v>
          </cell>
          <cell r="E494">
            <v>0</v>
          </cell>
          <cell r="F494">
            <v>0</v>
          </cell>
          <cell r="G494">
            <v>0</v>
          </cell>
          <cell r="H494">
            <v>916232</v>
          </cell>
          <cell r="I494">
            <v>23907.422490166919</v>
          </cell>
          <cell r="J494">
            <v>916232</v>
          </cell>
          <cell r="K494" t="str">
            <v>PASIF</v>
          </cell>
        </row>
        <row r="495">
          <cell r="C495" t="str">
            <v>Atika Nurhikmah</v>
          </cell>
          <cell r="D495" t="str">
            <v>BMC</v>
          </cell>
          <cell r="E495">
            <v>0</v>
          </cell>
          <cell r="F495">
            <v>200000</v>
          </cell>
          <cell r="G495">
            <v>0</v>
          </cell>
          <cell r="H495">
            <v>33884</v>
          </cell>
          <cell r="I495">
            <v>6102.7813934573333</v>
          </cell>
          <cell r="J495">
            <v>233884</v>
          </cell>
          <cell r="K495" t="str">
            <v>PASIF</v>
          </cell>
        </row>
        <row r="496">
          <cell r="C496" t="str">
            <v>Muslim Dermawan B</v>
          </cell>
          <cell r="D496" t="str">
            <v>PU</v>
          </cell>
          <cell r="E496">
            <v>5000</v>
          </cell>
          <cell r="F496">
            <v>10245000</v>
          </cell>
          <cell r="G496">
            <v>260000</v>
          </cell>
          <cell r="H496">
            <v>1109276.0097563881</v>
          </cell>
          <cell r="I496">
            <v>303184.06320135819</v>
          </cell>
          <cell r="J496">
            <v>11619276.009756388</v>
          </cell>
          <cell r="K496" t="str">
            <v>AKTIF</v>
          </cell>
        </row>
        <row r="497">
          <cell r="C497" t="str">
            <v>Sadi Wijaya</v>
          </cell>
          <cell r="D497" t="str">
            <v>MAC</v>
          </cell>
          <cell r="E497">
            <v>0</v>
          </cell>
          <cell r="F497">
            <v>0</v>
          </cell>
          <cell r="G497">
            <v>0</v>
          </cell>
          <cell r="H497">
            <v>42698</v>
          </cell>
          <cell r="I497">
            <v>1114.1273449138941</v>
          </cell>
          <cell r="J497">
            <v>42698</v>
          </cell>
          <cell r="K497" t="str">
            <v>BUKAN ANGGOTA</v>
          </cell>
        </row>
        <row r="498">
          <cell r="C498" t="str">
            <v>Edit Hasta Prihantika</v>
          </cell>
          <cell r="D498" t="str">
            <v>SBU ENI</v>
          </cell>
          <cell r="E498">
            <v>5000</v>
          </cell>
          <cell r="F498">
            <v>10625000</v>
          </cell>
          <cell r="G498">
            <v>750000</v>
          </cell>
          <cell r="H498">
            <v>1158550.6361572666</v>
          </cell>
          <cell r="I498">
            <v>327170.87754298362</v>
          </cell>
          <cell r="J498">
            <v>12538550.636157267</v>
          </cell>
          <cell r="K498" t="str">
            <v>AKTIF</v>
          </cell>
        </row>
        <row r="499">
          <cell r="C499" t="str">
            <v>Satria Aldi Permana</v>
          </cell>
          <cell r="D499" t="str">
            <v>SBU MNO</v>
          </cell>
          <cell r="E499">
            <v>5000</v>
          </cell>
          <cell r="F499">
            <v>10725000</v>
          </cell>
          <cell r="G499">
            <v>0</v>
          </cell>
          <cell r="H499">
            <v>1077168.8655860762</v>
          </cell>
          <cell r="I499">
            <v>308086.78858881939</v>
          </cell>
          <cell r="J499">
            <v>11807168.865586076</v>
          </cell>
          <cell r="K499" t="str">
            <v>AKTIF</v>
          </cell>
        </row>
        <row r="500">
          <cell r="C500" t="str">
            <v>Azhar Ghifari</v>
          </cell>
          <cell r="D500" t="str">
            <v>SBU ENI</v>
          </cell>
          <cell r="E500">
            <v>5000</v>
          </cell>
          <cell r="F500">
            <v>10625000</v>
          </cell>
          <cell r="G500">
            <v>475000</v>
          </cell>
          <cell r="H500">
            <v>1096056.8655860762</v>
          </cell>
          <cell r="I500">
            <v>318364.58594779274</v>
          </cell>
          <cell r="J500">
            <v>12201056.865586076</v>
          </cell>
          <cell r="K500" t="str">
            <v>AKTIF</v>
          </cell>
        </row>
        <row r="501">
          <cell r="C501" t="str">
            <v>Andi Dina</v>
          </cell>
          <cell r="D501" t="str">
            <v>BMC</v>
          </cell>
          <cell r="E501">
            <v>0</v>
          </cell>
          <cell r="F501">
            <v>0</v>
          </cell>
          <cell r="G501">
            <v>0</v>
          </cell>
          <cell r="H501">
            <v>245018</v>
          </cell>
          <cell r="I501">
            <v>6393.3030539161673</v>
          </cell>
          <cell r="J501">
            <v>245018</v>
          </cell>
          <cell r="K501" t="str">
            <v>PASIF</v>
          </cell>
        </row>
        <row r="502">
          <cell r="C502" t="str">
            <v>Rudiyanto, Ir</v>
          </cell>
          <cell r="D502" t="str">
            <v>DIREKSI</v>
          </cell>
          <cell r="E502">
            <v>0</v>
          </cell>
          <cell r="F502">
            <v>500000</v>
          </cell>
          <cell r="G502">
            <v>0</v>
          </cell>
          <cell r="H502">
            <v>865938.87464304222</v>
          </cell>
          <cell r="I502">
            <v>35641.712766891309</v>
          </cell>
          <cell r="J502">
            <v>1365938.8746430422</v>
          </cell>
          <cell r="K502" t="str">
            <v>PASIF</v>
          </cell>
        </row>
        <row r="503">
          <cell r="C503" t="str">
            <v>Krisna jaya Pratama</v>
          </cell>
          <cell r="D503" t="str">
            <v>KOP</v>
          </cell>
          <cell r="E503">
            <v>0</v>
          </cell>
          <cell r="F503">
            <v>0</v>
          </cell>
          <cell r="G503">
            <v>0</v>
          </cell>
          <cell r="H503">
            <v>318695.27544689225</v>
          </cell>
          <cell r="I503">
            <v>8315.7787500643644</v>
          </cell>
          <cell r="J503">
            <v>318695.27544689225</v>
          </cell>
          <cell r="K503" t="str">
            <v>PASIF</v>
          </cell>
        </row>
        <row r="504">
          <cell r="C504" t="str">
            <v>M. Radiansyah</v>
          </cell>
          <cell r="D504" t="str">
            <v>KOP</v>
          </cell>
          <cell r="E504">
            <v>0</v>
          </cell>
          <cell r="F504">
            <v>0</v>
          </cell>
          <cell r="G504">
            <v>0</v>
          </cell>
          <cell r="H504">
            <v>167765.21136487334</v>
          </cell>
          <cell r="I504">
            <v>4377.5307861460633</v>
          </cell>
          <cell r="J504">
            <v>167765.21136487334</v>
          </cell>
          <cell r="K504" t="str">
            <v>BUKAN ANGGOTA</v>
          </cell>
        </row>
        <row r="505">
          <cell r="C505" t="str">
            <v xml:space="preserve">Sahat </v>
          </cell>
          <cell r="D505" t="str">
            <v>-</v>
          </cell>
          <cell r="E505">
            <v>5000</v>
          </cell>
          <cell r="F505">
            <v>100000</v>
          </cell>
          <cell r="G505">
            <v>0</v>
          </cell>
          <cell r="H505">
            <v>57346.817295413013</v>
          </cell>
          <cell r="I505">
            <v>4236.1475598051329</v>
          </cell>
          <cell r="J505">
            <v>162346.817295413</v>
          </cell>
          <cell r="K505" t="str">
            <v>PASIF</v>
          </cell>
        </row>
        <row r="506">
          <cell r="C506" t="str">
            <v>Feriza Yusfi</v>
          </cell>
          <cell r="D506" t="str">
            <v>PR</v>
          </cell>
          <cell r="E506">
            <v>5000</v>
          </cell>
          <cell r="F506">
            <v>15670000</v>
          </cell>
          <cell r="G506">
            <v>0</v>
          </cell>
          <cell r="H506">
            <v>2527593.5007531941</v>
          </cell>
          <cell r="I506">
            <v>474963.86639985623</v>
          </cell>
          <cell r="J506">
            <v>18202593.500753194</v>
          </cell>
          <cell r="K506" t="str">
            <v>AKTIF</v>
          </cell>
        </row>
        <row r="507">
          <cell r="C507" t="str">
            <v>Dian Febrian, S.T</v>
          </cell>
          <cell r="D507" t="str">
            <v>PRB</v>
          </cell>
          <cell r="E507">
            <v>5000</v>
          </cell>
          <cell r="F507">
            <v>23545000</v>
          </cell>
          <cell r="G507">
            <v>450000</v>
          </cell>
          <cell r="H507">
            <v>777904.80338445213</v>
          </cell>
          <cell r="I507">
            <v>646534.76254447387</v>
          </cell>
          <cell r="J507">
            <v>24777904.803384453</v>
          </cell>
          <cell r="K507" t="str">
            <v>AKTIF</v>
          </cell>
        </row>
        <row r="508">
          <cell r="C508" t="str">
            <v>Andi Dian Eka Anggriani, S.T</v>
          </cell>
          <cell r="D508" t="str">
            <v>-</v>
          </cell>
          <cell r="E508">
            <v>0</v>
          </cell>
          <cell r="F508">
            <v>0</v>
          </cell>
          <cell r="G508">
            <v>0</v>
          </cell>
          <cell r="H508">
            <v>62323.460095112678</v>
          </cell>
          <cell r="I508">
            <v>1626.2183503118395</v>
          </cell>
          <cell r="J508">
            <v>62323.460095112678</v>
          </cell>
          <cell r="K508" t="str">
            <v>PASIF</v>
          </cell>
        </row>
        <row r="509">
          <cell r="C509" t="str">
            <v>Rizki Aldila Tamtura, S.T</v>
          </cell>
          <cell r="D509" t="str">
            <v>SBU ENI</v>
          </cell>
          <cell r="E509">
            <v>5000</v>
          </cell>
          <cell r="F509">
            <v>16045000</v>
          </cell>
          <cell r="G509">
            <v>850000</v>
          </cell>
          <cell r="H509">
            <v>1286942.0965733565</v>
          </cell>
          <cell r="I509">
            <v>474555.47122015094</v>
          </cell>
          <cell r="J509">
            <v>18186942.096573357</v>
          </cell>
          <cell r="K509" t="str">
            <v>AKTIF</v>
          </cell>
        </row>
        <row r="510">
          <cell r="C510" t="str">
            <v>Deborah Nindya Pawestri, SH</v>
          </cell>
          <cell r="D510" t="str">
            <v>SEKPER</v>
          </cell>
          <cell r="E510">
            <v>5000</v>
          </cell>
          <cell r="F510">
            <v>16420000</v>
          </cell>
          <cell r="G510">
            <v>990000</v>
          </cell>
          <cell r="H510">
            <v>1160289.5243639019</v>
          </cell>
          <cell r="I510">
            <v>484688.69733445183</v>
          </cell>
          <cell r="J510">
            <v>18575289.524363901</v>
          </cell>
          <cell r="K510" t="str">
            <v>AKTIF</v>
          </cell>
        </row>
        <row r="511">
          <cell r="C511" t="str">
            <v>Willy Adi Nugroho, SH</v>
          </cell>
          <cell r="D511" t="str">
            <v>MHC</v>
          </cell>
          <cell r="E511">
            <v>5000</v>
          </cell>
          <cell r="F511">
            <v>20220000</v>
          </cell>
          <cell r="G511">
            <v>100000</v>
          </cell>
          <cell r="H511">
            <v>1175853.7566328677</v>
          </cell>
          <cell r="I511">
            <v>561026.02251298202</v>
          </cell>
          <cell r="J511">
            <v>21500853.756632868</v>
          </cell>
          <cell r="K511" t="str">
            <v>AKTIF</v>
          </cell>
        </row>
        <row r="512">
          <cell r="C512" t="str">
            <v>Faulincia, S.T</v>
          </cell>
          <cell r="D512" t="str">
            <v>PRB</v>
          </cell>
          <cell r="E512">
            <v>5000</v>
          </cell>
          <cell r="F512">
            <v>22845000</v>
          </cell>
          <cell r="G512">
            <v>0</v>
          </cell>
          <cell r="H512">
            <v>1163405.5444389887</v>
          </cell>
          <cell r="I512">
            <v>626586.53242696135</v>
          </cell>
          <cell r="J512">
            <v>24013405.544438988</v>
          </cell>
          <cell r="K512" t="str">
            <v>AKTIF</v>
          </cell>
        </row>
        <row r="513">
          <cell r="C513" t="str">
            <v>Lutfi Palam Paraya, S.T</v>
          </cell>
          <cell r="D513" t="str">
            <v>SB</v>
          </cell>
          <cell r="E513">
            <v>5000</v>
          </cell>
          <cell r="F513">
            <v>10795000</v>
          </cell>
          <cell r="G513">
            <v>0</v>
          </cell>
          <cell r="H513">
            <v>955037.32267980976</v>
          </cell>
          <cell r="I513">
            <v>306726.50994615647</v>
          </cell>
          <cell r="J513">
            <v>11755037.32267981</v>
          </cell>
          <cell r="K513" t="str">
            <v>AKTIF</v>
          </cell>
        </row>
        <row r="514">
          <cell r="C514" t="str">
            <v>Muhamad Baqi, S.T</v>
          </cell>
          <cell r="D514" t="str">
            <v>SB</v>
          </cell>
          <cell r="E514">
            <v>5000</v>
          </cell>
          <cell r="F514">
            <v>10795000</v>
          </cell>
          <cell r="G514">
            <v>0</v>
          </cell>
          <cell r="H514">
            <v>955037.32267980976</v>
          </cell>
          <cell r="I514">
            <v>306726.50994615647</v>
          </cell>
          <cell r="J514">
            <v>11755037.32267981</v>
          </cell>
          <cell r="K514" t="str">
            <v>AKTIF</v>
          </cell>
        </row>
        <row r="515">
          <cell r="C515" t="str">
            <v>Rangsang Kusumadilaga, S.T</v>
          </cell>
          <cell r="D515" t="str">
            <v>TP</v>
          </cell>
          <cell r="E515">
            <v>5000</v>
          </cell>
          <cell r="F515">
            <v>22595000</v>
          </cell>
          <cell r="G515">
            <v>1550000</v>
          </cell>
          <cell r="H515">
            <v>696995.16097007599</v>
          </cell>
          <cell r="I515">
            <v>648337.55088716024</v>
          </cell>
          <cell r="J515">
            <v>24846995.160970077</v>
          </cell>
          <cell r="K515" t="str">
            <v>AKTIF</v>
          </cell>
        </row>
        <row r="516">
          <cell r="C516" t="str">
            <v>Septian Aji Dewangkara</v>
          </cell>
          <cell r="D516" t="str">
            <v>SB</v>
          </cell>
          <cell r="E516">
            <v>0</v>
          </cell>
          <cell r="F516">
            <v>10800000</v>
          </cell>
          <cell r="G516">
            <v>0</v>
          </cell>
          <cell r="H516">
            <v>955037.32267980976</v>
          </cell>
          <cell r="I516">
            <v>306726.50994615647</v>
          </cell>
          <cell r="J516">
            <v>11755037.32267981</v>
          </cell>
          <cell r="K516" t="str">
            <v>AKTIF</v>
          </cell>
        </row>
        <row r="517">
          <cell r="C517" t="str">
            <v>Setiono Prabowo, S.T</v>
          </cell>
          <cell r="D517" t="str">
            <v>CN</v>
          </cell>
          <cell r="E517">
            <v>0</v>
          </cell>
          <cell r="F517">
            <v>23450000</v>
          </cell>
          <cell r="G517">
            <v>150000</v>
          </cell>
          <cell r="H517">
            <v>2917096</v>
          </cell>
          <cell r="I517">
            <v>691915.82184895885</v>
          </cell>
          <cell r="J517">
            <v>26517096</v>
          </cell>
          <cell r="K517" t="str">
            <v>AKTIF</v>
          </cell>
        </row>
        <row r="518">
          <cell r="C518" t="str">
            <v>Tesi Hidayati</v>
          </cell>
          <cell r="D518" t="str">
            <v>-</v>
          </cell>
          <cell r="E518">
            <v>5000</v>
          </cell>
          <cell r="F518">
            <v>2595000</v>
          </cell>
          <cell r="G518">
            <v>0</v>
          </cell>
          <cell r="H518">
            <v>861895.0231200722</v>
          </cell>
          <cell r="I518">
            <v>90331.91040515693</v>
          </cell>
          <cell r="J518">
            <v>3461895.0231200722</v>
          </cell>
          <cell r="K518" t="str">
            <v>PASIF</v>
          </cell>
        </row>
        <row r="519">
          <cell r="C519" t="str">
            <v>Timbul Tambunan</v>
          </cell>
          <cell r="D519" t="str">
            <v>-</v>
          </cell>
          <cell r="E519">
            <v>0</v>
          </cell>
          <cell r="F519">
            <v>0</v>
          </cell>
          <cell r="G519">
            <v>0</v>
          </cell>
          <cell r="H519">
            <v>146700.01305464981</v>
          </cell>
          <cell r="I519">
            <v>3827.872407218385</v>
          </cell>
          <cell r="J519">
            <v>146700.01305464981</v>
          </cell>
          <cell r="K519" t="str">
            <v>PASIF</v>
          </cell>
        </row>
        <row r="520">
          <cell r="C520" t="str">
            <v>Andri Rezeki</v>
          </cell>
          <cell r="D520" t="str">
            <v>SEKPER</v>
          </cell>
          <cell r="E520">
            <v>0</v>
          </cell>
          <cell r="F520">
            <v>0</v>
          </cell>
          <cell r="G520">
            <v>0</v>
          </cell>
          <cell r="H520">
            <v>31160.00835030392</v>
          </cell>
          <cell r="I520">
            <v>813.0642505695555</v>
          </cell>
          <cell r="J520">
            <v>31160.00835030392</v>
          </cell>
          <cell r="K520" t="str">
            <v>PASIF</v>
          </cell>
        </row>
        <row r="521">
          <cell r="C521" t="str">
            <v>Edi Zulkarnain</v>
          </cell>
          <cell r="D521" t="str">
            <v>JB</v>
          </cell>
          <cell r="E521">
            <v>0</v>
          </cell>
          <cell r="F521">
            <v>150000</v>
          </cell>
          <cell r="G521">
            <v>0</v>
          </cell>
          <cell r="H521">
            <v>44689.964955540723</v>
          </cell>
          <cell r="I521">
            <v>5080.0836980021477</v>
          </cell>
          <cell r="J521">
            <v>194689.96495554072</v>
          </cell>
          <cell r="K521" t="str">
            <v>PASIF</v>
          </cell>
        </row>
        <row r="522">
          <cell r="C522" t="str">
            <v>Brams Firnandes</v>
          </cell>
          <cell r="D522" t="str">
            <v>STA</v>
          </cell>
          <cell r="E522">
            <v>0</v>
          </cell>
          <cell r="F522">
            <v>0</v>
          </cell>
          <cell r="G522">
            <v>0</v>
          </cell>
          <cell r="H522">
            <v>92320</v>
          </cell>
          <cell r="I522">
            <v>2408.9239890030144</v>
          </cell>
          <cell r="J522">
            <v>92320</v>
          </cell>
          <cell r="K522" t="str">
            <v>PASIF</v>
          </cell>
        </row>
        <row r="523">
          <cell r="C523" t="str">
            <v>Fauzi S, ST</v>
          </cell>
          <cell r="D523" t="str">
            <v>TP</v>
          </cell>
          <cell r="E523">
            <v>5000</v>
          </cell>
          <cell r="F523">
            <v>23295000</v>
          </cell>
          <cell r="G523">
            <v>0</v>
          </cell>
          <cell r="H523">
            <v>867623.61286636395</v>
          </cell>
          <cell r="I523">
            <v>630610.57493749447</v>
          </cell>
          <cell r="J523">
            <v>24167623.612866364</v>
          </cell>
          <cell r="K523" t="str">
            <v>AKTIF</v>
          </cell>
        </row>
        <row r="524">
          <cell r="C524" t="str">
            <v>Stefani Nur Fitri</v>
          </cell>
          <cell r="D524" t="str">
            <v>KU</v>
          </cell>
          <cell r="E524">
            <v>0</v>
          </cell>
          <cell r="F524">
            <v>0</v>
          </cell>
          <cell r="G524">
            <v>0</v>
          </cell>
          <cell r="H524">
            <v>111632.76175121497</v>
          </cell>
          <cell r="I524">
            <v>2912.8556947699299</v>
          </cell>
          <cell r="J524">
            <v>111632.76175121497</v>
          </cell>
          <cell r="K524" t="str">
            <v>PASIF</v>
          </cell>
        </row>
        <row r="525">
          <cell r="C525" t="str">
            <v>Samsul Muslim</v>
          </cell>
          <cell r="D525" t="str">
            <v>IT</v>
          </cell>
          <cell r="E525">
            <v>5000</v>
          </cell>
          <cell r="F525">
            <v>13345000</v>
          </cell>
          <cell r="G525">
            <v>1050000</v>
          </cell>
          <cell r="H525">
            <v>1092457.8789354335</v>
          </cell>
          <cell r="I525">
            <v>404247.76249118638</v>
          </cell>
          <cell r="J525">
            <v>15492457.878935434</v>
          </cell>
          <cell r="K525" t="str">
            <v>AKTIF</v>
          </cell>
        </row>
        <row r="526">
          <cell r="C526" t="str">
            <v>M. Adityo Nugroho</v>
          </cell>
          <cell r="D526" t="str">
            <v>DMH</v>
          </cell>
          <cell r="E526">
            <v>5000</v>
          </cell>
          <cell r="F526">
            <v>11195000</v>
          </cell>
          <cell r="G526">
            <v>250000</v>
          </cell>
          <cell r="H526">
            <v>1082884.3528330084</v>
          </cell>
          <cell r="I526">
            <v>327023.0260933704</v>
          </cell>
          <cell r="J526">
            <v>12532884.352833008</v>
          </cell>
          <cell r="K526" t="str">
            <v>AKTIF</v>
          </cell>
        </row>
        <row r="527">
          <cell r="C527" t="str">
            <v>Dedie Achmad Wahyono</v>
          </cell>
          <cell r="D527" t="str">
            <v>SB</v>
          </cell>
          <cell r="E527">
            <v>5000</v>
          </cell>
          <cell r="F527">
            <v>11745000</v>
          </cell>
          <cell r="G527">
            <v>0</v>
          </cell>
          <cell r="H527">
            <v>1109782.7735955324</v>
          </cell>
          <cell r="I527">
            <v>335552.85113390378</v>
          </cell>
          <cell r="J527">
            <v>12859782.773595532</v>
          </cell>
          <cell r="K527" t="str">
            <v>AKTIF</v>
          </cell>
        </row>
        <row r="528">
          <cell r="C528" t="str">
            <v>Bonor Samuel Charles</v>
          </cell>
          <cell r="D528" t="str">
            <v>SEKPER</v>
          </cell>
          <cell r="E528">
            <v>5000</v>
          </cell>
          <cell r="F528">
            <v>12095000</v>
          </cell>
          <cell r="G528">
            <v>0</v>
          </cell>
          <cell r="H528">
            <v>776884.75224499661</v>
          </cell>
          <cell r="I528">
            <v>335999.09643966757</v>
          </cell>
          <cell r="J528">
            <v>12876884.752244996</v>
          </cell>
          <cell r="K528" t="str">
            <v>AKTIF</v>
          </cell>
        </row>
        <row r="529">
          <cell r="C529" t="str">
            <v>M. Setiawan</v>
          </cell>
          <cell r="D529" t="str">
            <v>MRKU</v>
          </cell>
          <cell r="E529">
            <v>0</v>
          </cell>
          <cell r="F529">
            <v>0</v>
          </cell>
          <cell r="G529">
            <v>0</v>
          </cell>
          <cell r="H529">
            <v>239963.32185857336</v>
          </cell>
          <cell r="I529">
            <v>6261.4103391027811</v>
          </cell>
          <cell r="J529">
            <v>239963.32185857336</v>
          </cell>
          <cell r="K529" t="str">
            <v>PASIF</v>
          </cell>
        </row>
        <row r="530">
          <cell r="C530" t="str">
            <v>Saepul</v>
          </cell>
          <cell r="D530" t="str">
            <v>SBU ENI</v>
          </cell>
          <cell r="E530">
            <v>0</v>
          </cell>
          <cell r="F530">
            <v>8700000</v>
          </cell>
          <cell r="G530">
            <v>280000</v>
          </cell>
          <cell r="H530">
            <v>691468.68365236116</v>
          </cell>
          <cell r="I530">
            <v>252359.54203792874</v>
          </cell>
          <cell r="J530">
            <v>9671468.6836523619</v>
          </cell>
          <cell r="K530" t="str">
            <v>AKTIF</v>
          </cell>
        </row>
        <row r="531">
          <cell r="C531" t="str">
            <v>Annissa Fadhillah</v>
          </cell>
          <cell r="D531" t="str">
            <v>KOP</v>
          </cell>
          <cell r="E531">
            <v>0</v>
          </cell>
          <cell r="F531">
            <v>9575000</v>
          </cell>
          <cell r="G531">
            <v>20000</v>
          </cell>
          <cell r="H531">
            <v>1020627.6851274149</v>
          </cell>
          <cell r="I531">
            <v>276995.66929189739</v>
          </cell>
          <cell r="J531">
            <v>10615627.685127415</v>
          </cell>
          <cell r="K531" t="str">
            <v>AKTIF</v>
          </cell>
        </row>
        <row r="532">
          <cell r="C532" t="str">
            <v>Rudi Arfiansyah</v>
          </cell>
          <cell r="D532" t="str">
            <v>BN</v>
          </cell>
          <cell r="E532">
            <v>0</v>
          </cell>
          <cell r="F532">
            <v>0</v>
          </cell>
          <cell r="G532">
            <v>0</v>
          </cell>
          <cell r="H532">
            <v>56473.561187360669</v>
          </cell>
          <cell r="I532">
            <v>1473.575783022776</v>
          </cell>
          <cell r="J532">
            <v>56473.561187360669</v>
          </cell>
          <cell r="K532" t="str">
            <v>PASIF</v>
          </cell>
        </row>
        <row r="533">
          <cell r="C533" t="str">
            <v>Yudi Prawoto</v>
          </cell>
          <cell r="D533" t="str">
            <v>SBU ENI</v>
          </cell>
          <cell r="E533">
            <v>0</v>
          </cell>
          <cell r="F533">
            <v>32900000</v>
          </cell>
          <cell r="G533">
            <v>150000</v>
          </cell>
          <cell r="H533">
            <v>822295.12749330932</v>
          </cell>
          <cell r="I533">
            <v>883836.48500009254</v>
          </cell>
          <cell r="J533">
            <v>33872295.127493307</v>
          </cell>
          <cell r="K533" t="str">
            <v>AKTIF</v>
          </cell>
        </row>
        <row r="534">
          <cell r="C534" t="str">
            <v>Efry Tallamma</v>
          </cell>
          <cell r="D534" t="str">
            <v>SBU ENI</v>
          </cell>
          <cell r="E534">
            <v>50000</v>
          </cell>
          <cell r="F534">
            <v>13450000</v>
          </cell>
          <cell r="G534">
            <v>1750000</v>
          </cell>
          <cell r="H534">
            <v>982180.81351131527</v>
          </cell>
          <cell r="I534">
            <v>423549.49908472568</v>
          </cell>
          <cell r="J534">
            <v>16232180.813511316</v>
          </cell>
          <cell r="K534" t="str">
            <v>AKTIF</v>
          </cell>
        </row>
        <row r="535">
          <cell r="C535" t="str">
            <v>Sudarma Edy Saragih</v>
          </cell>
          <cell r="D535" t="str">
            <v>BNC</v>
          </cell>
          <cell r="E535">
            <v>0</v>
          </cell>
          <cell r="F535">
            <v>14175000</v>
          </cell>
          <cell r="G535">
            <v>0</v>
          </cell>
          <cell r="H535">
            <v>1025396.644697126</v>
          </cell>
          <cell r="I535">
            <v>396626.95103738992</v>
          </cell>
          <cell r="J535">
            <v>15200396.644697126</v>
          </cell>
          <cell r="K535" t="str">
            <v>AKTIF</v>
          </cell>
        </row>
        <row r="536">
          <cell r="C536" t="str">
            <v>Alwin Ridwan</v>
          </cell>
          <cell r="D536" t="str">
            <v>SEKPER</v>
          </cell>
          <cell r="E536">
            <v>200000</v>
          </cell>
          <cell r="F536">
            <v>12550000</v>
          </cell>
          <cell r="G536">
            <v>600000</v>
          </cell>
          <cell r="H536">
            <v>842206.70439060754</v>
          </cell>
          <cell r="I536">
            <v>370320.05185329233</v>
          </cell>
          <cell r="J536">
            <v>14192206.704390608</v>
          </cell>
          <cell r="K536" t="str">
            <v>AKTIF</v>
          </cell>
        </row>
        <row r="537">
          <cell r="C537" t="str">
            <v>Berselina</v>
          </cell>
          <cell r="D537" t="str">
            <v>SBU ENI</v>
          </cell>
          <cell r="E537">
            <v>0</v>
          </cell>
          <cell r="F537">
            <v>-100000</v>
          </cell>
          <cell r="G537">
            <v>0</v>
          </cell>
          <cell r="H537">
            <v>0.31274104944895953</v>
          </cell>
          <cell r="I537">
            <v>-2609.3115850399163</v>
          </cell>
          <cell r="J537">
            <v>-99999.687258950551</v>
          </cell>
          <cell r="K537" t="str">
            <v>BUKAN ANGGOTA</v>
          </cell>
        </row>
        <row r="538">
          <cell r="C538" t="str">
            <v>Fatkhurrohman</v>
          </cell>
          <cell r="D538" t="str">
            <v>SBU ENI</v>
          </cell>
          <cell r="E538">
            <v>200000</v>
          </cell>
          <cell r="F538">
            <v>8700000</v>
          </cell>
          <cell r="G538">
            <v>0</v>
          </cell>
          <cell r="H538">
            <v>863805.31274104945</v>
          </cell>
          <cell r="I538">
            <v>254768.89993302635</v>
          </cell>
          <cell r="J538">
            <v>9763805.3127410486</v>
          </cell>
          <cell r="K538" t="str">
            <v>AKTIF</v>
          </cell>
        </row>
        <row r="539">
          <cell r="C539" t="str">
            <v>Fikram Sudarmadi</v>
          </cell>
          <cell r="D539" t="str">
            <v>SBU ENI</v>
          </cell>
          <cell r="E539">
            <v>0</v>
          </cell>
          <cell r="F539">
            <v>0</v>
          </cell>
          <cell r="G539">
            <v>0</v>
          </cell>
          <cell r="H539">
            <v>30305</v>
          </cell>
          <cell r="I539">
            <v>790.75434885979587</v>
          </cell>
          <cell r="J539">
            <v>30305</v>
          </cell>
          <cell r="K539" t="str">
            <v>PASIF</v>
          </cell>
        </row>
        <row r="540">
          <cell r="C540" t="str">
            <v>Ishak Christian Megawe</v>
          </cell>
          <cell r="D540" t="str">
            <v>SBU ENI</v>
          </cell>
          <cell r="E540">
            <v>0</v>
          </cell>
          <cell r="F540">
            <v>100000</v>
          </cell>
          <cell r="G540">
            <v>0</v>
          </cell>
          <cell r="H540">
            <v>57100.68150480435</v>
          </cell>
          <cell r="I540">
            <v>4099.2591027474591</v>
          </cell>
          <cell r="J540">
            <v>157100.68150480435</v>
          </cell>
          <cell r="K540" t="str">
            <v>PASIF</v>
          </cell>
        </row>
        <row r="541">
          <cell r="C541" t="str">
            <v>Jaelani</v>
          </cell>
          <cell r="D541" t="str">
            <v>MAC</v>
          </cell>
          <cell r="E541">
            <v>0</v>
          </cell>
          <cell r="F541">
            <v>0</v>
          </cell>
          <cell r="G541">
            <v>-100000</v>
          </cell>
          <cell r="H541">
            <v>154866.31274104945</v>
          </cell>
          <cell r="I541">
            <v>1431.6375319546767</v>
          </cell>
          <cell r="J541">
            <v>54866.312741049449</v>
          </cell>
          <cell r="K541" t="str">
            <v>BUKAN ANGGOTA</v>
          </cell>
        </row>
        <row r="542">
          <cell r="C542" t="str">
            <v>Joko Susilo</v>
          </cell>
          <cell r="D542" t="str">
            <v>SBU ENI</v>
          </cell>
          <cell r="E542">
            <v>200000</v>
          </cell>
          <cell r="F542">
            <v>8700000</v>
          </cell>
          <cell r="G542">
            <v>0</v>
          </cell>
          <cell r="H542">
            <v>863805.31274104945</v>
          </cell>
          <cell r="I542">
            <v>254768.89993302635</v>
          </cell>
          <cell r="J542">
            <v>9763805.3127410486</v>
          </cell>
          <cell r="K542" t="str">
            <v>AKTIF</v>
          </cell>
        </row>
        <row r="543">
          <cell r="C543" t="str">
            <v>Michelle Chantal Mustamu</v>
          </cell>
          <cell r="D543" t="str">
            <v>SEKPER</v>
          </cell>
          <cell r="E543">
            <v>200000</v>
          </cell>
          <cell r="F543">
            <v>12350000</v>
          </cell>
          <cell r="G543">
            <v>500000</v>
          </cell>
          <cell r="H543">
            <v>788876.79487964301</v>
          </cell>
          <cell r="I543">
            <v>361100.54475782841</v>
          </cell>
          <cell r="J543">
            <v>13838876.794879643</v>
          </cell>
          <cell r="K543" t="str">
            <v>AKTIF</v>
          </cell>
        </row>
        <row r="544">
          <cell r="C544" t="str">
            <v>Randi Rante</v>
          </cell>
          <cell r="D544" t="str">
            <v>SBU ENI</v>
          </cell>
          <cell r="E544">
            <v>0</v>
          </cell>
          <cell r="F544">
            <v>0</v>
          </cell>
          <cell r="G544">
            <v>0</v>
          </cell>
          <cell r="H544">
            <v>268887</v>
          </cell>
          <cell r="I544">
            <v>7016.121583958552</v>
          </cell>
          <cell r="J544">
            <v>268887</v>
          </cell>
          <cell r="K544" t="str">
            <v>PASIF</v>
          </cell>
        </row>
        <row r="545">
          <cell r="C545" t="str">
            <v>Soepriyanto</v>
          </cell>
          <cell r="D545" t="str">
            <v>SBU ENI</v>
          </cell>
          <cell r="E545">
            <v>200000</v>
          </cell>
          <cell r="F545">
            <v>2500000</v>
          </cell>
          <cell r="G545">
            <v>0</v>
          </cell>
          <cell r="H545">
            <v>442464.00128400524</v>
          </cell>
          <cell r="I545">
            <v>81996.933679283349</v>
          </cell>
          <cell r="J545">
            <v>3142464.0012840051</v>
          </cell>
          <cell r="K545" t="str">
            <v>PASIF</v>
          </cell>
        </row>
        <row r="546">
          <cell r="C546" t="str">
            <v>Noval Der Sartapayu</v>
          </cell>
          <cell r="D546" t="str">
            <v>SBU ENI</v>
          </cell>
          <cell r="E546">
            <v>200000</v>
          </cell>
          <cell r="F546">
            <v>6500000</v>
          </cell>
          <cell r="G546">
            <v>600000</v>
          </cell>
          <cell r="H546">
            <v>738351.31274104945</v>
          </cell>
          <cell r="I546">
            <v>209746.28801230271</v>
          </cell>
          <cell r="J546">
            <v>8038351.3127410496</v>
          </cell>
          <cell r="K546" t="str">
            <v>PASIF</v>
          </cell>
        </row>
        <row r="547">
          <cell r="C547" t="str">
            <v>Raga D Purwanto</v>
          </cell>
          <cell r="D547" t="str">
            <v>PRB</v>
          </cell>
          <cell r="E547">
            <v>0</v>
          </cell>
          <cell r="F547">
            <v>250000</v>
          </cell>
          <cell r="G547">
            <v>0</v>
          </cell>
          <cell r="H547">
            <v>515984.2030736506</v>
          </cell>
          <cell r="I547">
            <v>19986.977057858247</v>
          </cell>
          <cell r="J547">
            <v>765984.2030736506</v>
          </cell>
          <cell r="K547" t="str">
            <v>BUKAN ANGGOTA</v>
          </cell>
        </row>
        <row r="548">
          <cell r="C548" t="str">
            <v>Ibnu Nafis</v>
          </cell>
          <cell r="D548" t="str">
            <v>BJ</v>
          </cell>
          <cell r="E548">
            <v>0</v>
          </cell>
          <cell r="F548">
            <v>0</v>
          </cell>
          <cell r="G548">
            <v>0</v>
          </cell>
          <cell r="H548">
            <v>73086.153279239777</v>
          </cell>
          <cell r="I548">
            <v>1907.0514287078859</v>
          </cell>
          <cell r="J548">
            <v>73086.153279239777</v>
          </cell>
          <cell r="K548" t="str">
            <v>PASIF</v>
          </cell>
        </row>
        <row r="549">
          <cell r="C549" t="str">
            <v>Airin Christine</v>
          </cell>
          <cell r="D549" t="str">
            <v>-</v>
          </cell>
          <cell r="E549">
            <v>200000</v>
          </cell>
          <cell r="F549">
            <v>1700000</v>
          </cell>
          <cell r="G549">
            <v>150000</v>
          </cell>
          <cell r="H549">
            <v>393966</v>
          </cell>
          <cell r="I549">
            <v>63770.887410179173</v>
          </cell>
          <cell r="J549">
            <v>2443966</v>
          </cell>
          <cell r="K549" t="str">
            <v>PASIF</v>
          </cell>
        </row>
        <row r="550">
          <cell r="C550" t="str">
            <v>Agus Setyowinarno</v>
          </cell>
          <cell r="D550" t="str">
            <v>SBU MNO</v>
          </cell>
          <cell r="E550">
            <v>200000</v>
          </cell>
          <cell r="F550">
            <v>8700000</v>
          </cell>
          <cell r="G550">
            <v>150000</v>
          </cell>
          <cell r="H550">
            <v>900009.4098149701</v>
          </cell>
          <cell r="I550">
            <v>259627.56020482027</v>
          </cell>
          <cell r="J550">
            <v>9950009.4098149706</v>
          </cell>
          <cell r="K550" t="str">
            <v>AKTIF</v>
          </cell>
        </row>
        <row r="551">
          <cell r="C551" t="str">
            <v>Berthy Charles</v>
          </cell>
          <cell r="D551" t="str">
            <v>-</v>
          </cell>
          <cell r="E551">
            <v>0</v>
          </cell>
          <cell r="F551">
            <v>0</v>
          </cell>
          <cell r="G551">
            <v>0</v>
          </cell>
          <cell r="H551">
            <v>30305</v>
          </cell>
          <cell r="I551">
            <v>790.75434885979587</v>
          </cell>
          <cell r="J551">
            <v>30305</v>
          </cell>
          <cell r="K551" t="str">
            <v>PASIF</v>
          </cell>
        </row>
        <row r="552">
          <cell r="C552" t="str">
            <v>Hery Alwis</v>
          </cell>
          <cell r="D552" t="str">
            <v>SBU MNO</v>
          </cell>
          <cell r="E552">
            <v>200000</v>
          </cell>
          <cell r="F552">
            <v>8900000</v>
          </cell>
          <cell r="G552">
            <v>0</v>
          </cell>
          <cell r="H552">
            <v>880470.74989339756</v>
          </cell>
          <cell r="I552">
            <v>260422.39396621651</v>
          </cell>
          <cell r="J552">
            <v>9980470.7498933971</v>
          </cell>
          <cell r="K552" t="str">
            <v>AKTIF</v>
          </cell>
        </row>
        <row r="553">
          <cell r="C553" t="str">
            <v>Ishak Sudradjat</v>
          </cell>
          <cell r="D553" t="str">
            <v>SBU MNO</v>
          </cell>
          <cell r="E553">
            <v>200000</v>
          </cell>
          <cell r="F553">
            <v>4900000</v>
          </cell>
          <cell r="G553">
            <v>0</v>
          </cell>
          <cell r="H553">
            <v>781057.31274104945</v>
          </cell>
          <cell r="I553">
            <v>153455.58970281106</v>
          </cell>
          <cell r="J553">
            <v>5881057.3127410496</v>
          </cell>
          <cell r="K553" t="str">
            <v>PASIF</v>
          </cell>
        </row>
        <row r="554">
          <cell r="C554" t="str">
            <v>Ismail</v>
          </cell>
          <cell r="D554" t="str">
            <v>SBU MNO</v>
          </cell>
          <cell r="E554">
            <v>200000</v>
          </cell>
          <cell r="F554">
            <v>10950000</v>
          </cell>
          <cell r="G554">
            <v>0</v>
          </cell>
          <cell r="H554">
            <v>752741.31274104945</v>
          </cell>
          <cell r="I554">
            <v>310580.57932364754</v>
          </cell>
          <cell r="J554">
            <v>11902741.312741049</v>
          </cell>
          <cell r="K554" t="str">
            <v>AKTIF</v>
          </cell>
        </row>
        <row r="555">
          <cell r="C555" t="str">
            <v>Jhon Nicodemus P</v>
          </cell>
          <cell r="D555" t="str">
            <v>-</v>
          </cell>
          <cell r="E555">
            <v>0</v>
          </cell>
          <cell r="F555">
            <v>100000</v>
          </cell>
          <cell r="G555">
            <v>0</v>
          </cell>
          <cell r="H555">
            <v>336490</v>
          </cell>
          <cell r="I555">
            <v>11389.419756931606</v>
          </cell>
          <cell r="J555">
            <v>436490</v>
          </cell>
          <cell r="K555" t="str">
            <v>PASIF</v>
          </cell>
        </row>
        <row r="556">
          <cell r="C556" t="str">
            <v>Muchtar Kartoulomo</v>
          </cell>
          <cell r="D556" t="str">
            <v>-</v>
          </cell>
          <cell r="E556">
            <v>0</v>
          </cell>
          <cell r="F556">
            <v>0</v>
          </cell>
          <cell r="G556">
            <v>0</v>
          </cell>
          <cell r="H556">
            <v>268887</v>
          </cell>
          <cell r="I556">
            <v>7016.121583958552</v>
          </cell>
          <cell r="J556">
            <v>268887</v>
          </cell>
          <cell r="K556" t="str">
            <v>PASIF</v>
          </cell>
        </row>
        <row r="557">
          <cell r="C557" t="str">
            <v>Nindia Laurina</v>
          </cell>
          <cell r="D557" t="str">
            <v>-</v>
          </cell>
          <cell r="E557">
            <v>0</v>
          </cell>
          <cell r="F557">
            <v>-100000</v>
          </cell>
          <cell r="G557">
            <v>0</v>
          </cell>
          <cell r="H557">
            <v>-4103</v>
          </cell>
          <cell r="I557">
            <v>-2716.3801346098439</v>
          </cell>
          <cell r="J557">
            <v>-104103</v>
          </cell>
          <cell r="K557" t="str">
            <v>PASIF</v>
          </cell>
        </row>
        <row r="558">
          <cell r="C558" t="str">
            <v>Bayu Kadir</v>
          </cell>
          <cell r="D558" t="str">
            <v>-</v>
          </cell>
          <cell r="E558">
            <v>0</v>
          </cell>
          <cell r="F558">
            <v>0</v>
          </cell>
          <cell r="G558">
            <v>-250000</v>
          </cell>
          <cell r="H558">
            <v>-10258</v>
          </cell>
          <cell r="I558">
            <v>-6790.9633831233377</v>
          </cell>
          <cell r="J558">
            <v>-260258</v>
          </cell>
          <cell r="K558" t="str">
            <v>PASIF</v>
          </cell>
        </row>
        <row r="559">
          <cell r="C559" t="str">
            <v>Bina Aji Nugraha</v>
          </cell>
          <cell r="D559" t="str">
            <v>-</v>
          </cell>
          <cell r="E559">
            <v>0</v>
          </cell>
          <cell r="F559">
            <v>0</v>
          </cell>
          <cell r="G559">
            <v>0</v>
          </cell>
          <cell r="H559">
            <v>353848</v>
          </cell>
          <cell r="I559">
            <v>9233.0257328936168</v>
          </cell>
          <cell r="J559">
            <v>353848</v>
          </cell>
          <cell r="K559" t="str">
            <v>PASIF</v>
          </cell>
        </row>
        <row r="560">
          <cell r="C560" t="str">
            <v>Muhammad Idam Yon Arif</v>
          </cell>
          <cell r="D560" t="str">
            <v>JB</v>
          </cell>
          <cell r="E560">
            <v>0</v>
          </cell>
          <cell r="F560">
            <v>250000</v>
          </cell>
          <cell r="G560">
            <v>0</v>
          </cell>
          <cell r="H560">
            <v>10257.69399492949</v>
          </cell>
          <cell r="I560">
            <v>6790.9553984726108</v>
          </cell>
          <cell r="J560">
            <v>260257.69399492949</v>
          </cell>
          <cell r="K560" t="str">
            <v>PASIF</v>
          </cell>
        </row>
        <row r="561">
          <cell r="C561" t="str">
            <v>Ahmad Riadus Sholihivi</v>
          </cell>
          <cell r="D561" t="str">
            <v>PRB</v>
          </cell>
          <cell r="E561">
            <v>0</v>
          </cell>
          <cell r="F561">
            <v>0</v>
          </cell>
          <cell r="G561">
            <v>0</v>
          </cell>
          <cell r="H561">
            <v>34196.20307365054</v>
          </cell>
          <cell r="I561">
            <v>892.28827899626731</v>
          </cell>
          <cell r="J561">
            <v>34196.20307365054</v>
          </cell>
          <cell r="K561" t="str">
            <v>PASIF</v>
          </cell>
        </row>
        <row r="562">
          <cell r="C562" t="str">
            <v>Fajar Nugraha, S.T</v>
          </cell>
          <cell r="D562" t="str">
            <v>SM</v>
          </cell>
          <cell r="E562">
            <v>200000</v>
          </cell>
          <cell r="F562">
            <v>19200000</v>
          </cell>
          <cell r="G562">
            <v>0</v>
          </cell>
          <cell r="H562">
            <v>1532453.7868757998</v>
          </cell>
          <cell r="I562">
            <v>546194.649868957</v>
          </cell>
          <cell r="J562">
            <v>20932453.786875799</v>
          </cell>
          <cell r="K562" t="str">
            <v>AKTIF</v>
          </cell>
        </row>
        <row r="563">
          <cell r="C563" t="str">
            <v>Mian Saroha Simangunsong</v>
          </cell>
          <cell r="D563" t="str">
            <v>CG</v>
          </cell>
          <cell r="E563">
            <v>0</v>
          </cell>
          <cell r="F563">
            <v>200000</v>
          </cell>
          <cell r="G563">
            <v>0</v>
          </cell>
          <cell r="H563">
            <v>198184.24563206383</v>
          </cell>
          <cell r="I563">
            <v>10389.900144563988</v>
          </cell>
          <cell r="J563">
            <v>398184.24563206383</v>
          </cell>
          <cell r="K563" t="str">
            <v>PASIF</v>
          </cell>
        </row>
        <row r="564">
          <cell r="C564" t="str">
            <v>Andrew Cristiant Pramusinta</v>
          </cell>
          <cell r="D564" t="str">
            <v>SV</v>
          </cell>
          <cell r="E564">
            <v>200000</v>
          </cell>
          <cell r="F564">
            <v>8450000</v>
          </cell>
          <cell r="G564">
            <v>0</v>
          </cell>
          <cell r="H564">
            <v>697057.16352551733</v>
          </cell>
          <cell r="I564">
            <v>243894.60818673193</v>
          </cell>
          <cell r="J564">
            <v>9347057.163525518</v>
          </cell>
          <cell r="K564" t="str">
            <v>PASIF</v>
          </cell>
        </row>
        <row r="565">
          <cell r="C565" t="str">
            <v>Yhoga Susila Wardanu</v>
          </cell>
          <cell r="D565" t="str">
            <v>BM</v>
          </cell>
          <cell r="E565">
            <v>200000</v>
          </cell>
          <cell r="F565">
            <v>15350000</v>
          </cell>
          <cell r="G565">
            <v>0</v>
          </cell>
          <cell r="H565">
            <v>875288.2030736506</v>
          </cell>
          <cell r="I565">
            <v>428588.28833050618</v>
          </cell>
          <cell r="J565">
            <v>16425288.203073651</v>
          </cell>
          <cell r="K565" t="str">
            <v>PASIF</v>
          </cell>
        </row>
        <row r="566">
          <cell r="C566" t="str">
            <v>Sutrisno</v>
          </cell>
          <cell r="D566" t="str">
            <v>CG</v>
          </cell>
          <cell r="E566">
            <v>200000</v>
          </cell>
          <cell r="F566">
            <v>12900000</v>
          </cell>
          <cell r="G566">
            <v>0</v>
          </cell>
          <cell r="H566">
            <v>738020.08626521262</v>
          </cell>
          <cell r="I566">
            <v>361078.19049079105</v>
          </cell>
          <cell r="J566">
            <v>13838020.086265212</v>
          </cell>
          <cell r="K566" t="str">
            <v>AKTIF</v>
          </cell>
        </row>
        <row r="567">
          <cell r="C567" t="str">
            <v>Purwoko Widhyanto Wirawan</v>
          </cell>
          <cell r="D567" t="str">
            <v>PR</v>
          </cell>
          <cell r="E567">
            <v>200000</v>
          </cell>
          <cell r="F567">
            <v>16700000</v>
          </cell>
          <cell r="G567">
            <v>0</v>
          </cell>
          <cell r="H567">
            <v>987299.16352551733</v>
          </cell>
          <cell r="I567">
            <v>466736.82900227659</v>
          </cell>
          <cell r="J567">
            <v>17887299.163525518</v>
          </cell>
          <cell r="K567" t="str">
            <v>AKTIF</v>
          </cell>
        </row>
        <row r="568">
          <cell r="C568" t="str">
            <v>Fahrul Nur Hidayat</v>
          </cell>
          <cell r="D568" t="str">
            <v>PRB</v>
          </cell>
          <cell r="E568">
            <v>200000</v>
          </cell>
          <cell r="F568">
            <v>19350000</v>
          </cell>
          <cell r="G568">
            <v>0</v>
          </cell>
          <cell r="H568">
            <v>877712.68200133205</v>
          </cell>
          <cell r="I568">
            <v>533024.34055604553</v>
          </cell>
          <cell r="J568">
            <v>20427712.682001334</v>
          </cell>
          <cell r="K568" t="str">
            <v>AKTIF</v>
          </cell>
        </row>
        <row r="569">
          <cell r="C569" t="str">
            <v>Yohanes Ardianto Nugroho</v>
          </cell>
          <cell r="D569" t="str">
            <v>AB</v>
          </cell>
          <cell r="E569">
            <v>200000</v>
          </cell>
          <cell r="F569">
            <v>9850000</v>
          </cell>
          <cell r="G569">
            <v>0</v>
          </cell>
          <cell r="H569">
            <v>520481.21248063259</v>
          </cell>
          <cell r="I569">
            <v>275817.65346674901</v>
          </cell>
          <cell r="J569">
            <v>10570481.212480633</v>
          </cell>
          <cell r="K569" t="str">
            <v>AKTIF</v>
          </cell>
        </row>
        <row r="570">
          <cell r="C570" t="str">
            <v>Agus Rizqiansyah</v>
          </cell>
          <cell r="D570" t="str">
            <v>-</v>
          </cell>
          <cell r="E570">
            <v>0</v>
          </cell>
          <cell r="F570">
            <v>0</v>
          </cell>
          <cell r="G570">
            <v>2187500</v>
          </cell>
          <cell r="H570">
            <v>89754.594034806243</v>
          </cell>
          <cell r="I570">
            <v>59420.853776405609</v>
          </cell>
          <cell r="J570">
            <v>2277254.5940348064</v>
          </cell>
          <cell r="K570" t="str">
            <v>PASIF</v>
          </cell>
        </row>
        <row r="571">
          <cell r="C571" t="str">
            <v>Muhammad Aulia</v>
          </cell>
          <cell r="D571" t="str">
            <v>SV</v>
          </cell>
          <cell r="E571">
            <v>200000</v>
          </cell>
          <cell r="F571">
            <v>19350000</v>
          </cell>
          <cell r="G571">
            <v>0</v>
          </cell>
          <cell r="H571">
            <v>893736.2030736506</v>
          </cell>
          <cell r="I571">
            <v>533442.44545530237</v>
          </cell>
          <cell r="J571">
            <v>20443736.203073651</v>
          </cell>
          <cell r="K571" t="str">
            <v>AKTIF</v>
          </cell>
        </row>
        <row r="572">
          <cell r="C572" t="str">
            <v>Dwi Aryanto</v>
          </cell>
          <cell r="D572" t="str">
            <v>BM</v>
          </cell>
          <cell r="E572">
            <v>0</v>
          </cell>
          <cell r="F572">
            <v>0</v>
          </cell>
          <cell r="G572">
            <v>0</v>
          </cell>
          <cell r="H572">
            <v>257804.54805421431</v>
          </cell>
          <cell r="I572">
            <v>6726.9449770567289</v>
          </cell>
          <cell r="J572">
            <v>257804.54805421431</v>
          </cell>
          <cell r="K572" t="str">
            <v>PASIF</v>
          </cell>
        </row>
        <row r="573">
          <cell r="C573" t="str">
            <v>Janu Harimurti Taka</v>
          </cell>
          <cell r="D573" t="str">
            <v>BM</v>
          </cell>
          <cell r="E573">
            <v>200000</v>
          </cell>
          <cell r="F573">
            <v>13050000</v>
          </cell>
          <cell r="G573">
            <v>0</v>
          </cell>
          <cell r="H573">
            <v>819046.57508494193</v>
          </cell>
          <cell r="I573">
            <v>367106.41028079303</v>
          </cell>
          <cell r="J573">
            <v>14069046.575084941</v>
          </cell>
          <cell r="K573" t="str">
            <v>AKTIF</v>
          </cell>
        </row>
        <row r="574">
          <cell r="C574" t="str">
            <v>Tulus Setiyawan W K</v>
          </cell>
          <cell r="D574" t="str">
            <v>STA</v>
          </cell>
          <cell r="E574">
            <v>0</v>
          </cell>
          <cell r="F574">
            <v>0</v>
          </cell>
          <cell r="G574">
            <v>0</v>
          </cell>
          <cell r="H574">
            <v>27259.634315028496</v>
          </cell>
          <cell r="I574">
            <v>711.29102072055787</v>
          </cell>
          <cell r="J574">
            <v>27259.634315028496</v>
          </cell>
          <cell r="K574" t="str">
            <v>PASIF</v>
          </cell>
        </row>
        <row r="575">
          <cell r="C575" t="str">
            <v>Alwi</v>
          </cell>
          <cell r="D575" t="str">
            <v>DOK</v>
          </cell>
          <cell r="E575">
            <v>200000</v>
          </cell>
          <cell r="F575">
            <v>19350000</v>
          </cell>
          <cell r="G575">
            <v>250000</v>
          </cell>
          <cell r="H575">
            <v>902026.2030736506</v>
          </cell>
          <cell r="I575">
            <v>540182.05742583517</v>
          </cell>
          <cell r="J575">
            <v>20702026.203073651</v>
          </cell>
          <cell r="K575" t="str">
            <v>AKTIF</v>
          </cell>
        </row>
        <row r="576">
          <cell r="C576" t="str">
            <v>Risky Hari Prasetyo</v>
          </cell>
          <cell r="D576" t="str">
            <v>PK</v>
          </cell>
          <cell r="E576">
            <v>200000</v>
          </cell>
          <cell r="F576">
            <v>2250000</v>
          </cell>
          <cell r="G576">
            <v>60000</v>
          </cell>
          <cell r="H576">
            <v>616204.67443352204</v>
          </cell>
          <cell r="I576">
            <v>81572.675853295819</v>
          </cell>
          <cell r="J576">
            <v>3126204.6744335219</v>
          </cell>
          <cell r="K576" t="str">
            <v>PASIF</v>
          </cell>
        </row>
        <row r="577">
          <cell r="C577" t="str">
            <v>Fivid Rivantoro</v>
          </cell>
          <cell r="D577" t="str">
            <v>PRB</v>
          </cell>
          <cell r="E577">
            <v>0</v>
          </cell>
          <cell r="F577">
            <v>0</v>
          </cell>
          <cell r="G577">
            <v>0</v>
          </cell>
          <cell r="H577">
            <v>437817.68200133205</v>
          </cell>
          <cell r="I577">
            <v>11424.0632255492</v>
          </cell>
          <cell r="J577">
            <v>437817.68200133205</v>
          </cell>
          <cell r="K577" t="str">
            <v>PASIF</v>
          </cell>
        </row>
        <row r="578">
          <cell r="C578" t="str">
            <v>Eko Haryanto</v>
          </cell>
          <cell r="D578" t="str">
            <v>STA</v>
          </cell>
          <cell r="E578">
            <v>0</v>
          </cell>
          <cell r="F578">
            <v>0</v>
          </cell>
          <cell r="G578">
            <v>0</v>
          </cell>
          <cell r="H578">
            <v>31707</v>
          </cell>
          <cell r="I578">
            <v>827.33701169105916</v>
          </cell>
          <cell r="J578">
            <v>31707</v>
          </cell>
          <cell r="K578" t="str">
            <v>PASIF</v>
          </cell>
        </row>
        <row r="579">
          <cell r="C579" t="str">
            <v>Adityo Aji Kurniawan</v>
          </cell>
          <cell r="D579" t="str">
            <v>-</v>
          </cell>
          <cell r="E579">
            <v>0</v>
          </cell>
          <cell r="F579">
            <v>-100000</v>
          </cell>
          <cell r="G579">
            <v>0</v>
          </cell>
          <cell r="H579">
            <v>18230</v>
          </cell>
          <cell r="I579">
            <v>-2133.6407558576311</v>
          </cell>
          <cell r="J579">
            <v>-81770</v>
          </cell>
          <cell r="K579" t="str">
            <v>PASIF</v>
          </cell>
        </row>
        <row r="580">
          <cell r="C580" t="str">
            <v>Ryan Hangga Sri Wijiharto</v>
          </cell>
          <cell r="D580" t="str">
            <v>SBU MNO</v>
          </cell>
          <cell r="E580">
            <v>150000</v>
          </cell>
          <cell r="F580">
            <v>8750000</v>
          </cell>
          <cell r="G580">
            <v>0</v>
          </cell>
          <cell r="H580">
            <v>850681.30477453605</v>
          </cell>
          <cell r="I580">
            <v>254426.45260176118</v>
          </cell>
          <cell r="J580">
            <v>9750681.3047745358</v>
          </cell>
          <cell r="K580" t="str">
            <v>AKTIF</v>
          </cell>
        </row>
        <row r="581">
          <cell r="C581" t="str">
            <v>Mokhammad Yufian R</v>
          </cell>
          <cell r="D581" t="str">
            <v>SBU ENI</v>
          </cell>
          <cell r="E581">
            <v>150000</v>
          </cell>
          <cell r="F581">
            <v>8750000</v>
          </cell>
          <cell r="G581">
            <v>150000</v>
          </cell>
          <cell r="H581">
            <v>871702.30477453605</v>
          </cell>
          <cell r="I581">
            <v>258888.93732363384</v>
          </cell>
          <cell r="J581">
            <v>9921702.3047745358</v>
          </cell>
          <cell r="K581" t="str">
            <v>AKTIF</v>
          </cell>
        </row>
        <row r="582">
          <cell r="C582" t="str">
            <v>Bramanti Pramawedha S P</v>
          </cell>
          <cell r="D582" t="str">
            <v>SBU ENI</v>
          </cell>
          <cell r="E582">
            <v>150000</v>
          </cell>
          <cell r="F582">
            <v>8750000</v>
          </cell>
          <cell r="G582">
            <v>0</v>
          </cell>
          <cell r="H582">
            <v>573088.53280735051</v>
          </cell>
          <cell r="I582">
            <v>247183.16959086867</v>
          </cell>
          <cell r="J582">
            <v>9473088.5328073502</v>
          </cell>
          <cell r="K582" t="str">
            <v>AKTIF</v>
          </cell>
        </row>
        <row r="583">
          <cell r="C583" t="str">
            <v>Elvino Yusca Putra</v>
          </cell>
          <cell r="D583" t="str">
            <v>SBU ENI</v>
          </cell>
          <cell r="E583">
            <v>150000</v>
          </cell>
          <cell r="F583">
            <v>8750000</v>
          </cell>
          <cell r="G583">
            <v>350000</v>
          </cell>
          <cell r="H583">
            <v>863859.30477453605</v>
          </cell>
          <cell r="I583">
            <v>263902.92786690564</v>
          </cell>
          <cell r="J583">
            <v>10113859.304774536</v>
          </cell>
          <cell r="K583" t="str">
            <v>AKTIF</v>
          </cell>
        </row>
        <row r="584">
          <cell r="C584" t="str">
            <v>Muh Ali Hasan</v>
          </cell>
          <cell r="D584" t="str">
            <v>PRC</v>
          </cell>
          <cell r="E584">
            <v>200000</v>
          </cell>
          <cell r="F584">
            <v>12450000</v>
          </cell>
          <cell r="G584">
            <v>0</v>
          </cell>
          <cell r="H584">
            <v>1373644.1734937984</v>
          </cell>
          <cell r="I584">
            <v>365921.71645116509</v>
          </cell>
          <cell r="J584">
            <v>14023644.173493799</v>
          </cell>
          <cell r="K584" t="str">
            <v>AKTIF</v>
          </cell>
        </row>
        <row r="585">
          <cell r="C585" t="str">
            <v>Ardiansyah Dahlan, S.T.</v>
          </cell>
          <cell r="D585" t="str">
            <v>CG</v>
          </cell>
          <cell r="E585">
            <v>0</v>
          </cell>
          <cell r="F585">
            <v>300000</v>
          </cell>
          <cell r="G585">
            <v>0</v>
          </cell>
          <cell r="H585">
            <v>45285.594983266608</v>
          </cell>
          <cell r="I585">
            <v>9009.6052081062589</v>
          </cell>
          <cell r="J585">
            <v>345285.59498326661</v>
          </cell>
          <cell r="K585" t="str">
            <v>PASIF</v>
          </cell>
        </row>
        <row r="586">
          <cell r="C586" t="str">
            <v>Mokhammad Fakhrur Rizal</v>
          </cell>
          <cell r="D586" t="str">
            <v>SBU MNO</v>
          </cell>
          <cell r="E586">
            <v>0</v>
          </cell>
          <cell r="F586">
            <v>0</v>
          </cell>
          <cell r="G586">
            <v>0</v>
          </cell>
          <cell r="H586">
            <v>36113</v>
          </cell>
          <cell r="I586">
            <v>942.3036396757567</v>
          </cell>
          <cell r="J586">
            <v>36113</v>
          </cell>
          <cell r="K586" t="str">
            <v>PASIF</v>
          </cell>
        </row>
        <row r="587">
          <cell r="C587" t="str">
            <v>M Rizqi Fitra H</v>
          </cell>
          <cell r="D587" t="str">
            <v>R&amp;P</v>
          </cell>
          <cell r="E587">
            <v>200000</v>
          </cell>
          <cell r="F587">
            <v>19350000</v>
          </cell>
          <cell r="G587">
            <v>0</v>
          </cell>
          <cell r="H587">
            <v>893736.2030736506</v>
          </cell>
          <cell r="I587">
            <v>533442.44545530237</v>
          </cell>
          <cell r="J587">
            <v>20443736.203073651</v>
          </cell>
          <cell r="K587" t="str">
            <v>AKTIF</v>
          </cell>
        </row>
        <row r="588">
          <cell r="C588" t="str">
            <v>Sony Anggara</v>
          </cell>
          <cell r="D588" t="str">
            <v>R&amp;P</v>
          </cell>
          <cell r="E588">
            <v>0</v>
          </cell>
          <cell r="F588">
            <v>250000</v>
          </cell>
          <cell r="G588">
            <v>0</v>
          </cell>
          <cell r="H588">
            <v>85439.20307365054</v>
          </cell>
          <cell r="I588">
            <v>8752.6813597938744</v>
          </cell>
          <cell r="J588">
            <v>335439.20307365054</v>
          </cell>
          <cell r="K588" t="str">
            <v>PASIF</v>
          </cell>
        </row>
        <row r="589">
          <cell r="C589" t="str">
            <v>M Teguh Widodo</v>
          </cell>
          <cell r="D589" t="str">
            <v>SBU MNO</v>
          </cell>
          <cell r="E589">
            <v>150000</v>
          </cell>
          <cell r="F589">
            <v>8850000</v>
          </cell>
          <cell r="G589">
            <v>0</v>
          </cell>
          <cell r="H589">
            <v>852526.30477453605</v>
          </cell>
          <cell r="I589">
            <v>257083.91429651866</v>
          </cell>
          <cell r="J589">
            <v>9852526.3047745358</v>
          </cell>
          <cell r="K589" t="str">
            <v>AKTIF</v>
          </cell>
        </row>
        <row r="590">
          <cell r="C590" t="str">
            <v>La Ode Muhammad Ichsan, S.T.</v>
          </cell>
          <cell r="D590" t="str">
            <v>STA</v>
          </cell>
          <cell r="E590">
            <v>0</v>
          </cell>
          <cell r="F590">
            <v>0</v>
          </cell>
          <cell r="G590">
            <v>0</v>
          </cell>
          <cell r="H590">
            <v>34196.20307365054</v>
          </cell>
          <cell r="I590">
            <v>892.28827899626731</v>
          </cell>
          <cell r="J590">
            <v>34196.20307365054</v>
          </cell>
          <cell r="K590" t="str">
            <v>PASIF</v>
          </cell>
        </row>
        <row r="591">
          <cell r="C591" t="str">
            <v>Andi Dian Aulya</v>
          </cell>
          <cell r="D591" t="str">
            <v>-</v>
          </cell>
          <cell r="E591">
            <v>0</v>
          </cell>
          <cell r="F591">
            <v>0</v>
          </cell>
          <cell r="G591">
            <v>0</v>
          </cell>
          <cell r="H591">
            <v>50275.423434650387</v>
          </cell>
          <cell r="I591">
            <v>1311.8465507908757</v>
          </cell>
          <cell r="J591">
            <v>50275.423434650387</v>
          </cell>
          <cell r="K591" t="str">
            <v>PASIF</v>
          </cell>
        </row>
        <row r="592">
          <cell r="C592" t="str">
            <v>Haryanti</v>
          </cell>
          <cell r="D592" t="str">
            <v>SBU ENI</v>
          </cell>
          <cell r="E592">
            <v>200000</v>
          </cell>
          <cell r="F592">
            <v>8700000</v>
          </cell>
          <cell r="G592">
            <v>0</v>
          </cell>
          <cell r="H592">
            <v>845020.08401418221</v>
          </cell>
          <cell r="I592">
            <v>254278.73325062756</v>
          </cell>
          <cell r="J592">
            <v>9745020.0840141829</v>
          </cell>
          <cell r="K592" t="str">
            <v>AKTIF</v>
          </cell>
        </row>
        <row r="593">
          <cell r="C593" t="str">
            <v>Khasful Waly</v>
          </cell>
          <cell r="D593" t="str">
            <v>MAC</v>
          </cell>
          <cell r="E593">
            <v>0</v>
          </cell>
          <cell r="F593">
            <v>0</v>
          </cell>
          <cell r="G593">
            <v>0</v>
          </cell>
          <cell r="H593">
            <v>148723.08401418221</v>
          </cell>
          <cell r="I593">
            <v>3880.6607972300071</v>
          </cell>
          <cell r="J593">
            <v>148723.08401418221</v>
          </cell>
          <cell r="K593" t="str">
            <v>BUKAN ANGGOTA</v>
          </cell>
        </row>
        <row r="594">
          <cell r="C594" t="str">
            <v>Munaseh</v>
          </cell>
          <cell r="D594" t="str">
            <v>MAC</v>
          </cell>
          <cell r="E594">
            <v>0</v>
          </cell>
          <cell r="F594">
            <v>0</v>
          </cell>
          <cell r="G594">
            <v>0</v>
          </cell>
          <cell r="H594">
            <v>156861.89181990281</v>
          </cell>
          <cell r="I594">
            <v>4093.0283163492159</v>
          </cell>
          <cell r="J594">
            <v>156861.89181990281</v>
          </cell>
          <cell r="K594" t="str">
            <v>BUKAN ANGGOTA</v>
          </cell>
        </row>
        <row r="595">
          <cell r="C595" t="str">
            <v>Sali Sartika</v>
          </cell>
          <cell r="D595" t="str">
            <v>SBU ENI</v>
          </cell>
          <cell r="E595">
            <v>200000</v>
          </cell>
          <cell r="F595">
            <v>8700000</v>
          </cell>
          <cell r="G595">
            <v>330000</v>
          </cell>
          <cell r="H595">
            <v>876022.52116653032</v>
          </cell>
          <cell r="I595">
            <v>263698.44112481346</v>
          </cell>
          <cell r="J595">
            <v>10106022.52116653</v>
          </cell>
          <cell r="K595" t="str">
            <v>AKTIF</v>
          </cell>
        </row>
        <row r="596">
          <cell r="C596" t="str">
            <v>Febri Denyanto</v>
          </cell>
          <cell r="D596" t="str">
            <v>SBU ENI</v>
          </cell>
          <cell r="E596">
            <v>0</v>
          </cell>
          <cell r="F596">
            <v>0</v>
          </cell>
          <cell r="G596">
            <v>0</v>
          </cell>
          <cell r="H596">
            <v>30328</v>
          </cell>
          <cell r="I596">
            <v>791.35449240125024</v>
          </cell>
          <cell r="J596">
            <v>30328</v>
          </cell>
          <cell r="K596" t="str">
            <v>PASIF</v>
          </cell>
        </row>
        <row r="597">
          <cell r="C597" t="str">
            <v>Rio Fegi</v>
          </cell>
          <cell r="D597" t="str">
            <v>SBU ENI</v>
          </cell>
          <cell r="E597">
            <v>0</v>
          </cell>
          <cell r="F597">
            <v>0</v>
          </cell>
          <cell r="G597">
            <v>0</v>
          </cell>
          <cell r="H597">
            <v>21717.488739338529</v>
          </cell>
          <cell r="I597">
            <v>566.67872189228137</v>
          </cell>
          <cell r="J597">
            <v>21717.488739338529</v>
          </cell>
          <cell r="K597" t="str">
            <v>PASIF</v>
          </cell>
        </row>
        <row r="598">
          <cell r="C598" t="str">
            <v>Fatma Kurniasari</v>
          </cell>
          <cell r="D598" t="str">
            <v>SBU ENI</v>
          </cell>
          <cell r="E598">
            <v>200000</v>
          </cell>
          <cell r="F598">
            <v>2400000</v>
          </cell>
          <cell r="G598">
            <v>0</v>
          </cell>
          <cell r="H598">
            <v>392833.17728229426</v>
          </cell>
          <cell r="I598">
            <v>78092.587043321386</v>
          </cell>
          <cell r="J598">
            <v>2992833.1772822943</v>
          </cell>
          <cell r="K598" t="str">
            <v>PASIF</v>
          </cell>
        </row>
        <row r="599">
          <cell r="C599" t="str">
            <v>Luganda Siahaan</v>
          </cell>
          <cell r="D599" t="str">
            <v>MAC</v>
          </cell>
          <cell r="E599">
            <v>0</v>
          </cell>
          <cell r="F599">
            <v>-100000</v>
          </cell>
          <cell r="G599">
            <v>0</v>
          </cell>
          <cell r="H599">
            <v>152987.48873933847</v>
          </cell>
          <cell r="I599">
            <v>1382.6130062957056</v>
          </cell>
          <cell r="J599">
            <v>52987.488739338471</v>
          </cell>
          <cell r="K599" t="str">
            <v>BUKAN ANGGOTA</v>
          </cell>
        </row>
        <row r="600">
          <cell r="C600" t="str">
            <v>Satria Adi Sukma Negara, ST</v>
          </cell>
          <cell r="D600" t="str">
            <v>SBU ENI</v>
          </cell>
          <cell r="E600">
            <v>200000</v>
          </cell>
          <cell r="F600">
            <v>8400000</v>
          </cell>
          <cell r="G600">
            <v>500000</v>
          </cell>
          <cell r="H600">
            <v>827993.48873933847</v>
          </cell>
          <cell r="I600">
            <v>259053.09442905025</v>
          </cell>
          <cell r="J600">
            <v>9927993.4887393378</v>
          </cell>
          <cell r="K600" t="str">
            <v>AKTIF</v>
          </cell>
        </row>
        <row r="601">
          <cell r="C601" t="str">
            <v>Irma Yuniati</v>
          </cell>
          <cell r="D601" t="str">
            <v>SBU ENI</v>
          </cell>
          <cell r="E601">
            <v>200000</v>
          </cell>
          <cell r="F601">
            <v>8600000</v>
          </cell>
          <cell r="G601">
            <v>150000</v>
          </cell>
          <cell r="H601">
            <v>836343.1353453123</v>
          </cell>
          <cell r="I601">
            <v>255356.98378843474</v>
          </cell>
          <cell r="J601">
            <v>9786343.1353453118</v>
          </cell>
          <cell r="K601" t="str">
            <v>AKTIF</v>
          </cell>
        </row>
        <row r="602">
          <cell r="C602" t="str">
            <v>Bayu Rista, S.T.</v>
          </cell>
          <cell r="D602" t="str">
            <v>SB</v>
          </cell>
          <cell r="E602">
            <v>0</v>
          </cell>
          <cell r="F602">
            <v>6750000</v>
          </cell>
          <cell r="G602">
            <v>0</v>
          </cell>
          <cell r="H602">
            <v>521017.66353413352</v>
          </cell>
          <cell r="I602">
            <v>189724.09959003492</v>
          </cell>
          <cell r="J602">
            <v>7271017.6635341337</v>
          </cell>
          <cell r="K602" t="str">
            <v>AKTIF</v>
          </cell>
        </row>
        <row r="603">
          <cell r="C603" t="str">
            <v>Daniel Mahardika, S.T.</v>
          </cell>
          <cell r="D603" t="str">
            <v>SBU ENI</v>
          </cell>
          <cell r="E603">
            <v>200000</v>
          </cell>
          <cell r="F603">
            <v>19100000</v>
          </cell>
          <cell r="G603">
            <v>0</v>
          </cell>
          <cell r="H603">
            <v>862846.31283592759</v>
          </cell>
          <cell r="I603">
            <v>526113.13008634583</v>
          </cell>
          <cell r="J603">
            <v>20162846.312835928</v>
          </cell>
          <cell r="K603" t="str">
            <v>AKTIF</v>
          </cell>
        </row>
        <row r="604">
          <cell r="C604" t="str">
            <v>Deny Cahyo Nugroho, S.T.</v>
          </cell>
          <cell r="D604" t="str">
            <v>PRB</v>
          </cell>
          <cell r="E604">
            <v>0</v>
          </cell>
          <cell r="F604">
            <v>19350000</v>
          </cell>
          <cell r="G604">
            <v>0</v>
          </cell>
          <cell r="H604">
            <v>852349.31283592759</v>
          </cell>
          <cell r="I604">
            <v>527143.88966539246</v>
          </cell>
          <cell r="J604">
            <v>20202349.312835928</v>
          </cell>
          <cell r="K604" t="str">
            <v>AKTIF</v>
          </cell>
        </row>
        <row r="605">
          <cell r="C605" t="str">
            <v>Jiadan, S.T.</v>
          </cell>
          <cell r="D605" t="str">
            <v>PRB</v>
          </cell>
          <cell r="E605">
            <v>0</v>
          </cell>
          <cell r="F605">
            <v>19450000</v>
          </cell>
          <cell r="G605">
            <v>0</v>
          </cell>
          <cell r="H605">
            <v>860662.7499882757</v>
          </cell>
          <cell r="I605">
            <v>529970.13356798841</v>
          </cell>
          <cell r="J605">
            <v>20310662.749988277</v>
          </cell>
          <cell r="K605" t="str">
            <v>AKTIF</v>
          </cell>
        </row>
        <row r="606">
          <cell r="C606" t="str">
            <v>Muhammad Aris Sultan</v>
          </cell>
          <cell r="D606" t="str">
            <v>SBU ENI</v>
          </cell>
          <cell r="E606">
            <v>0</v>
          </cell>
          <cell r="F606">
            <v>19100000</v>
          </cell>
          <cell r="G606">
            <v>250000</v>
          </cell>
          <cell r="H606">
            <v>866622.31283592759</v>
          </cell>
          <cell r="I606">
            <v>527516.31787266105</v>
          </cell>
          <cell r="J606">
            <v>20216622.312835928</v>
          </cell>
          <cell r="K606" t="str">
            <v>AKTIF</v>
          </cell>
        </row>
        <row r="607">
          <cell r="C607" t="str">
            <v>Yasin Besari Mustofa, S.T.</v>
          </cell>
          <cell r="D607" t="str">
            <v>M&amp;K</v>
          </cell>
          <cell r="E607">
            <v>0</v>
          </cell>
          <cell r="F607">
            <v>0</v>
          </cell>
          <cell r="G607">
            <v>200000</v>
          </cell>
          <cell r="H607">
            <v>315340.03309765551</v>
          </cell>
          <cell r="I607">
            <v>13446.869239845644</v>
          </cell>
          <cell r="J607">
            <v>515340.03309765551</v>
          </cell>
          <cell r="K607" t="str">
            <v>BUKAN ANGGOTA</v>
          </cell>
        </row>
        <row r="608">
          <cell r="C608" t="str">
            <v>Akbar Rakanda Prakasa, S.T.</v>
          </cell>
          <cell r="D608" t="str">
            <v>R&amp;P</v>
          </cell>
          <cell r="E608">
            <v>0</v>
          </cell>
          <cell r="F608">
            <v>250000</v>
          </cell>
          <cell r="G608">
            <v>0</v>
          </cell>
          <cell r="H608">
            <v>80222.312835927587</v>
          </cell>
          <cell r="I608">
            <v>8616.5560127223143</v>
          </cell>
          <cell r="J608">
            <v>330222.31283592759</v>
          </cell>
          <cell r="K608" t="str">
            <v>PASIF</v>
          </cell>
        </row>
        <row r="609">
          <cell r="C609" t="str">
            <v>Vina Nanda Garjati, S.T.</v>
          </cell>
          <cell r="D609" t="str">
            <v>DOK</v>
          </cell>
          <cell r="E609">
            <v>0</v>
          </cell>
          <cell r="F609">
            <v>0</v>
          </cell>
          <cell r="G609">
            <v>0</v>
          </cell>
          <cell r="H609">
            <v>32558.312835927587</v>
          </cell>
          <cell r="I609">
            <v>849.55048561450099</v>
          </cell>
          <cell r="J609">
            <v>32558.312835927587</v>
          </cell>
          <cell r="K609" t="str">
            <v>PASIF</v>
          </cell>
        </row>
        <row r="610">
          <cell r="C610" t="str">
            <v>Ade Nursal, S.T.</v>
          </cell>
          <cell r="D610" t="str">
            <v>M&amp;K</v>
          </cell>
          <cell r="E610">
            <v>0</v>
          </cell>
          <cell r="F610">
            <v>0</v>
          </cell>
          <cell r="G610">
            <v>0</v>
          </cell>
          <cell r="H610">
            <v>311612.31283592759</v>
          </cell>
          <cell r="I610">
            <v>8130.9616080933483</v>
          </cell>
          <cell r="J610">
            <v>311612.31283592759</v>
          </cell>
          <cell r="K610" t="str">
            <v>BUKAN ANGGOTA</v>
          </cell>
        </row>
        <row r="611">
          <cell r="C611" t="str">
            <v>Fajar Lutfialayubi, S.T.</v>
          </cell>
          <cell r="D611" t="str">
            <v>M&amp;K</v>
          </cell>
          <cell r="E611">
            <v>0</v>
          </cell>
          <cell r="F611">
            <v>0</v>
          </cell>
          <cell r="G611">
            <v>0</v>
          </cell>
          <cell r="H611">
            <v>270449.00137888337</v>
          </cell>
          <cell r="I611">
            <v>7056.8791943620181</v>
          </cell>
          <cell r="J611">
            <v>270449.00137888337</v>
          </cell>
          <cell r="K611" t="str">
            <v>BUKAN ANGGOTA</v>
          </cell>
        </row>
        <row r="612">
          <cell r="C612" t="str">
            <v>Rahmi Sartika Permana Dora</v>
          </cell>
          <cell r="D612" t="str">
            <v>-</v>
          </cell>
          <cell r="E612">
            <v>0</v>
          </cell>
          <cell r="F612">
            <v>0</v>
          </cell>
          <cell r="G612">
            <v>-100000</v>
          </cell>
          <cell r="H612">
            <v>-4103</v>
          </cell>
          <cell r="I612">
            <v>-2716.3801346098439</v>
          </cell>
          <cell r="J612">
            <v>-104103</v>
          </cell>
          <cell r="K612" t="str">
            <v>PASIF</v>
          </cell>
        </row>
        <row r="613">
          <cell r="C613" t="str">
            <v>Erick Marcos Kiuk</v>
          </cell>
          <cell r="D613" t="str">
            <v>-</v>
          </cell>
          <cell r="E613">
            <v>50000</v>
          </cell>
          <cell r="F613">
            <v>0</v>
          </cell>
          <cell r="G613">
            <v>0</v>
          </cell>
          <cell r="H613">
            <v>2052</v>
          </cell>
          <cell r="I613">
            <v>1358.2031139036494</v>
          </cell>
          <cell r="J613">
            <v>52052</v>
          </cell>
          <cell r="K613" t="str">
            <v>PASIF</v>
          </cell>
        </row>
        <row r="614">
          <cell r="C614" t="str">
            <v>Irsal</v>
          </cell>
          <cell r="D614" t="str">
            <v>-</v>
          </cell>
          <cell r="E614">
            <v>0</v>
          </cell>
          <cell r="F614">
            <v>-100000</v>
          </cell>
          <cell r="G614">
            <v>0</v>
          </cell>
          <cell r="H614">
            <v>-4103</v>
          </cell>
          <cell r="I614">
            <v>-2716.3801346098439</v>
          </cell>
          <cell r="J614">
            <v>-104103</v>
          </cell>
          <cell r="K614" t="str">
            <v>PASIF</v>
          </cell>
        </row>
        <row r="615">
          <cell r="C615" t="str">
            <v>Deni</v>
          </cell>
          <cell r="D615" t="str">
            <v>BN</v>
          </cell>
          <cell r="E615">
            <v>0</v>
          </cell>
          <cell r="F615">
            <v>2150000</v>
          </cell>
          <cell r="G615">
            <v>0</v>
          </cell>
          <cell r="H615">
            <v>321584.31671278446</v>
          </cell>
          <cell r="I615">
            <v>64491.537601527845</v>
          </cell>
          <cell r="J615">
            <v>2471584.3167127846</v>
          </cell>
          <cell r="K615" t="str">
            <v>PASIF</v>
          </cell>
        </row>
        <row r="616">
          <cell r="C616" t="str">
            <v>Petrus Jacob Matuankotta</v>
          </cell>
          <cell r="D616" t="str">
            <v>SBU ENI</v>
          </cell>
          <cell r="E616">
            <v>200000</v>
          </cell>
          <cell r="F616">
            <v>400000</v>
          </cell>
          <cell r="G616">
            <v>0</v>
          </cell>
          <cell r="H616">
            <v>137069.93782773582</v>
          </cell>
          <cell r="I616">
            <v>19232.511425543686</v>
          </cell>
          <cell r="J616">
            <v>737069.93782773579</v>
          </cell>
          <cell r="K616" t="str">
            <v>PASIF</v>
          </cell>
        </row>
        <row r="617">
          <cell r="C617" t="str">
            <v>Muhamad Ardiansyah</v>
          </cell>
          <cell r="D617" t="str">
            <v>SBU ENI</v>
          </cell>
          <cell r="E617">
            <v>200000</v>
          </cell>
          <cell r="F617">
            <v>8600000</v>
          </cell>
          <cell r="G617">
            <v>1670000</v>
          </cell>
          <cell r="H617">
            <v>931188.81394522975</v>
          </cell>
          <cell r="I617">
            <v>297493.47093875101</v>
          </cell>
          <cell r="J617">
            <v>11401188.81394523</v>
          </cell>
          <cell r="K617" t="str">
            <v>AKTIF</v>
          </cell>
        </row>
        <row r="618">
          <cell r="C618" t="str">
            <v>Murdiyanta</v>
          </cell>
          <cell r="D618" t="str">
            <v>SBU ENI</v>
          </cell>
          <cell r="E618">
            <v>200000</v>
          </cell>
          <cell r="F618">
            <v>8600000</v>
          </cell>
          <cell r="G618">
            <v>400000</v>
          </cell>
          <cell r="H618">
            <v>836470.64686183422</v>
          </cell>
          <cell r="I618">
            <v>261883.61033524777</v>
          </cell>
          <cell r="J618">
            <v>10036470.646861834</v>
          </cell>
          <cell r="K618" t="str">
            <v>AKTIF</v>
          </cell>
        </row>
        <row r="619">
          <cell r="C619" t="str">
            <v>Syarifuddin Yamin, S.T.</v>
          </cell>
          <cell r="D619" t="str">
            <v>TP</v>
          </cell>
          <cell r="E619">
            <v>0</v>
          </cell>
          <cell r="F619">
            <v>19350000</v>
          </cell>
          <cell r="G619">
            <v>0</v>
          </cell>
          <cell r="H619">
            <v>852349.31283592759</v>
          </cell>
          <cell r="I619">
            <v>527143.88966539246</v>
          </cell>
          <cell r="J619">
            <v>20202349.312835928</v>
          </cell>
          <cell r="K619" t="str">
            <v>AKTIF</v>
          </cell>
        </row>
        <row r="620">
          <cell r="C620" t="str">
            <v>Choirun Cahyoabdi, S.T.</v>
          </cell>
          <cell r="D620" t="str">
            <v>SD</v>
          </cell>
          <cell r="E620">
            <v>0</v>
          </cell>
          <cell r="F620">
            <v>12450000</v>
          </cell>
          <cell r="G620">
            <v>0</v>
          </cell>
          <cell r="H620">
            <v>1534924.949610187</v>
          </cell>
          <cell r="I620">
            <v>364911.40809708351</v>
          </cell>
          <cell r="J620">
            <v>13984924.949610187</v>
          </cell>
          <cell r="K620" t="str">
            <v>AKTIF</v>
          </cell>
        </row>
        <row r="621">
          <cell r="C621" t="str">
            <v>Muhammad Asrul La Saripi, S.T.</v>
          </cell>
          <cell r="D621" t="str">
            <v>BM</v>
          </cell>
          <cell r="E621">
            <v>0</v>
          </cell>
          <cell r="F621">
            <v>12600000</v>
          </cell>
          <cell r="G621">
            <v>0</v>
          </cell>
          <cell r="H621">
            <v>959502.63575910893</v>
          </cell>
          <cell r="I621">
            <v>353810.77966020064</v>
          </cell>
          <cell r="J621">
            <v>13559502.63575911</v>
          </cell>
          <cell r="K621" t="str">
            <v>AKTIF</v>
          </cell>
        </row>
        <row r="622">
          <cell r="C622" t="str">
            <v>M Irfan</v>
          </cell>
          <cell r="D622" t="str">
            <v>SBC</v>
          </cell>
          <cell r="E622">
            <v>0</v>
          </cell>
          <cell r="F622">
            <v>3025000</v>
          </cell>
          <cell r="G622">
            <v>0</v>
          </cell>
          <cell r="H622">
            <v>821234.8186002624</v>
          </cell>
          <cell r="I622">
            <v>100360.56457825856</v>
          </cell>
          <cell r="J622">
            <v>3846234.8186002625</v>
          </cell>
          <cell r="K622" t="str">
            <v>PASIF</v>
          </cell>
        </row>
        <row r="623">
          <cell r="C623" t="str">
            <v>Guntur Cahyo N, ST</v>
          </cell>
          <cell r="D623" t="str">
            <v>SBC</v>
          </cell>
          <cell r="E623">
            <v>0</v>
          </cell>
          <cell r="F623">
            <v>450000</v>
          </cell>
          <cell r="G623">
            <v>0</v>
          </cell>
          <cell r="H623">
            <v>155854.36859637647</v>
          </cell>
          <cell r="I623">
            <v>15808.677668480133</v>
          </cell>
          <cell r="J623">
            <v>605854.3685963765</v>
          </cell>
          <cell r="K623" t="str">
            <v>PASIF</v>
          </cell>
        </row>
        <row r="624">
          <cell r="C624" t="str">
            <v>Khoirul Asnawi, AMD</v>
          </cell>
          <cell r="D624" t="str">
            <v>SBC</v>
          </cell>
          <cell r="E624">
            <v>0</v>
          </cell>
          <cell r="F624">
            <v>450000</v>
          </cell>
          <cell r="G624">
            <v>0</v>
          </cell>
          <cell r="H624">
            <v>162284.16104959993</v>
          </cell>
          <cell r="I624">
            <v>15976.451512553796</v>
          </cell>
          <cell r="J624">
            <v>612284.16104959999</v>
          </cell>
          <cell r="K624" t="str">
            <v>PASIF</v>
          </cell>
        </row>
        <row r="625">
          <cell r="C625" t="str">
            <v>Riskita Novita Sari</v>
          </cell>
          <cell r="D625" t="str">
            <v>SBC</v>
          </cell>
          <cell r="E625">
            <v>0</v>
          </cell>
          <cell r="F625">
            <v>450000</v>
          </cell>
          <cell r="G625">
            <v>0</v>
          </cell>
          <cell r="H625">
            <v>162284.16104959993</v>
          </cell>
          <cell r="I625">
            <v>15976.451512553796</v>
          </cell>
          <cell r="J625">
            <v>612284.16104959999</v>
          </cell>
          <cell r="K625" t="str">
            <v>PASIF</v>
          </cell>
        </row>
        <row r="626">
          <cell r="C626" t="str">
            <v>Oki Dwi Anggoro</v>
          </cell>
          <cell r="D626" t="str">
            <v>BNC</v>
          </cell>
          <cell r="E626">
            <v>0</v>
          </cell>
          <cell r="F626">
            <v>12450000</v>
          </cell>
          <cell r="G626">
            <v>0</v>
          </cell>
          <cell r="H626">
            <v>676093.83669305313</v>
          </cell>
          <cell r="I626">
            <v>342501.75828763552</v>
          </cell>
          <cell r="J626">
            <v>13126093.836693052</v>
          </cell>
          <cell r="K626" t="str">
            <v>AKTIF</v>
          </cell>
        </row>
        <row r="627">
          <cell r="C627" t="str">
            <v>Abdillah</v>
          </cell>
          <cell r="D627" t="str">
            <v>PRC</v>
          </cell>
          <cell r="E627">
            <v>0</v>
          </cell>
          <cell r="F627">
            <v>11700000</v>
          </cell>
          <cell r="G627">
            <v>0</v>
          </cell>
          <cell r="H627">
            <v>1018305.3518910652</v>
          </cell>
          <cell r="I627">
            <v>331861.25283401011</v>
          </cell>
          <cell r="J627">
            <v>12718305.351891065</v>
          </cell>
          <cell r="K627" t="str">
            <v>AKTIF</v>
          </cell>
        </row>
        <row r="628">
          <cell r="C628" t="str">
            <v>Kamaruddin</v>
          </cell>
          <cell r="D628" t="str">
            <v>PRC</v>
          </cell>
          <cell r="E628">
            <v>0</v>
          </cell>
          <cell r="F628">
            <v>11700000</v>
          </cell>
          <cell r="G628">
            <v>0</v>
          </cell>
          <cell r="H628">
            <v>1018306.3518910652</v>
          </cell>
          <cell r="I628">
            <v>331861.27892720752</v>
          </cell>
          <cell r="J628">
            <v>12718306.351891065</v>
          </cell>
          <cell r="K628" t="str">
            <v>AKTIF</v>
          </cell>
        </row>
        <row r="629">
          <cell r="C629" t="str">
            <v>Bari</v>
          </cell>
          <cell r="D629" t="str">
            <v>PRC</v>
          </cell>
          <cell r="E629">
            <v>0</v>
          </cell>
          <cell r="F629">
            <v>11700000</v>
          </cell>
          <cell r="G629">
            <v>0</v>
          </cell>
          <cell r="H629">
            <v>1018306.3518910652</v>
          </cell>
          <cell r="I629">
            <v>331861.27892720752</v>
          </cell>
          <cell r="J629">
            <v>12718306.351891065</v>
          </cell>
          <cell r="K629" t="str">
            <v>AKTIF</v>
          </cell>
        </row>
        <row r="630">
          <cell r="C630" t="str">
            <v>Adi Ismanto</v>
          </cell>
          <cell r="D630" t="str">
            <v>PRC</v>
          </cell>
          <cell r="E630">
            <v>0</v>
          </cell>
          <cell r="F630">
            <v>11700000</v>
          </cell>
          <cell r="G630">
            <v>0</v>
          </cell>
          <cell r="H630">
            <v>1018306.3518910652</v>
          </cell>
          <cell r="I630">
            <v>331861.27892720752</v>
          </cell>
          <cell r="J630">
            <v>12718306.351891065</v>
          </cell>
          <cell r="K630" t="str">
            <v>AKTIF</v>
          </cell>
        </row>
        <row r="631">
          <cell r="C631" t="str">
            <v>Rahmat S</v>
          </cell>
          <cell r="D631" t="str">
            <v>PRC</v>
          </cell>
          <cell r="E631">
            <v>0</v>
          </cell>
          <cell r="F631">
            <v>11700000</v>
          </cell>
          <cell r="G631">
            <v>0</v>
          </cell>
          <cell r="H631">
            <v>191779.35189106525</v>
          </cell>
          <cell r="I631">
            <v>310294.5467147</v>
          </cell>
          <cell r="J631">
            <v>11891779.351891065</v>
          </cell>
          <cell r="K631" t="str">
            <v>AKTIF</v>
          </cell>
        </row>
        <row r="632">
          <cell r="C632" t="str">
            <v>M. Hatta Baco B</v>
          </cell>
          <cell r="D632" t="str">
            <v>PRC</v>
          </cell>
          <cell r="E632">
            <v>0</v>
          </cell>
          <cell r="F632">
            <v>11700000</v>
          </cell>
          <cell r="G632">
            <v>0</v>
          </cell>
          <cell r="H632">
            <v>1018306.3518910652</v>
          </cell>
          <cell r="I632">
            <v>331861.27892720752</v>
          </cell>
          <cell r="J632">
            <v>12718306.351891065</v>
          </cell>
          <cell r="K632" t="str">
            <v>AKTIF</v>
          </cell>
        </row>
        <row r="633">
          <cell r="C633" t="str">
            <v>Ekondro</v>
          </cell>
          <cell r="D633" t="str">
            <v>PRC</v>
          </cell>
          <cell r="E633">
            <v>0</v>
          </cell>
          <cell r="F633">
            <v>11700000</v>
          </cell>
          <cell r="G633">
            <v>0</v>
          </cell>
          <cell r="H633">
            <v>1018306.3518910652</v>
          </cell>
          <cell r="I633">
            <v>331861.27892720752</v>
          </cell>
          <cell r="J633">
            <v>12718306.351891065</v>
          </cell>
          <cell r="K633" t="str">
            <v>AKTIF</v>
          </cell>
        </row>
        <row r="634">
          <cell r="C634" t="str">
            <v>Rony Wiranto S</v>
          </cell>
          <cell r="D634" t="str">
            <v>TP</v>
          </cell>
          <cell r="E634">
            <v>0</v>
          </cell>
          <cell r="F634">
            <v>8900000</v>
          </cell>
          <cell r="G634">
            <v>185000</v>
          </cell>
          <cell r="H634">
            <v>500443.51571318414</v>
          </cell>
          <cell r="I634">
            <v>250114.87034483193</v>
          </cell>
          <cell r="J634">
            <v>9585443.5157131851</v>
          </cell>
          <cell r="K634" t="str">
            <v>AKTIF</v>
          </cell>
        </row>
        <row r="635">
          <cell r="C635" t="str">
            <v>Marisa Theresia</v>
          </cell>
          <cell r="D635" t="str">
            <v>PU</v>
          </cell>
          <cell r="E635">
            <v>200000</v>
          </cell>
          <cell r="F635">
            <v>15500000</v>
          </cell>
          <cell r="G635">
            <v>350000</v>
          </cell>
          <cell r="H635">
            <v>1035084.6302512807</v>
          </cell>
          <cell r="I635">
            <v>445804.48678465129</v>
          </cell>
          <cell r="J635">
            <v>17085084.630251281</v>
          </cell>
          <cell r="K635" t="str">
            <v>AKTIF</v>
          </cell>
        </row>
        <row r="636">
          <cell r="C636" t="str">
            <v>Poppy Ayundari</v>
          </cell>
          <cell r="D636" t="str">
            <v>SEKPER</v>
          </cell>
          <cell r="E636">
            <v>0</v>
          </cell>
          <cell r="F636">
            <v>0</v>
          </cell>
          <cell r="G636">
            <v>0</v>
          </cell>
          <cell r="H636">
            <v>235319.56466044969</v>
          </cell>
          <cell r="I636">
            <v>6140.2398656012047</v>
          </cell>
          <cell r="J636">
            <v>235319.56466044969</v>
          </cell>
          <cell r="K636" t="str">
            <v>PASIF</v>
          </cell>
        </row>
        <row r="637">
          <cell r="C637" t="str">
            <v>Femmy Anantia Lestari</v>
          </cell>
          <cell r="D637" t="str">
            <v>-</v>
          </cell>
          <cell r="E637">
            <v>0</v>
          </cell>
          <cell r="F637">
            <v>1300000</v>
          </cell>
          <cell r="G637">
            <v>0</v>
          </cell>
          <cell r="H637">
            <v>318679</v>
          </cell>
          <cell r="I637">
            <v>42236.510762515274</v>
          </cell>
          <cell r="J637">
            <v>1618679</v>
          </cell>
          <cell r="K637" t="str">
            <v>PASIF</v>
          </cell>
        </row>
        <row r="638">
          <cell r="C638" t="str">
            <v>Rahmawaty</v>
          </cell>
          <cell r="D638" t="str">
            <v>-</v>
          </cell>
          <cell r="E638">
            <v>0</v>
          </cell>
          <cell r="F638">
            <v>0</v>
          </cell>
          <cell r="G638">
            <v>0</v>
          </cell>
          <cell r="H638">
            <v>34776.253203405475</v>
          </cell>
          <cell r="I638">
            <v>907.42364156549365</v>
          </cell>
          <cell r="J638">
            <v>34776.253203405475</v>
          </cell>
          <cell r="K638" t="str">
            <v>PASIF</v>
          </cell>
        </row>
        <row r="639">
          <cell r="C639" t="str">
            <v>Ahmad Gufran M</v>
          </cell>
          <cell r="D639" t="str">
            <v>SBU MNO</v>
          </cell>
          <cell r="E639">
            <v>200000</v>
          </cell>
          <cell r="F639">
            <v>7750000</v>
          </cell>
          <cell r="G639">
            <v>250000</v>
          </cell>
          <cell r="H639">
            <v>634337.99058508803</v>
          </cell>
          <cell r="I639">
            <v>230516.12556846952</v>
          </cell>
          <cell r="J639">
            <v>8834337.9905850887</v>
          </cell>
          <cell r="K639" t="str">
            <v>AKTIF</v>
          </cell>
        </row>
        <row r="640">
          <cell r="C640" t="str">
            <v>Jefry Kurniawan</v>
          </cell>
          <cell r="D640" t="str">
            <v>SBU MNO</v>
          </cell>
          <cell r="E640">
            <v>0</v>
          </cell>
          <cell r="F640">
            <v>200000</v>
          </cell>
          <cell r="G640">
            <v>0</v>
          </cell>
          <cell r="H640">
            <v>23745.631233419146</v>
          </cell>
          <cell r="I640">
            <v>5838.238935364011</v>
          </cell>
          <cell r="J640">
            <v>223745.63123341915</v>
          </cell>
          <cell r="K640" t="str">
            <v>PASIF</v>
          </cell>
        </row>
        <row r="641">
          <cell r="C641" t="str">
            <v>La Ode Abdul Rajab Azis</v>
          </cell>
          <cell r="D641" t="str">
            <v>SBU MNO</v>
          </cell>
          <cell r="E641">
            <v>0</v>
          </cell>
          <cell r="F641">
            <v>-100000</v>
          </cell>
          <cell r="G641">
            <v>0</v>
          </cell>
          <cell r="H641">
            <v>-4103</v>
          </cell>
          <cell r="I641">
            <v>-2716.3801346098439</v>
          </cell>
          <cell r="J641">
            <v>-104103</v>
          </cell>
          <cell r="K641" t="str">
            <v>PASIF</v>
          </cell>
        </row>
        <row r="642">
          <cell r="C642" t="str">
            <v>Sulaeman Mustafa</v>
          </cell>
          <cell r="D642" t="str">
            <v>-</v>
          </cell>
          <cell r="E642">
            <v>0</v>
          </cell>
          <cell r="F642">
            <v>-100000</v>
          </cell>
          <cell r="G642">
            <v>0</v>
          </cell>
          <cell r="H642">
            <v>-4103</v>
          </cell>
          <cell r="I642">
            <v>-2716.3801346098439</v>
          </cell>
          <cell r="J642">
            <v>-104103</v>
          </cell>
          <cell r="K642" t="str">
            <v>PASIF</v>
          </cell>
        </row>
        <row r="643">
          <cell r="C643" t="str">
            <v>Yosua R Palentek,ST</v>
          </cell>
          <cell r="D643" t="str">
            <v>-</v>
          </cell>
          <cell r="E643">
            <v>0</v>
          </cell>
          <cell r="F643">
            <v>-100000</v>
          </cell>
          <cell r="G643">
            <v>0</v>
          </cell>
          <cell r="H643">
            <v>-4103</v>
          </cell>
          <cell r="I643">
            <v>-2716.3801346098439</v>
          </cell>
          <cell r="J643">
            <v>-104103</v>
          </cell>
          <cell r="K643" t="str">
            <v>PASIF</v>
          </cell>
        </row>
        <row r="644">
          <cell r="C644" t="str">
            <v>Defi Rizki Mauliani</v>
          </cell>
          <cell r="D644" t="str">
            <v>R&amp;P</v>
          </cell>
          <cell r="E644">
            <v>0</v>
          </cell>
          <cell r="F644">
            <v>0</v>
          </cell>
          <cell r="G644">
            <v>0</v>
          </cell>
          <cell r="H644">
            <v>32185.811036850675</v>
          </cell>
          <cell r="I644">
            <v>839.83072261901623</v>
          </cell>
          <cell r="J644">
            <v>32185.811036850675</v>
          </cell>
          <cell r="K644" t="str">
            <v>PASIF</v>
          </cell>
        </row>
        <row r="645">
          <cell r="C645" t="str">
            <v>Said Taufik</v>
          </cell>
          <cell r="D645" t="str">
            <v>PRC</v>
          </cell>
          <cell r="E645">
            <v>0</v>
          </cell>
          <cell r="F645">
            <v>19500000</v>
          </cell>
          <cell r="G645">
            <v>0</v>
          </cell>
          <cell r="H645">
            <v>1483300.8492140705</v>
          </cell>
          <cell r="I645">
            <v>547521.41230653273</v>
          </cell>
          <cell r="J645">
            <v>20983300.84921407</v>
          </cell>
          <cell r="K645" t="str">
            <v>AKTIF</v>
          </cell>
        </row>
        <row r="646">
          <cell r="C646" t="str">
            <v>Nur Cahyo Febrianto Putro</v>
          </cell>
          <cell r="D646" t="str">
            <v>SBU ENI</v>
          </cell>
          <cell r="E646">
            <v>200000</v>
          </cell>
          <cell r="F646">
            <v>7600000</v>
          </cell>
          <cell r="G646">
            <v>670000</v>
          </cell>
          <cell r="H646">
            <v>648432.77200891403</v>
          </cell>
          <cell r="I646">
            <v>237929.06679596542</v>
          </cell>
          <cell r="J646">
            <v>9118432.7720089145</v>
          </cell>
          <cell r="K646" t="str">
            <v>AKTIF</v>
          </cell>
        </row>
        <row r="647">
          <cell r="C647" t="str">
            <v>Andi Apriadi Awe</v>
          </cell>
          <cell r="D647" t="str">
            <v>-</v>
          </cell>
          <cell r="E647">
            <v>0</v>
          </cell>
          <cell r="F647">
            <v>0</v>
          </cell>
          <cell r="G647">
            <v>0</v>
          </cell>
          <cell r="H647">
            <v>86818</v>
          </cell>
          <cell r="I647">
            <v>2265.3592166081426</v>
          </cell>
          <cell r="J647">
            <v>86818</v>
          </cell>
          <cell r="K647" t="str">
            <v>PASIF</v>
          </cell>
        </row>
        <row r="648">
          <cell r="C648" t="str">
            <v>A. Rasyid Alimuddin</v>
          </cell>
          <cell r="D648" t="str">
            <v>PBC</v>
          </cell>
          <cell r="E648">
            <v>0</v>
          </cell>
          <cell r="F648">
            <v>18200000</v>
          </cell>
          <cell r="G648">
            <v>0</v>
          </cell>
          <cell r="H648">
            <v>1047359.8959942682</v>
          </cell>
          <cell r="I648">
            <v>502225.16224474827</v>
          </cell>
          <cell r="J648">
            <v>19247359.895994268</v>
          </cell>
          <cell r="K648" t="str">
            <v>AKTIF</v>
          </cell>
        </row>
        <row r="649">
          <cell r="C649" t="str">
            <v>Sultan Malik</v>
          </cell>
          <cell r="D649" t="str">
            <v>PBC</v>
          </cell>
          <cell r="E649">
            <v>0</v>
          </cell>
          <cell r="F649">
            <v>-150000</v>
          </cell>
          <cell r="G649">
            <v>0</v>
          </cell>
          <cell r="H649">
            <v>159039.93437113264</v>
          </cell>
          <cell r="I649">
            <v>235.88079252203516</v>
          </cell>
          <cell r="J649">
            <v>9039.9343711326364</v>
          </cell>
          <cell r="K649" t="str">
            <v>BUKAN ANGGOTA</v>
          </cell>
        </row>
        <row r="650">
          <cell r="C650" t="str">
            <v>Tunjung Widyatmo H, S.T.</v>
          </cell>
          <cell r="D650" t="str">
            <v>MS</v>
          </cell>
          <cell r="E650">
            <v>0</v>
          </cell>
          <cell r="F650">
            <v>6900000</v>
          </cell>
          <cell r="G650">
            <v>20000</v>
          </cell>
          <cell r="H650">
            <v>487357.13786711579</v>
          </cell>
          <cell r="I650">
            <v>193281.63241465343</v>
          </cell>
          <cell r="J650">
            <v>7407357.1378671154</v>
          </cell>
          <cell r="K650" t="str">
            <v>AKTIF</v>
          </cell>
        </row>
        <row r="651">
          <cell r="C651" t="str">
            <v>Hediar Hapri Bangabua</v>
          </cell>
          <cell r="D651" t="str">
            <v>SBU MNO</v>
          </cell>
          <cell r="E651">
            <v>200000</v>
          </cell>
          <cell r="F651">
            <v>10050000</v>
          </cell>
          <cell r="G651">
            <v>800000</v>
          </cell>
          <cell r="H651">
            <v>850828.33870904706</v>
          </cell>
          <cell r="I651">
            <v>310530.66371450515</v>
          </cell>
          <cell r="J651">
            <v>11900828.338709047</v>
          </cell>
          <cell r="K651" t="str">
            <v>AKTIF</v>
          </cell>
        </row>
        <row r="652">
          <cell r="C652" t="str">
            <v>R Ade Wardoyo</v>
          </cell>
          <cell r="D652" t="str">
            <v>SBU MNO</v>
          </cell>
          <cell r="E652">
            <v>200000</v>
          </cell>
          <cell r="F652">
            <v>9900000</v>
          </cell>
          <cell r="G652">
            <v>250000</v>
          </cell>
          <cell r="H652">
            <v>754164.46440435096</v>
          </cell>
          <cell r="I652">
            <v>289743.15593737486</v>
          </cell>
          <cell r="J652">
            <v>11104164.46440435</v>
          </cell>
          <cell r="K652" t="str">
            <v>AKTIF</v>
          </cell>
        </row>
        <row r="653">
          <cell r="C653" t="str">
            <v>Willem Gerrit Pieter, S.E</v>
          </cell>
          <cell r="D653" t="str">
            <v>SEKPER</v>
          </cell>
          <cell r="E653">
            <v>200000</v>
          </cell>
          <cell r="F653">
            <v>9600000</v>
          </cell>
          <cell r="G653">
            <v>250000</v>
          </cell>
          <cell r="H653">
            <v>676578.62291408842</v>
          </cell>
          <cell r="I653">
            <v>279890.73401933134</v>
          </cell>
          <cell r="J653">
            <v>10726578.622914089</v>
          </cell>
          <cell r="K653" t="str">
            <v>AKTIF</v>
          </cell>
        </row>
        <row r="654">
          <cell r="C654" t="str">
            <v>Zulfaeni</v>
          </cell>
          <cell r="D654" t="str">
            <v>PRC</v>
          </cell>
          <cell r="E654">
            <v>0</v>
          </cell>
          <cell r="F654">
            <v>9000000</v>
          </cell>
          <cell r="G654">
            <v>0</v>
          </cell>
          <cell r="H654">
            <v>546422.96718556632</v>
          </cell>
          <cell r="I654">
            <v>249096.69946731636</v>
          </cell>
          <cell r="J654">
            <v>9546422.9671855662</v>
          </cell>
          <cell r="K654" t="str">
            <v>AKTIF</v>
          </cell>
        </row>
        <row r="655">
          <cell r="C655" t="str">
            <v>Rozi Delfemi Irawati</v>
          </cell>
          <cell r="D655" t="str">
            <v>PRC</v>
          </cell>
          <cell r="E655">
            <v>0</v>
          </cell>
          <cell r="F655">
            <v>9000000</v>
          </cell>
          <cell r="G655">
            <v>0</v>
          </cell>
          <cell r="H655">
            <v>546422.96718556632</v>
          </cell>
          <cell r="I655">
            <v>249096.69946731636</v>
          </cell>
          <cell r="J655">
            <v>9546422.9671855662</v>
          </cell>
          <cell r="K655" t="str">
            <v>AKTIF</v>
          </cell>
        </row>
        <row r="656">
          <cell r="C656" t="str">
            <v>Tantry Octaviani</v>
          </cell>
          <cell r="D656" t="str">
            <v>SBU ENI</v>
          </cell>
          <cell r="E656">
            <v>200000</v>
          </cell>
          <cell r="F656">
            <v>5900000</v>
          </cell>
          <cell r="G656">
            <v>350000</v>
          </cell>
          <cell r="H656">
            <v>423827.31145704421</v>
          </cell>
          <cell r="I656">
            <v>179360.13330624966</v>
          </cell>
          <cell r="J656">
            <v>6873827.3114570444</v>
          </cell>
          <cell r="K656" t="str">
            <v>AKTIF</v>
          </cell>
        </row>
        <row r="657">
          <cell r="C657" t="str">
            <v>Adnan</v>
          </cell>
          <cell r="D657" t="str">
            <v>BPC</v>
          </cell>
          <cell r="E657">
            <v>0</v>
          </cell>
          <cell r="F657">
            <v>9300000</v>
          </cell>
          <cell r="G657">
            <v>0</v>
          </cell>
          <cell r="H657">
            <v>547324.31145704421</v>
          </cell>
          <cell r="I657">
            <v>256948.17765772817</v>
          </cell>
          <cell r="J657">
            <v>9847324.3114570435</v>
          </cell>
          <cell r="K657" t="str">
            <v>AKTIF</v>
          </cell>
        </row>
        <row r="658">
          <cell r="C658" t="str">
            <v>Sudaryono</v>
          </cell>
          <cell r="D658" t="str">
            <v>BPC</v>
          </cell>
          <cell r="E658">
            <v>0</v>
          </cell>
          <cell r="F658">
            <v>9300000</v>
          </cell>
          <cell r="G658">
            <v>0</v>
          </cell>
          <cell r="H658">
            <v>547324.31145704421</v>
          </cell>
          <cell r="I658">
            <v>256948.17765772817</v>
          </cell>
          <cell r="J658">
            <v>9847324.3114570435</v>
          </cell>
          <cell r="K658" t="str">
            <v>AKTIF</v>
          </cell>
        </row>
        <row r="659">
          <cell r="C659" t="str">
            <v>Zul Fajrin Azdin</v>
          </cell>
          <cell r="D659" t="str">
            <v>BT</v>
          </cell>
          <cell r="E659">
            <v>0</v>
          </cell>
          <cell r="F659">
            <v>9300000</v>
          </cell>
          <cell r="G659">
            <v>0</v>
          </cell>
          <cell r="H659">
            <v>535249.65572852211</v>
          </cell>
          <cell r="I659">
            <v>256633.11128160829</v>
          </cell>
          <cell r="J659">
            <v>9835249.6557285227</v>
          </cell>
          <cell r="K659" t="str">
            <v>AKTIF</v>
          </cell>
        </row>
        <row r="660">
          <cell r="C660" t="str">
            <v>Yusriadi</v>
          </cell>
          <cell r="D660"/>
          <cell r="E660">
            <v>0</v>
          </cell>
          <cell r="F660">
            <v>100000</v>
          </cell>
          <cell r="G660">
            <v>0</v>
          </cell>
          <cell r="H660">
            <v>10343.25</v>
          </cell>
          <cell r="I660">
            <v>2879.2082100255293</v>
          </cell>
          <cell r="J660">
            <v>110343.25</v>
          </cell>
          <cell r="K660" t="str">
            <v>PASIF</v>
          </cell>
        </row>
        <row r="661">
          <cell r="C661" t="str">
            <v>Dimas Putra Prasetyo</v>
          </cell>
          <cell r="D661" t="str">
            <v>SBU ENI</v>
          </cell>
          <cell r="E661">
            <v>200000</v>
          </cell>
          <cell r="F661">
            <v>5900000</v>
          </cell>
          <cell r="G661">
            <v>1000000</v>
          </cell>
          <cell r="H661">
            <v>386383</v>
          </cell>
          <cell r="I661">
            <v>195343.66983930193</v>
          </cell>
          <cell r="J661">
            <v>7486383</v>
          </cell>
          <cell r="K661" t="str">
            <v>AKTIF</v>
          </cell>
        </row>
        <row r="662">
          <cell r="C662" t="str">
            <v>Desi Annike Putri</v>
          </cell>
          <cell r="D662" t="str">
            <v>PHP</v>
          </cell>
          <cell r="E662">
            <v>0</v>
          </cell>
          <cell r="F662">
            <v>100000</v>
          </cell>
          <cell r="G662">
            <v>0</v>
          </cell>
          <cell r="H662">
            <v>72873</v>
          </cell>
          <cell r="I662">
            <v>4510.809323558472</v>
          </cell>
          <cell r="J662">
            <v>172873</v>
          </cell>
          <cell r="K662" t="str">
            <v>PASIF</v>
          </cell>
        </row>
        <row r="663">
          <cell r="C663" t="str">
            <v>Lulu Ufikal Azmi</v>
          </cell>
          <cell r="D663" t="str">
            <v>SEKPER</v>
          </cell>
          <cell r="E663">
            <v>0</v>
          </cell>
          <cell r="F663">
            <v>4900000</v>
          </cell>
          <cell r="G663">
            <v>0</v>
          </cell>
          <cell r="H663">
            <v>247370</v>
          </cell>
          <cell r="I663">
            <v>134311.34178156895</v>
          </cell>
          <cell r="J663">
            <v>5147370</v>
          </cell>
          <cell r="K663" t="str">
            <v>AKTIF</v>
          </cell>
        </row>
        <row r="664">
          <cell r="C664" t="str">
            <v>Rian Eka Saputra</v>
          </cell>
          <cell r="D664" t="str">
            <v>PU</v>
          </cell>
          <cell r="E664">
            <v>0</v>
          </cell>
          <cell r="F664">
            <v>5400000</v>
          </cell>
          <cell r="G664">
            <v>0</v>
          </cell>
          <cell r="H664">
            <v>247370</v>
          </cell>
          <cell r="I664">
            <v>147357.94050883831</v>
          </cell>
          <cell r="J664">
            <v>5647370</v>
          </cell>
          <cell r="K664" t="str">
            <v>AKTIF</v>
          </cell>
        </row>
        <row r="665">
          <cell r="C665" t="str">
            <v>Megawati Rosalio Putri</v>
          </cell>
          <cell r="D665" t="str">
            <v>SEKPER</v>
          </cell>
          <cell r="E665">
            <v>0</v>
          </cell>
          <cell r="F665">
            <v>7500000</v>
          </cell>
          <cell r="G665">
            <v>750000</v>
          </cell>
          <cell r="H665">
            <v>289809</v>
          </cell>
          <cell r="I665">
            <v>222830.92246104684</v>
          </cell>
          <cell r="J665">
            <v>8539809</v>
          </cell>
          <cell r="K665" t="str">
            <v>AKTIF</v>
          </cell>
        </row>
        <row r="666">
          <cell r="C666" t="str">
            <v>Henky Viedian Santoso</v>
          </cell>
          <cell r="D666" t="str">
            <v>SBU ENI</v>
          </cell>
          <cell r="E666">
            <v>200000</v>
          </cell>
          <cell r="F666">
            <v>0</v>
          </cell>
          <cell r="G666">
            <v>0</v>
          </cell>
          <cell r="H666">
            <v>0</v>
          </cell>
          <cell r="I666">
            <v>5218.6394909077435</v>
          </cell>
          <cell r="J666">
            <v>200000</v>
          </cell>
          <cell r="K666" t="str">
            <v>BUKAN ANGGOTA</v>
          </cell>
        </row>
        <row r="667">
          <cell r="C667" t="str">
            <v>Sudarman /  Budi</v>
          </cell>
          <cell r="D667" t="str">
            <v>KOP</v>
          </cell>
          <cell r="E667">
            <v>0</v>
          </cell>
          <cell r="F667">
            <v>4800000</v>
          </cell>
          <cell r="G667">
            <v>400000</v>
          </cell>
          <cell r="H667">
            <v>165302</v>
          </cell>
          <cell r="I667">
            <v>139997.88448923148</v>
          </cell>
          <cell r="J667">
            <v>5365302</v>
          </cell>
          <cell r="K667" t="str">
            <v>AKTIF</v>
          </cell>
        </row>
        <row r="668">
          <cell r="C668" t="str">
            <v>Shaidatun Rohmah</v>
          </cell>
          <cell r="D668" t="str">
            <v>KOP</v>
          </cell>
          <cell r="E668">
            <v>0</v>
          </cell>
          <cell r="F668">
            <v>4800000</v>
          </cell>
          <cell r="G668">
            <v>0</v>
          </cell>
          <cell r="H668">
            <v>152586</v>
          </cell>
          <cell r="I668">
            <v>129228.8044085841</v>
          </cell>
          <cell r="J668">
            <v>4952586</v>
          </cell>
          <cell r="K668" t="str">
            <v>AKTIF</v>
          </cell>
        </row>
        <row r="669">
          <cell r="C669" t="str">
            <v>Irawan Wijayanto</v>
          </cell>
          <cell r="D669" t="str">
            <v>SBU ENI</v>
          </cell>
          <cell r="E669">
            <v>300000</v>
          </cell>
          <cell r="F669">
            <v>4600000</v>
          </cell>
          <cell r="G669">
            <v>250000</v>
          </cell>
          <cell r="H669">
            <v>195262</v>
          </cell>
          <cell r="I669">
            <v>139474.97681224253</v>
          </cell>
          <cell r="J669">
            <v>5345262</v>
          </cell>
          <cell r="K669" t="str">
            <v>AKTIF</v>
          </cell>
        </row>
        <row r="670">
          <cell r="C670" t="str">
            <v>Dicky Aldoko</v>
          </cell>
          <cell r="D670" t="str">
            <v>IT</v>
          </cell>
          <cell r="E670">
            <v>0</v>
          </cell>
          <cell r="F670">
            <v>7500000</v>
          </cell>
          <cell r="G670">
            <v>0</v>
          </cell>
          <cell r="H670">
            <v>270921</v>
          </cell>
          <cell r="I670">
            <v>202768.17605662148</v>
          </cell>
          <cell r="J670">
            <v>7770921</v>
          </cell>
          <cell r="K670" t="str">
            <v>AKTIF</v>
          </cell>
        </row>
        <row r="671">
          <cell r="C671" t="str">
            <v>Annisyah Fazrin</v>
          </cell>
          <cell r="D671" t="str">
            <v>PU</v>
          </cell>
          <cell r="E671">
            <v>0</v>
          </cell>
          <cell r="F671">
            <v>7500000</v>
          </cell>
          <cell r="G671">
            <v>0</v>
          </cell>
          <cell r="H671">
            <v>270921</v>
          </cell>
          <cell r="I671">
            <v>202768.17605662148</v>
          </cell>
          <cell r="J671">
            <v>7770921</v>
          </cell>
          <cell r="K671" t="str">
            <v>AKTIF</v>
          </cell>
        </row>
        <row r="672">
          <cell r="C672" t="str">
            <v>Riana Patricia</v>
          </cell>
          <cell r="D672" t="str">
            <v>KU</v>
          </cell>
          <cell r="E672">
            <v>0</v>
          </cell>
          <cell r="F672">
            <v>7500000</v>
          </cell>
          <cell r="G672">
            <v>500000</v>
          </cell>
          <cell r="H672">
            <v>275533</v>
          </cell>
          <cell r="I672">
            <v>215935.11661055117</v>
          </cell>
          <cell r="J672">
            <v>8275533</v>
          </cell>
          <cell r="K672" t="str">
            <v>AKTIF</v>
          </cell>
        </row>
        <row r="673">
          <cell r="C673" t="str">
            <v>Salma Fadhilah Widityani</v>
          </cell>
          <cell r="D673" t="str">
            <v>KU</v>
          </cell>
          <cell r="E673">
            <v>0</v>
          </cell>
          <cell r="F673">
            <v>7500000</v>
          </cell>
          <cell r="G673">
            <v>0</v>
          </cell>
          <cell r="H673">
            <v>270921</v>
          </cell>
          <cell r="I673">
            <v>202768.17605662148</v>
          </cell>
          <cell r="J673">
            <v>7770921</v>
          </cell>
          <cell r="K673" t="str">
            <v>AKTIF</v>
          </cell>
        </row>
        <row r="674">
          <cell r="C674" t="str">
            <v>Deny Hardiansyah</v>
          </cell>
          <cell r="D674" t="str">
            <v>MHC</v>
          </cell>
          <cell r="E674">
            <v>0</v>
          </cell>
          <cell r="F674">
            <v>150000</v>
          </cell>
          <cell r="G674">
            <v>0</v>
          </cell>
          <cell r="H674">
            <v>0</v>
          </cell>
          <cell r="I674">
            <v>3913.9796181808078</v>
          </cell>
          <cell r="J674">
            <v>150000</v>
          </cell>
          <cell r="K674" t="str">
            <v>BUKAN ANGGOTA</v>
          </cell>
        </row>
        <row r="675">
          <cell r="C675" t="str">
            <v>Irmarinda Sheyna C</v>
          </cell>
          <cell r="D675" t="str">
            <v>MHC</v>
          </cell>
          <cell r="E675">
            <v>0</v>
          </cell>
          <cell r="F675">
            <v>0</v>
          </cell>
          <cell r="G675">
            <v>0</v>
          </cell>
          <cell r="H675">
            <v>43822</v>
          </cell>
          <cell r="I675">
            <v>1143.4560988527958</v>
          </cell>
          <cell r="J675">
            <v>43822</v>
          </cell>
          <cell r="K675" t="str">
            <v>PASIF</v>
          </cell>
        </row>
        <row r="676">
          <cell r="C676" t="str">
            <v>Nurkumala Sakti</v>
          </cell>
          <cell r="D676" t="str">
            <v>MHC</v>
          </cell>
          <cell r="E676">
            <v>0</v>
          </cell>
          <cell r="F676">
            <v>150000</v>
          </cell>
          <cell r="G676">
            <v>0</v>
          </cell>
          <cell r="H676">
            <v>0</v>
          </cell>
          <cell r="I676">
            <v>3913.9796181808078</v>
          </cell>
          <cell r="J676">
            <v>150000</v>
          </cell>
          <cell r="K676" t="str">
            <v>BUKAN ANGGOTA</v>
          </cell>
        </row>
        <row r="677">
          <cell r="C677" t="str">
            <v>Adesta Munas Latief</v>
          </cell>
          <cell r="D677" t="str">
            <v>DMH</v>
          </cell>
          <cell r="E677">
            <v>0</v>
          </cell>
          <cell r="F677">
            <v>7500000</v>
          </cell>
          <cell r="G677">
            <v>0</v>
          </cell>
          <cell r="H677">
            <v>270921</v>
          </cell>
          <cell r="I677">
            <v>202768.17605662148</v>
          </cell>
          <cell r="J677">
            <v>7770921</v>
          </cell>
          <cell r="K677" t="str">
            <v>AKTIF</v>
          </cell>
        </row>
        <row r="678">
          <cell r="C678" t="str">
            <v>Luthfi Setia Mardani</v>
          </cell>
          <cell r="D678" t="str">
            <v>SPI</v>
          </cell>
          <cell r="E678">
            <v>0</v>
          </cell>
          <cell r="F678">
            <v>7500000</v>
          </cell>
          <cell r="G678">
            <v>0</v>
          </cell>
          <cell r="H678">
            <v>270921</v>
          </cell>
          <cell r="I678">
            <v>202768.17605662148</v>
          </cell>
          <cell r="J678">
            <v>7770921</v>
          </cell>
          <cell r="K678" t="str">
            <v>AKTIF</v>
          </cell>
        </row>
        <row r="679">
          <cell r="C679" t="str">
            <v>Chrisantya Dian Eka W</v>
          </cell>
          <cell r="D679" t="str">
            <v>MRKU</v>
          </cell>
          <cell r="E679">
            <v>0</v>
          </cell>
          <cell r="F679">
            <v>7500000</v>
          </cell>
          <cell r="G679">
            <v>0</v>
          </cell>
          <cell r="H679">
            <v>270921</v>
          </cell>
          <cell r="I679">
            <v>202768.17605662148</v>
          </cell>
          <cell r="J679">
            <v>7770921</v>
          </cell>
          <cell r="K679" t="str">
            <v>AKTIF</v>
          </cell>
        </row>
        <row r="680">
          <cell r="C680" t="str">
            <v>N. Karindita Ekibdwi Putri</v>
          </cell>
          <cell r="D680" t="str">
            <v>MS</v>
          </cell>
          <cell r="E680">
            <v>0</v>
          </cell>
          <cell r="F680">
            <v>0</v>
          </cell>
          <cell r="G680">
            <v>0</v>
          </cell>
          <cell r="H680">
            <v>86904</v>
          </cell>
          <cell r="I680">
            <v>2267.6032315892326</v>
          </cell>
          <cell r="J680">
            <v>86904</v>
          </cell>
          <cell r="K680" t="str">
            <v>PASIF</v>
          </cell>
        </row>
        <row r="681">
          <cell r="C681" t="str">
            <v>Abdil Hafizh Zhafran</v>
          </cell>
          <cell r="D681" t="str">
            <v>DMH</v>
          </cell>
          <cell r="E681">
            <v>0</v>
          </cell>
          <cell r="F681">
            <v>7500000</v>
          </cell>
          <cell r="G681">
            <v>0</v>
          </cell>
          <cell r="H681">
            <v>270921</v>
          </cell>
          <cell r="I681">
            <v>202768.17605662148</v>
          </cell>
          <cell r="J681">
            <v>7770921</v>
          </cell>
          <cell r="K681" t="str">
            <v>AKTIF</v>
          </cell>
        </row>
        <row r="682">
          <cell r="C682" t="str">
            <v>Aldicio William Schuurman</v>
          </cell>
          <cell r="D682" t="str">
            <v>PHP</v>
          </cell>
          <cell r="E682">
            <v>0</v>
          </cell>
          <cell r="F682">
            <v>7500000</v>
          </cell>
          <cell r="G682">
            <v>500000</v>
          </cell>
          <cell r="H682">
            <v>270921</v>
          </cell>
          <cell r="I682">
            <v>215814.77478389084</v>
          </cell>
          <cell r="J682">
            <v>8270921</v>
          </cell>
          <cell r="K682" t="str">
            <v>AKTIF</v>
          </cell>
        </row>
        <row r="683">
          <cell r="C683" t="str">
            <v>Kevin Iqbal Rizaldi</v>
          </cell>
          <cell r="D683" t="str">
            <v>DMH</v>
          </cell>
          <cell r="E683">
            <v>0</v>
          </cell>
          <cell r="F683">
            <v>7500000</v>
          </cell>
          <cell r="G683">
            <v>0</v>
          </cell>
          <cell r="H683">
            <v>270921</v>
          </cell>
          <cell r="I683">
            <v>202768.17605662148</v>
          </cell>
          <cell r="J683">
            <v>7770921</v>
          </cell>
          <cell r="K683" t="str">
            <v>AKTIF</v>
          </cell>
        </row>
        <row r="684">
          <cell r="C684" t="str">
            <v>Faishal Abdurrahman Labib</v>
          </cell>
          <cell r="D684" t="str">
            <v>DOK</v>
          </cell>
          <cell r="E684">
            <v>0</v>
          </cell>
          <cell r="F684">
            <v>7500000</v>
          </cell>
          <cell r="G684">
            <v>0</v>
          </cell>
          <cell r="H684">
            <v>270921</v>
          </cell>
          <cell r="I684">
            <v>202768.17605662148</v>
          </cell>
          <cell r="J684">
            <v>7770921</v>
          </cell>
          <cell r="K684" t="str">
            <v>AKTIF</v>
          </cell>
        </row>
        <row r="685">
          <cell r="C685" t="str">
            <v>Aditya Putri Anggraini</v>
          </cell>
          <cell r="D685" t="str">
            <v>DMH</v>
          </cell>
          <cell r="E685">
            <v>0</v>
          </cell>
          <cell r="F685">
            <v>7500000</v>
          </cell>
          <cell r="G685">
            <v>0</v>
          </cell>
          <cell r="H685">
            <v>270921</v>
          </cell>
          <cell r="I685">
            <v>202768.17605662148</v>
          </cell>
          <cell r="J685">
            <v>7770921</v>
          </cell>
          <cell r="K685" t="str">
            <v>AKTIF</v>
          </cell>
        </row>
        <row r="686">
          <cell r="C686" t="str">
            <v>Muhammad Irvan Widya</v>
          </cell>
          <cell r="D686" t="str">
            <v>DMH</v>
          </cell>
          <cell r="E686">
            <v>0</v>
          </cell>
          <cell r="F686">
            <v>7500000</v>
          </cell>
          <cell r="G686">
            <v>250000</v>
          </cell>
          <cell r="H686">
            <v>270921</v>
          </cell>
          <cell r="I686">
            <v>209291.47542025615</v>
          </cell>
          <cell r="J686">
            <v>8020921</v>
          </cell>
          <cell r="K686" t="str">
            <v>AKTIF</v>
          </cell>
        </row>
        <row r="687">
          <cell r="C687" t="str">
            <v>Muhammad Rio</v>
          </cell>
          <cell r="D687" t="str">
            <v>SBU ENI</v>
          </cell>
          <cell r="E687">
            <v>200000</v>
          </cell>
          <cell r="F687">
            <v>4500000</v>
          </cell>
          <cell r="G687">
            <v>300000</v>
          </cell>
          <cell r="H687">
            <v>155903</v>
          </cell>
          <cell r="I687">
            <v>134533.99503544855</v>
          </cell>
          <cell r="J687">
            <v>5155903</v>
          </cell>
          <cell r="K687" t="str">
            <v>AKTIF</v>
          </cell>
        </row>
        <row r="688">
          <cell r="C688" t="str">
            <v>Muhammad Ridwan</v>
          </cell>
          <cell r="D688" t="str">
            <v>MAC</v>
          </cell>
          <cell r="E688">
            <v>0</v>
          </cell>
          <cell r="F688">
            <v>-100000</v>
          </cell>
          <cell r="G688">
            <v>0</v>
          </cell>
          <cell r="H688">
            <v>63913</v>
          </cell>
          <cell r="I688">
            <v>-941.6252165419387</v>
          </cell>
          <cell r="J688">
            <v>-36087</v>
          </cell>
          <cell r="K688" t="str">
            <v>BUKAN ANGGOTA</v>
          </cell>
        </row>
        <row r="689">
          <cell r="C689" t="str">
            <v>Harry Santoso</v>
          </cell>
          <cell r="D689"/>
          <cell r="E689">
            <v>200000</v>
          </cell>
          <cell r="F689">
            <v>2600000</v>
          </cell>
          <cell r="G689">
            <v>225000</v>
          </cell>
          <cell r="H689">
            <v>121345</v>
          </cell>
          <cell r="I689">
            <v>82098.201345100621</v>
          </cell>
          <cell r="J689">
            <v>3146345</v>
          </cell>
          <cell r="K689" t="str">
            <v>AKTIF</v>
          </cell>
        </row>
        <row r="690">
          <cell r="C690" t="str">
            <v>Djatniko Santoso</v>
          </cell>
          <cell r="D690"/>
          <cell r="E690">
            <v>0</v>
          </cell>
          <cell r="F690">
            <v>100000</v>
          </cell>
          <cell r="G690">
            <v>0</v>
          </cell>
          <cell r="H690">
            <v>63338</v>
          </cell>
          <cell r="I690">
            <v>4262.0106858294448</v>
          </cell>
          <cell r="J690">
            <v>163338</v>
          </cell>
          <cell r="K690" t="str">
            <v>BUKAN ANGGOTA</v>
          </cell>
        </row>
        <row r="691">
          <cell r="C691" t="str">
            <v>Deni Apriyanto</v>
          </cell>
          <cell r="D691"/>
          <cell r="E691">
            <v>0</v>
          </cell>
          <cell r="F691">
            <v>0</v>
          </cell>
          <cell r="G691">
            <v>0</v>
          </cell>
          <cell r="H691">
            <v>62977</v>
          </cell>
          <cell r="I691">
            <v>1643.2712960944848</v>
          </cell>
          <cell r="J691">
            <v>62977</v>
          </cell>
          <cell r="K691" t="str">
            <v>BUKAN ANGGOTA</v>
          </cell>
        </row>
        <row r="692">
          <cell r="C692" t="str">
            <v>Sujatnika</v>
          </cell>
          <cell r="D692"/>
          <cell r="E692">
            <v>0</v>
          </cell>
          <cell r="F692">
            <v>0</v>
          </cell>
          <cell r="G692">
            <v>0</v>
          </cell>
          <cell r="H692">
            <v>63938</v>
          </cell>
          <cell r="I692">
            <v>1668.3468588482965</v>
          </cell>
          <cell r="J692">
            <v>63938</v>
          </cell>
          <cell r="K692" t="str">
            <v>BUKAN ANGGOTA</v>
          </cell>
        </row>
        <row r="693">
          <cell r="C693" t="str">
            <v>Andri Somantri</v>
          </cell>
          <cell r="D693"/>
          <cell r="E693">
            <v>0</v>
          </cell>
          <cell r="F693">
            <v>0</v>
          </cell>
          <cell r="G693">
            <v>0</v>
          </cell>
          <cell r="H693">
            <v>60183</v>
          </cell>
          <cell r="I693">
            <v>1570.3669024065036</v>
          </cell>
          <cell r="J693">
            <v>60183</v>
          </cell>
          <cell r="K693" t="str">
            <v>BUKAN ANGGOTA</v>
          </cell>
        </row>
        <row r="694">
          <cell r="C694" t="str">
            <v>Henky Prabowo</v>
          </cell>
          <cell r="D694" t="str">
            <v>SBU ENI</v>
          </cell>
          <cell r="E694">
            <v>200000</v>
          </cell>
          <cell r="F694">
            <v>4300000</v>
          </cell>
          <cell r="G694">
            <v>150000</v>
          </cell>
          <cell r="H694">
            <v>111119</v>
          </cell>
          <cell r="I694">
            <v>124232.81817155592</v>
          </cell>
          <cell r="J694">
            <v>4761119</v>
          </cell>
          <cell r="K694" t="str">
            <v>AKTIF</v>
          </cell>
        </row>
        <row r="695">
          <cell r="C695" t="str">
            <v>Sudirman Majid</v>
          </cell>
          <cell r="D695" t="str">
            <v>DOC</v>
          </cell>
          <cell r="E695">
            <v>0</v>
          </cell>
          <cell r="F695">
            <v>11250000</v>
          </cell>
          <cell r="G695">
            <v>0</v>
          </cell>
          <cell r="H695">
            <v>324805</v>
          </cell>
          <cell r="I695">
            <v>302023.672362782</v>
          </cell>
          <cell r="J695">
            <v>11574805</v>
          </cell>
          <cell r="K695" t="str">
            <v>AKTIF</v>
          </cell>
        </row>
        <row r="696">
          <cell r="C696" t="str">
            <v>Yosida Isdianawati</v>
          </cell>
          <cell r="D696" t="str">
            <v>KOP</v>
          </cell>
          <cell r="E696">
            <v>0</v>
          </cell>
          <cell r="F696">
            <v>3500000</v>
          </cell>
          <cell r="G696">
            <v>350000</v>
          </cell>
          <cell r="H696">
            <v>61928</v>
          </cell>
          <cell r="I696">
            <v>102074.70973193874</v>
          </cell>
          <cell r="J696">
            <v>3911928</v>
          </cell>
          <cell r="K696" t="str">
            <v>AKTIF</v>
          </cell>
        </row>
        <row r="697">
          <cell r="C697" t="str">
            <v>Andre L Latuihamalo</v>
          </cell>
          <cell r="D697"/>
          <cell r="E697">
            <v>0</v>
          </cell>
          <cell r="F697">
            <v>150000</v>
          </cell>
          <cell r="G697">
            <v>0</v>
          </cell>
          <cell r="H697">
            <v>0</v>
          </cell>
          <cell r="I697">
            <v>3913.9796181808078</v>
          </cell>
          <cell r="J697">
            <v>150000</v>
          </cell>
          <cell r="K697" t="str">
            <v>PASIF</v>
          </cell>
        </row>
        <row r="698">
          <cell r="C698" t="str">
            <v>Abd. Rahman ST</v>
          </cell>
          <cell r="D698" t="str">
            <v>AB</v>
          </cell>
          <cell r="E698">
            <v>0</v>
          </cell>
          <cell r="F698">
            <v>4950000</v>
          </cell>
          <cell r="G698">
            <v>0</v>
          </cell>
          <cell r="H698">
            <v>77971</v>
          </cell>
          <cell r="I698">
            <v>131195.84009869449</v>
          </cell>
          <cell r="J698">
            <v>5027971</v>
          </cell>
          <cell r="K698" t="str">
            <v>AKTIF</v>
          </cell>
        </row>
        <row r="699">
          <cell r="C699" t="str">
            <v>Ratna Damayanti</v>
          </cell>
          <cell r="D699" t="str">
            <v>BPC</v>
          </cell>
          <cell r="E699">
            <v>400000</v>
          </cell>
          <cell r="F699">
            <v>8500000</v>
          </cell>
          <cell r="G699">
            <v>0</v>
          </cell>
          <cell r="H699">
            <v>151504</v>
          </cell>
          <cell r="I699">
            <v>236182.68113254703</v>
          </cell>
          <cell r="J699">
            <v>9051504</v>
          </cell>
          <cell r="K699" t="str">
            <v>AKTIF</v>
          </cell>
        </row>
        <row r="700">
          <cell r="C700" t="str">
            <v>Aldi Muhammad Rianto</v>
          </cell>
          <cell r="D700" t="str">
            <v>SBU ENI</v>
          </cell>
          <cell r="E700">
            <v>200000</v>
          </cell>
          <cell r="F700">
            <v>3100000</v>
          </cell>
          <cell r="G700">
            <v>0</v>
          </cell>
          <cell r="H700">
            <v>53452</v>
          </cell>
          <cell r="I700">
            <v>87502.285190317765</v>
          </cell>
          <cell r="J700">
            <v>3353452</v>
          </cell>
          <cell r="K700" t="str">
            <v>AKTIF</v>
          </cell>
        </row>
        <row r="701">
          <cell r="C701" t="str">
            <v>Aldi Wahyu Prasetyo</v>
          </cell>
          <cell r="D701" t="str">
            <v>SBU ENI</v>
          </cell>
          <cell r="E701">
            <v>200000</v>
          </cell>
          <cell r="F701">
            <v>3100000</v>
          </cell>
          <cell r="G701">
            <v>200000</v>
          </cell>
          <cell r="H701">
            <v>55297</v>
          </cell>
          <cell r="I701">
            <v>92769.066630529138</v>
          </cell>
          <cell r="J701">
            <v>3555297</v>
          </cell>
          <cell r="K701" t="str">
            <v>AKTIF</v>
          </cell>
        </row>
        <row r="702">
          <cell r="C702" t="str">
            <v>Iqbal Rezky</v>
          </cell>
          <cell r="D702" t="str">
            <v>SBU ENI</v>
          </cell>
          <cell r="E702">
            <v>200000</v>
          </cell>
          <cell r="F702">
            <v>3100000</v>
          </cell>
          <cell r="G702">
            <v>500000</v>
          </cell>
          <cell r="H702">
            <v>59909</v>
          </cell>
          <cell r="I702">
            <v>100717.36769355109</v>
          </cell>
          <cell r="J702">
            <v>3859909</v>
          </cell>
          <cell r="K702" t="str">
            <v>AKTIF</v>
          </cell>
        </row>
        <row r="703">
          <cell r="C703" t="str">
            <v>Ade Sintya Kusumawardani</v>
          </cell>
          <cell r="D703" t="str">
            <v>SEKPER</v>
          </cell>
          <cell r="E703">
            <v>0</v>
          </cell>
          <cell r="F703">
            <v>3000000</v>
          </cell>
          <cell r="G703">
            <v>0</v>
          </cell>
          <cell r="H703">
            <v>42034</v>
          </cell>
          <cell r="I703">
            <v>79376.393825420237</v>
          </cell>
          <cell r="J703">
            <v>3042034</v>
          </cell>
          <cell r="K703" t="str">
            <v>AKTIF</v>
          </cell>
        </row>
        <row r="704">
          <cell r="C704" t="str">
            <v>Rozainbahri Noor</v>
          </cell>
          <cell r="D704" t="str">
            <v>DIREKSI</v>
          </cell>
          <cell r="E704">
            <v>0</v>
          </cell>
          <cell r="F704">
            <v>15000000</v>
          </cell>
          <cell r="G704">
            <v>0</v>
          </cell>
          <cell r="H704">
            <v>210165</v>
          </cell>
          <cell r="I704">
            <v>396881.83866111387</v>
          </cell>
          <cell r="J704">
            <v>15210165</v>
          </cell>
          <cell r="K704" t="str">
            <v>AKTIF</v>
          </cell>
        </row>
        <row r="705">
          <cell r="C705" t="str">
            <v>Fandi Akbar</v>
          </cell>
          <cell r="D705"/>
          <cell r="E705">
            <v>10500</v>
          </cell>
          <cell r="F705">
            <v>4200000</v>
          </cell>
          <cell r="G705">
            <v>0</v>
          </cell>
          <cell r="H705">
            <v>77678</v>
          </cell>
          <cell r="I705">
            <v>111892.27527420894</v>
          </cell>
          <cell r="J705">
            <v>4288178</v>
          </cell>
          <cell r="K705" t="str">
            <v>AKTIF</v>
          </cell>
        </row>
        <row r="706">
          <cell r="C706" t="str">
            <v>Nadia Listiyamo</v>
          </cell>
          <cell r="D706" t="str">
            <v>DMH</v>
          </cell>
          <cell r="E706">
            <v>0</v>
          </cell>
          <cell r="F706">
            <v>4550000</v>
          </cell>
          <cell r="G706">
            <v>0</v>
          </cell>
          <cell r="H706">
            <v>0</v>
          </cell>
          <cell r="I706">
            <v>118724.04841815117</v>
          </cell>
          <cell r="J706">
            <v>4550000</v>
          </cell>
          <cell r="K706" t="str">
            <v>AKTIF</v>
          </cell>
        </row>
        <row r="707">
          <cell r="C707" t="str">
            <v xml:space="preserve"> faried, ST</v>
          </cell>
          <cell r="D707" t="str">
            <v>SBU MNO</v>
          </cell>
          <cell r="E707">
            <v>0</v>
          </cell>
          <cell r="F707">
            <v>4350000</v>
          </cell>
          <cell r="G707">
            <v>0</v>
          </cell>
          <cell r="H707">
            <v>0</v>
          </cell>
          <cell r="I707">
            <v>113505.40892724342</v>
          </cell>
          <cell r="J707">
            <v>4350000</v>
          </cell>
          <cell r="K707" t="str">
            <v>AKTIF</v>
          </cell>
        </row>
        <row r="708">
          <cell r="C708" t="str">
            <v>Arisudono Soerono</v>
          </cell>
          <cell r="D708" t="str">
            <v>DIREKSI</v>
          </cell>
          <cell r="E708">
            <v>0</v>
          </cell>
          <cell r="F708">
            <v>6000000</v>
          </cell>
          <cell r="G708">
            <v>0</v>
          </cell>
          <cell r="H708">
            <v>0</v>
          </cell>
          <cell r="I708">
            <v>156559.18472723229</v>
          </cell>
          <cell r="J708">
            <v>6000000</v>
          </cell>
          <cell r="K708" t="str">
            <v>AKTIF</v>
          </cell>
        </row>
        <row r="709">
          <cell r="C709" t="str">
            <v>Benny Susanto</v>
          </cell>
          <cell r="D709" t="str">
            <v>DIREKSI</v>
          </cell>
          <cell r="E709">
            <v>0</v>
          </cell>
          <cell r="F709">
            <v>6000000</v>
          </cell>
          <cell r="G709">
            <v>0</v>
          </cell>
          <cell r="H709">
            <v>0</v>
          </cell>
          <cell r="I709">
            <v>156559.18472723229</v>
          </cell>
          <cell r="J709">
            <v>6000000</v>
          </cell>
          <cell r="K709" t="str">
            <v>AKTIF</v>
          </cell>
        </row>
        <row r="710">
          <cell r="C710" t="str">
            <v>Mira Virlianita</v>
          </cell>
          <cell r="D710" t="str">
            <v>KOP</v>
          </cell>
          <cell r="E710">
            <v>0</v>
          </cell>
          <cell r="F710">
            <v>1100000</v>
          </cell>
          <cell r="G710">
            <v>0</v>
          </cell>
          <cell r="H710">
            <v>0</v>
          </cell>
          <cell r="I710">
            <v>28702.517199992588</v>
          </cell>
          <cell r="J710">
            <v>1100000</v>
          </cell>
          <cell r="K710" t="str">
            <v>AKTIF</v>
          </cell>
        </row>
        <row r="711">
          <cell r="C711" t="str">
            <v xml:space="preserve">Aji Abdul Aziz </v>
          </cell>
          <cell r="D711" t="str">
            <v>CN</v>
          </cell>
          <cell r="E711">
            <v>0</v>
          </cell>
          <cell r="F711">
            <v>1350000</v>
          </cell>
          <cell r="G711">
            <v>0</v>
          </cell>
          <cell r="H711">
            <v>0</v>
          </cell>
          <cell r="I711">
            <v>35225.816563627268</v>
          </cell>
          <cell r="J711">
            <v>1350000</v>
          </cell>
          <cell r="K711" t="str">
            <v>AKTIF</v>
          </cell>
        </row>
        <row r="712">
          <cell r="C712" t="str">
            <v>David Haryanto</v>
          </cell>
          <cell r="D712" t="str">
            <v>DMH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 t="str">
            <v>BUKAN ANGGOTA</v>
          </cell>
        </row>
        <row r="713">
          <cell r="C713" t="str">
            <v>Agus Syarif Maolana</v>
          </cell>
          <cell r="D713" t="str">
            <v>MS</v>
          </cell>
          <cell r="E713">
            <v>0</v>
          </cell>
          <cell r="F713">
            <v>2100000</v>
          </cell>
          <cell r="G713">
            <v>0</v>
          </cell>
          <cell r="H713">
            <v>0</v>
          </cell>
          <cell r="I713">
            <v>54795.714654531308</v>
          </cell>
          <cell r="J713">
            <v>2100000</v>
          </cell>
          <cell r="K713" t="str">
            <v>AKTIF</v>
          </cell>
        </row>
        <row r="714">
          <cell r="C714" t="str">
            <v>Bakti Nugroho Dwi Kushadianto</v>
          </cell>
          <cell r="D714" t="str">
            <v>SV</v>
          </cell>
          <cell r="E714">
            <v>0</v>
          </cell>
          <cell r="F714">
            <v>2100000</v>
          </cell>
          <cell r="G714">
            <v>200000</v>
          </cell>
          <cell r="H714">
            <v>0</v>
          </cell>
          <cell r="I714">
            <v>60014.354145439051</v>
          </cell>
          <cell r="J714">
            <v>2300000</v>
          </cell>
          <cell r="K714" t="str">
            <v>AKTIF</v>
          </cell>
        </row>
        <row r="715">
          <cell r="C715" t="str">
            <v xml:space="preserve">Wildanis Miftahul Abror </v>
          </cell>
          <cell r="D715" t="str">
            <v>SV</v>
          </cell>
          <cell r="E715">
            <v>0</v>
          </cell>
          <cell r="F715">
            <v>750000</v>
          </cell>
          <cell r="G715">
            <v>0</v>
          </cell>
          <cell r="H715">
            <v>0</v>
          </cell>
          <cell r="I715">
            <v>19569.898090904037</v>
          </cell>
          <cell r="J715">
            <v>750000</v>
          </cell>
          <cell r="K715" t="str">
            <v>AKTIF</v>
          </cell>
        </row>
        <row r="716">
          <cell r="C716" t="str">
            <v>Abdul Rifani Praja Nurrahman</v>
          </cell>
          <cell r="D716" t="str">
            <v>KU</v>
          </cell>
          <cell r="E716">
            <v>0</v>
          </cell>
          <cell r="F716">
            <v>1500000</v>
          </cell>
          <cell r="G716">
            <v>0</v>
          </cell>
          <cell r="H716">
            <v>0</v>
          </cell>
          <cell r="I716">
            <v>39139.796181808073</v>
          </cell>
          <cell r="J716">
            <v>1500000</v>
          </cell>
          <cell r="K716" t="str">
            <v>AKTIF</v>
          </cell>
        </row>
        <row r="717">
          <cell r="C717" t="str">
            <v>Farhan Abdul Karim</v>
          </cell>
          <cell r="D717" t="str">
            <v>SV</v>
          </cell>
          <cell r="E717">
            <v>200000</v>
          </cell>
          <cell r="F717">
            <v>200000</v>
          </cell>
          <cell r="G717">
            <v>0</v>
          </cell>
          <cell r="H717">
            <v>0</v>
          </cell>
          <cell r="I717">
            <v>10437.278981815487</v>
          </cell>
          <cell r="J717">
            <v>400000</v>
          </cell>
          <cell r="K717" t="str">
            <v>AKTIF</v>
          </cell>
        </row>
        <row r="718">
          <cell r="C718" t="str">
            <v>Muhtar</v>
          </cell>
          <cell r="D718" t="str">
            <v>MHC</v>
          </cell>
          <cell r="E718">
            <v>200000</v>
          </cell>
          <cell r="F718">
            <v>100000</v>
          </cell>
          <cell r="G718">
            <v>300000</v>
          </cell>
          <cell r="H718">
            <v>0</v>
          </cell>
          <cell r="I718">
            <v>15655.918472723231</v>
          </cell>
          <cell r="J718">
            <v>600000</v>
          </cell>
          <cell r="K718" t="str">
            <v>AKTIF</v>
          </cell>
        </row>
        <row r="719">
          <cell r="C719" t="str">
            <v>Ibnul Qayyim</v>
          </cell>
          <cell r="D719" t="str">
            <v>SV</v>
          </cell>
          <cell r="E719">
            <v>200000</v>
          </cell>
          <cell r="F719">
            <v>100000</v>
          </cell>
          <cell r="G719">
            <v>0</v>
          </cell>
          <cell r="H719">
            <v>0</v>
          </cell>
          <cell r="I719">
            <v>7827.9592363616157</v>
          </cell>
          <cell r="J719">
            <v>300000</v>
          </cell>
          <cell r="K719" t="str">
            <v>AKTIF</v>
          </cell>
        </row>
      </sheetData>
      <sheetData sheetId="3">
        <row r="9">
          <cell r="C9" t="str">
            <v>Aan Agus F, Amd.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ANAN MANUAL 2024"/>
      <sheetName val="Sheet2"/>
      <sheetName val="Simpanan 2024"/>
      <sheetName val="SIMPANAN DAN SHU 2024"/>
      <sheetName val="SHU"/>
      <sheetName val="Sheet1"/>
      <sheetName val="SHU PEG, PENGURUS PENGAWA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8FD81-F753-4CEA-94A7-B2D7BF82D2E3}">
  <dimension ref="A1:K758"/>
  <sheetViews>
    <sheetView tabSelected="1" zoomScale="80" zoomScaleNormal="80" workbookViewId="0">
      <selection activeCell="J7" sqref="J7"/>
    </sheetView>
  </sheetViews>
  <sheetFormatPr defaultRowHeight="15.5" x14ac:dyDescent="0.35"/>
  <cols>
    <col min="1" max="1" width="9.07421875" style="3" customWidth="1"/>
    <col min="2" max="2" width="15.765625" style="3" customWidth="1"/>
    <col min="3" max="3" width="25.84375" style="3" customWidth="1"/>
    <col min="4" max="4" width="15.23046875" style="3" customWidth="1"/>
    <col min="5" max="5" width="10.921875" style="3" bestFit="1" customWidth="1"/>
    <col min="6" max="6" width="13.69140625" style="3" bestFit="1" customWidth="1"/>
    <col min="7" max="7" width="11.765625" style="3" bestFit="1" customWidth="1"/>
    <col min="8" max="8" width="13.69140625" style="3" bestFit="1" customWidth="1"/>
    <col min="9" max="9" width="9.3828125" style="3" bestFit="1" customWidth="1"/>
    <col min="10" max="10" width="14.69140625" style="3" bestFit="1" customWidth="1"/>
    <col min="11" max="11" width="15.84375" style="3" customWidth="1"/>
    <col min="12" max="16384" width="9.23046875" style="3"/>
  </cols>
  <sheetData>
    <row r="1" spans="1:11" x14ac:dyDescent="0.35">
      <c r="A1" s="1"/>
      <c r="B1" s="1"/>
      <c r="C1" s="2"/>
      <c r="D1" s="1"/>
    </row>
    <row r="2" spans="1:11" x14ac:dyDescent="0.35">
      <c r="A2" s="1" t="s">
        <v>0</v>
      </c>
      <c r="B2" s="1"/>
      <c r="C2" s="2"/>
      <c r="D2" s="1"/>
    </row>
    <row r="3" spans="1:11" x14ac:dyDescent="0.35">
      <c r="A3" s="1" t="s">
        <v>1</v>
      </c>
      <c r="B3" s="1"/>
      <c r="C3" s="2"/>
      <c r="D3" s="1"/>
    </row>
    <row r="4" spans="1:11" x14ac:dyDescent="0.35">
      <c r="A4" s="1" t="s">
        <v>2</v>
      </c>
      <c r="B4" s="1"/>
      <c r="C4" s="2"/>
      <c r="D4" s="1"/>
    </row>
    <row r="5" spans="1:11" ht="16" thickBot="1" x14ac:dyDescent="0.4">
      <c r="A5" s="1"/>
      <c r="B5" s="1"/>
      <c r="C5" s="2"/>
      <c r="D5" s="1"/>
    </row>
    <row r="6" spans="1:11" x14ac:dyDescent="0.35">
      <c r="A6" s="4" t="s">
        <v>3</v>
      </c>
      <c r="B6" s="5" t="s">
        <v>4</v>
      </c>
      <c r="C6" s="4" t="s">
        <v>5</v>
      </c>
      <c r="D6" s="6" t="s">
        <v>6</v>
      </c>
      <c r="E6" s="7" t="s">
        <v>7</v>
      </c>
      <c r="F6" s="8"/>
      <c r="G6" s="8"/>
      <c r="H6" s="8"/>
      <c r="I6" s="8"/>
      <c r="J6" s="9"/>
      <c r="K6" s="10" t="s">
        <v>8</v>
      </c>
    </row>
    <row r="7" spans="1:11" ht="16" thickBot="1" x14ac:dyDescent="0.4">
      <c r="A7" s="11"/>
      <c r="B7" s="12"/>
      <c r="C7" s="11"/>
      <c r="D7" s="13"/>
      <c r="E7" s="14" t="s">
        <v>9</v>
      </c>
      <c r="F7" s="14" t="s">
        <v>10</v>
      </c>
      <c r="G7" s="14" t="s">
        <v>11</v>
      </c>
      <c r="H7" s="14" t="s">
        <v>12</v>
      </c>
      <c r="I7" s="14" t="s">
        <v>13</v>
      </c>
      <c r="J7" s="14" t="s">
        <v>14</v>
      </c>
      <c r="K7" s="15"/>
    </row>
    <row r="8" spans="1:11" x14ac:dyDescent="0.35">
      <c r="A8" s="16">
        <v>1</v>
      </c>
      <c r="B8" s="17" t="s">
        <v>15</v>
      </c>
      <c r="C8" s="18" t="s">
        <v>16</v>
      </c>
      <c r="D8" s="19" t="s">
        <v>17</v>
      </c>
      <c r="E8" s="20">
        <v>5000</v>
      </c>
      <c r="F8" s="20">
        <v>17240660</v>
      </c>
      <c r="G8" s="20">
        <v>0</v>
      </c>
      <c r="H8" s="20">
        <v>1997221.987578423</v>
      </c>
      <c r="I8" s="20">
        <v>0</v>
      </c>
      <c r="J8" s="20">
        <f>E8+F8+G8+H8</f>
        <v>19242881.987578422</v>
      </c>
      <c r="K8" s="21" t="str">
        <f>VLOOKUP(C8,'[1]SHU 2023'!C$9:K$719,9,0)</f>
        <v>AKTIF</v>
      </c>
    </row>
    <row r="9" spans="1:11" x14ac:dyDescent="0.35">
      <c r="A9" s="22">
        <v>2</v>
      </c>
      <c r="B9" s="23" t="s">
        <v>18</v>
      </c>
      <c r="C9" s="24" t="s">
        <v>19</v>
      </c>
      <c r="D9" s="25" t="s">
        <v>20</v>
      </c>
      <c r="E9" s="26">
        <v>0</v>
      </c>
      <c r="F9" s="26">
        <v>0</v>
      </c>
      <c r="G9" s="26">
        <v>0</v>
      </c>
      <c r="H9" s="26">
        <v>0.40666906256228685</v>
      </c>
      <c r="I9" s="26">
        <v>0</v>
      </c>
      <c r="J9" s="20">
        <f t="shared" ref="J9:J72" si="0">E9+F9+G9+H9</f>
        <v>0.40666906256228685</v>
      </c>
      <c r="K9" s="21" t="str">
        <f>VLOOKUP(C9,'[1]SHU 2023'!C$9:K$719,9,0)</f>
        <v>BUKAN ANGGOTA</v>
      </c>
    </row>
    <row r="10" spans="1:11" x14ac:dyDescent="0.35">
      <c r="A10" s="22">
        <v>3</v>
      </c>
      <c r="B10" s="23" t="s">
        <v>21</v>
      </c>
      <c r="C10" s="24" t="s">
        <v>22</v>
      </c>
      <c r="D10" s="25"/>
      <c r="E10" s="26">
        <v>0</v>
      </c>
      <c r="F10" s="26">
        <v>150000</v>
      </c>
      <c r="G10" s="26">
        <v>0</v>
      </c>
      <c r="H10" s="26">
        <v>6155</v>
      </c>
      <c r="I10" s="26">
        <v>0</v>
      </c>
      <c r="J10" s="20">
        <f t="shared" si="0"/>
        <v>156155</v>
      </c>
      <c r="K10" s="21" t="str">
        <f>VLOOKUP(C10,'[1]SHU 2023'!C$9:K$719,9,0)</f>
        <v>BUKAN ANGGOTA</v>
      </c>
    </row>
    <row r="11" spans="1:11" x14ac:dyDescent="0.35">
      <c r="A11" s="22">
        <v>4</v>
      </c>
      <c r="B11" s="23" t="s">
        <v>23</v>
      </c>
      <c r="C11" s="24" t="s">
        <v>24</v>
      </c>
      <c r="D11" s="25" t="s">
        <v>25</v>
      </c>
      <c r="E11" s="26">
        <v>5000</v>
      </c>
      <c r="F11" s="26">
        <v>10609532</v>
      </c>
      <c r="G11" s="26">
        <v>0</v>
      </c>
      <c r="H11" s="26">
        <v>1217315.6837100901</v>
      </c>
      <c r="I11" s="26">
        <v>0</v>
      </c>
      <c r="J11" s="20">
        <f t="shared" si="0"/>
        <v>11831847.683710091</v>
      </c>
      <c r="K11" s="21" t="str">
        <f>VLOOKUP(C11,'[1]SHU 2023'!C$9:K$719,9,0)</f>
        <v>AKTIF</v>
      </c>
    </row>
    <row r="12" spans="1:11" x14ac:dyDescent="0.35">
      <c r="A12" s="22">
        <v>5</v>
      </c>
      <c r="B12" s="23" t="s">
        <v>26</v>
      </c>
      <c r="C12" s="24" t="s">
        <v>27</v>
      </c>
      <c r="D12" s="25" t="s">
        <v>28</v>
      </c>
      <c r="E12" s="26">
        <v>5000</v>
      </c>
      <c r="F12" s="26">
        <v>24852898</v>
      </c>
      <c r="G12" s="26">
        <v>795000</v>
      </c>
      <c r="H12" s="26">
        <v>2229525.2915070974</v>
      </c>
      <c r="I12" s="26">
        <v>0</v>
      </c>
      <c r="J12" s="20">
        <f t="shared" si="0"/>
        <v>27882423.291507099</v>
      </c>
      <c r="K12" s="21" t="str">
        <f>VLOOKUP(C12,'[1]SHU 2023'!C$9:K$719,9,0)</f>
        <v>AKTIF</v>
      </c>
    </row>
    <row r="13" spans="1:11" x14ac:dyDescent="0.35">
      <c r="A13" s="22">
        <v>6</v>
      </c>
      <c r="B13" s="23" t="s">
        <v>29</v>
      </c>
      <c r="C13" s="24" t="s">
        <v>30</v>
      </c>
      <c r="D13" s="25" t="s">
        <v>31</v>
      </c>
      <c r="E13" s="26">
        <v>5000</v>
      </c>
      <c r="F13" s="26">
        <v>37699463</v>
      </c>
      <c r="G13" s="26">
        <v>37500</v>
      </c>
      <c r="H13" s="26">
        <v>15062212.813497629</v>
      </c>
      <c r="I13" s="26">
        <v>0</v>
      </c>
      <c r="J13" s="20">
        <f t="shared" si="0"/>
        <v>52804175.813497633</v>
      </c>
      <c r="K13" s="21" t="str">
        <f>VLOOKUP(C13,'[1]SHU 2023'!C$9:K$719,9,0)</f>
        <v>AKTIF</v>
      </c>
    </row>
    <row r="14" spans="1:11" x14ac:dyDescent="0.35">
      <c r="A14" s="22">
        <v>7</v>
      </c>
      <c r="B14" s="23" t="s">
        <v>32</v>
      </c>
      <c r="C14" s="24" t="s">
        <v>33</v>
      </c>
      <c r="D14" s="25" t="s">
        <v>34</v>
      </c>
      <c r="E14" s="26">
        <v>0</v>
      </c>
      <c r="F14" s="26">
        <v>0</v>
      </c>
      <c r="G14" s="26">
        <v>0</v>
      </c>
      <c r="H14" s="26">
        <v>250663.24936907971</v>
      </c>
      <c r="I14" s="26">
        <v>0</v>
      </c>
      <c r="J14" s="20">
        <f t="shared" si="0"/>
        <v>250663.24936907971</v>
      </c>
      <c r="K14" s="21" t="str">
        <f>VLOOKUP(C14,'[1]SHU 2023'!C$9:K$719,9,0)</f>
        <v>PASIF</v>
      </c>
    </row>
    <row r="15" spans="1:11" x14ac:dyDescent="0.35">
      <c r="A15" s="22">
        <v>8</v>
      </c>
      <c r="B15" s="23" t="s">
        <v>35</v>
      </c>
      <c r="C15" s="24" t="s">
        <v>36</v>
      </c>
      <c r="D15" s="25" t="s">
        <v>20</v>
      </c>
      <c r="E15" s="26">
        <v>5000</v>
      </c>
      <c r="F15" s="26">
        <v>34674262</v>
      </c>
      <c r="G15" s="26">
        <v>0</v>
      </c>
      <c r="H15" s="26">
        <v>5114337.2027084157</v>
      </c>
      <c r="I15" s="26">
        <v>0</v>
      </c>
      <c r="J15" s="20">
        <f t="shared" si="0"/>
        <v>39793599.202708416</v>
      </c>
      <c r="K15" s="21" t="str">
        <f>VLOOKUP(C15,'[1]SHU 2023'!C$9:K$719,9,0)</f>
        <v>AKTIF</v>
      </c>
    </row>
    <row r="16" spans="1:11" x14ac:dyDescent="0.35">
      <c r="A16" s="22">
        <v>9</v>
      </c>
      <c r="B16" s="23" t="s">
        <v>37</v>
      </c>
      <c r="C16" s="24" t="s">
        <v>38</v>
      </c>
      <c r="D16" s="25" t="s">
        <v>39</v>
      </c>
      <c r="E16" s="26">
        <v>0</v>
      </c>
      <c r="F16" s="26">
        <v>0</v>
      </c>
      <c r="G16" s="26">
        <v>0</v>
      </c>
      <c r="H16" s="26">
        <v>655986</v>
      </c>
      <c r="I16" s="26">
        <v>0</v>
      </c>
      <c r="J16" s="20">
        <f t="shared" si="0"/>
        <v>655986</v>
      </c>
      <c r="K16" s="21" t="str">
        <f>VLOOKUP(C16,'[1]SHU 2023'!C$9:K$719,9,0)</f>
        <v>PASIF</v>
      </c>
    </row>
    <row r="17" spans="1:11" x14ac:dyDescent="0.35">
      <c r="A17" s="22">
        <v>10</v>
      </c>
      <c r="B17" s="23" t="s">
        <v>40</v>
      </c>
      <c r="C17" s="24" t="s">
        <v>41</v>
      </c>
      <c r="D17" s="25" t="s">
        <v>42</v>
      </c>
      <c r="E17" s="26">
        <v>0</v>
      </c>
      <c r="F17" s="26">
        <v>250000</v>
      </c>
      <c r="G17" s="26">
        <v>100000</v>
      </c>
      <c r="H17" s="26">
        <v>214116.93703242391</v>
      </c>
      <c r="I17" s="26">
        <v>0</v>
      </c>
      <c r="J17" s="20">
        <f t="shared" si="0"/>
        <v>564116.93703242391</v>
      </c>
      <c r="K17" s="21" t="str">
        <f>VLOOKUP(C17,'[1]SHU 2023'!C$9:K$719,9,0)</f>
        <v>PASIF</v>
      </c>
    </row>
    <row r="18" spans="1:11" x14ac:dyDescent="0.35">
      <c r="A18" s="22">
        <v>11</v>
      </c>
      <c r="B18" s="23" t="s">
        <v>43</v>
      </c>
      <c r="C18" s="24" t="s">
        <v>44</v>
      </c>
      <c r="D18" s="25" t="s">
        <v>45</v>
      </c>
      <c r="E18" s="26">
        <v>0</v>
      </c>
      <c r="F18" s="26">
        <v>0</v>
      </c>
      <c r="G18" s="26">
        <v>0</v>
      </c>
      <c r="H18" s="26">
        <v>178433</v>
      </c>
      <c r="I18" s="26">
        <v>0</v>
      </c>
      <c r="J18" s="20">
        <f t="shared" si="0"/>
        <v>178433</v>
      </c>
      <c r="K18" s="21" t="str">
        <f>VLOOKUP(C18,'[1]SHU 2023'!C$9:K$719,9,0)</f>
        <v>PASIF</v>
      </c>
    </row>
    <row r="19" spans="1:11" x14ac:dyDescent="0.35">
      <c r="A19" s="22">
        <v>12</v>
      </c>
      <c r="B19" s="23" t="s">
        <v>46</v>
      </c>
      <c r="C19" s="24" t="s">
        <v>47</v>
      </c>
      <c r="D19" s="25" t="s">
        <v>48</v>
      </c>
      <c r="E19" s="26">
        <v>0</v>
      </c>
      <c r="F19" s="26">
        <v>0</v>
      </c>
      <c r="G19" s="26">
        <v>0</v>
      </c>
      <c r="H19" s="26">
        <v>-0.30986904259771109</v>
      </c>
      <c r="I19" s="26">
        <v>0</v>
      </c>
      <c r="J19" s="20">
        <f t="shared" si="0"/>
        <v>-0.30986904259771109</v>
      </c>
      <c r="K19" s="21" t="s">
        <v>49</v>
      </c>
    </row>
    <row r="20" spans="1:11" x14ac:dyDescent="0.35">
      <c r="A20" s="22">
        <v>13</v>
      </c>
      <c r="B20" s="23" t="s">
        <v>50</v>
      </c>
      <c r="C20" s="24" t="s">
        <v>51</v>
      </c>
      <c r="D20" s="25" t="s">
        <v>42</v>
      </c>
      <c r="E20" s="26">
        <v>0</v>
      </c>
      <c r="F20" s="26">
        <v>0</v>
      </c>
      <c r="G20" s="26">
        <v>0</v>
      </c>
      <c r="H20" s="26">
        <v>2245019</v>
      </c>
      <c r="I20" s="26">
        <v>0</v>
      </c>
      <c r="J20" s="20">
        <f t="shared" si="0"/>
        <v>2245019</v>
      </c>
      <c r="K20" s="21" t="str">
        <f>VLOOKUP(C20,'[1]SHU 2023'!C$9:K$719,9,0)</f>
        <v>PASIF</v>
      </c>
    </row>
    <row r="21" spans="1:11" x14ac:dyDescent="0.35">
      <c r="A21" s="22">
        <v>14</v>
      </c>
      <c r="B21" s="23" t="s">
        <v>52</v>
      </c>
      <c r="C21" s="24" t="s">
        <v>53</v>
      </c>
      <c r="D21" s="25" t="s">
        <v>54</v>
      </c>
      <c r="E21" s="26">
        <v>5000</v>
      </c>
      <c r="F21" s="26">
        <v>44697275</v>
      </c>
      <c r="G21" s="26">
        <v>0</v>
      </c>
      <c r="H21" s="26">
        <v>4257094.6857161894</v>
      </c>
      <c r="I21" s="26">
        <v>0</v>
      </c>
      <c r="J21" s="20">
        <f t="shared" si="0"/>
        <v>48959369.685716189</v>
      </c>
      <c r="K21" s="21" t="str">
        <f>VLOOKUP(C21,'[1]SHU 2023'!C$9:K$719,9,0)</f>
        <v>AKTIF</v>
      </c>
    </row>
    <row r="22" spans="1:11" x14ac:dyDescent="0.35">
      <c r="A22" s="22">
        <v>15</v>
      </c>
      <c r="B22" s="23" t="s">
        <v>55</v>
      </c>
      <c r="C22" s="24" t="s">
        <v>56</v>
      </c>
      <c r="D22" s="25" t="s">
        <v>42</v>
      </c>
      <c r="E22" s="26">
        <v>0</v>
      </c>
      <c r="F22" s="26">
        <v>0</v>
      </c>
      <c r="G22" s="26">
        <v>0</v>
      </c>
      <c r="H22" s="26">
        <v>131136.88025422418</v>
      </c>
      <c r="I22" s="26">
        <v>0</v>
      </c>
      <c r="J22" s="20">
        <f t="shared" si="0"/>
        <v>131136.88025422418</v>
      </c>
      <c r="K22" s="21" t="str">
        <f>VLOOKUP(C22,'[1]SHU 2023'!C$9:K$719,9,0)</f>
        <v>PASIF</v>
      </c>
    </row>
    <row r="23" spans="1:11" x14ac:dyDescent="0.35">
      <c r="A23" s="22">
        <v>16</v>
      </c>
      <c r="B23" s="23" t="s">
        <v>57</v>
      </c>
      <c r="C23" s="24" t="s">
        <v>58</v>
      </c>
      <c r="D23" s="25" t="s">
        <v>59</v>
      </c>
      <c r="E23" s="26">
        <v>0</v>
      </c>
      <c r="F23" s="26">
        <v>0</v>
      </c>
      <c r="G23" s="26">
        <v>0</v>
      </c>
      <c r="H23" s="26">
        <v>-0.24917701166123152</v>
      </c>
      <c r="I23" s="26">
        <v>0</v>
      </c>
      <c r="J23" s="20">
        <f t="shared" si="0"/>
        <v>-0.24917701166123152</v>
      </c>
      <c r="K23" s="21" t="s">
        <v>49</v>
      </c>
    </row>
    <row r="24" spans="1:11" x14ac:dyDescent="0.35">
      <c r="A24" s="22">
        <v>17</v>
      </c>
      <c r="B24" s="23" t="s">
        <v>60</v>
      </c>
      <c r="C24" s="24" t="s">
        <v>61</v>
      </c>
      <c r="D24" s="25" t="s">
        <v>31</v>
      </c>
      <c r="E24" s="26">
        <v>5000</v>
      </c>
      <c r="F24" s="26">
        <v>77549876</v>
      </c>
      <c r="G24" s="26">
        <v>347500</v>
      </c>
      <c r="H24" s="26">
        <v>11842161.64933815</v>
      </c>
      <c r="I24" s="26">
        <v>0</v>
      </c>
      <c r="J24" s="20">
        <f t="shared" si="0"/>
        <v>89744537.649338156</v>
      </c>
      <c r="K24" s="21" t="str">
        <f>VLOOKUP(C24,'[1]SHU 2023'!C$9:K$719,9,0)</f>
        <v>AKTIF</v>
      </c>
    </row>
    <row r="25" spans="1:11" x14ac:dyDescent="0.35">
      <c r="A25" s="22">
        <v>18</v>
      </c>
      <c r="B25" s="23" t="s">
        <v>62</v>
      </c>
      <c r="C25" s="24" t="s">
        <v>63</v>
      </c>
      <c r="D25" s="25" t="s">
        <v>25</v>
      </c>
      <c r="E25" s="26">
        <v>0</v>
      </c>
      <c r="F25" s="26">
        <v>0</v>
      </c>
      <c r="G25" s="26">
        <v>0</v>
      </c>
      <c r="H25" s="26">
        <v>944319.44910094142</v>
      </c>
      <c r="I25" s="26">
        <v>0</v>
      </c>
      <c r="J25" s="20">
        <f t="shared" si="0"/>
        <v>944319.44910094142</v>
      </c>
      <c r="K25" s="21" t="str">
        <f>VLOOKUP(C25,'[1]SHU 2023'!C$9:K$719,9,0)</f>
        <v>BUKAN ANGGOTA</v>
      </c>
    </row>
    <row r="26" spans="1:11" x14ac:dyDescent="0.35">
      <c r="A26" s="22">
        <v>19</v>
      </c>
      <c r="B26" s="23" t="s">
        <v>64</v>
      </c>
      <c r="C26" s="24" t="s">
        <v>65</v>
      </c>
      <c r="D26" s="25" t="s">
        <v>66</v>
      </c>
      <c r="E26" s="26">
        <v>0</v>
      </c>
      <c r="F26" s="26">
        <v>0</v>
      </c>
      <c r="G26" s="26">
        <v>0</v>
      </c>
      <c r="H26" s="26">
        <v>6374025</v>
      </c>
      <c r="I26" s="26">
        <v>0</v>
      </c>
      <c r="J26" s="20">
        <f t="shared" si="0"/>
        <v>6374025</v>
      </c>
      <c r="K26" s="21" t="str">
        <f>VLOOKUP(C26,'[1]SHU 2023'!C$9:K$719,9,0)</f>
        <v>PASIF</v>
      </c>
    </row>
    <row r="27" spans="1:11" x14ac:dyDescent="0.35">
      <c r="A27" s="22">
        <v>20</v>
      </c>
      <c r="B27" s="23" t="s">
        <v>67</v>
      </c>
      <c r="C27" s="24" t="s">
        <v>68</v>
      </c>
      <c r="D27" s="25" t="s">
        <v>66</v>
      </c>
      <c r="E27" s="26">
        <v>0</v>
      </c>
      <c r="F27" s="26">
        <v>0</v>
      </c>
      <c r="G27" s="26">
        <v>0</v>
      </c>
      <c r="H27" s="26">
        <v>93974.00803951174</v>
      </c>
      <c r="I27" s="26">
        <v>0</v>
      </c>
      <c r="J27" s="20">
        <f t="shared" si="0"/>
        <v>93974.00803951174</v>
      </c>
      <c r="K27" s="21" t="str">
        <f>VLOOKUP(C27,'[1]SHU 2023'!C$9:K$719,9,0)</f>
        <v>PASIF</v>
      </c>
    </row>
    <row r="28" spans="1:11" x14ac:dyDescent="0.35">
      <c r="A28" s="22">
        <v>21</v>
      </c>
      <c r="B28" s="23" t="s">
        <v>69</v>
      </c>
      <c r="C28" s="24" t="s">
        <v>70</v>
      </c>
      <c r="D28" s="25" t="s">
        <v>71</v>
      </c>
      <c r="E28" s="26">
        <v>0</v>
      </c>
      <c r="F28" s="26">
        <v>250000</v>
      </c>
      <c r="G28" s="26">
        <v>0</v>
      </c>
      <c r="H28" s="26">
        <v>10257.862840637797</v>
      </c>
      <c r="I28" s="26">
        <v>0</v>
      </c>
      <c r="J28" s="20">
        <f t="shared" si="0"/>
        <v>260257.8628406378</v>
      </c>
      <c r="K28" s="21" t="str">
        <f>VLOOKUP(C28,'[1]SHU 2023'!C$9:K$719,9,0)</f>
        <v>PASIF</v>
      </c>
    </row>
    <row r="29" spans="1:11" x14ac:dyDescent="0.35">
      <c r="A29" s="22">
        <v>22</v>
      </c>
      <c r="B29" s="23" t="s">
        <v>72</v>
      </c>
      <c r="C29" s="27" t="s">
        <v>73</v>
      </c>
      <c r="D29" s="25" t="s">
        <v>74</v>
      </c>
      <c r="E29" s="26">
        <v>0</v>
      </c>
      <c r="F29" s="26">
        <v>-150000</v>
      </c>
      <c r="G29" s="26">
        <v>0</v>
      </c>
      <c r="H29" s="26">
        <v>-0.26117865927517414</v>
      </c>
      <c r="I29" s="26">
        <v>0</v>
      </c>
      <c r="J29" s="20">
        <f t="shared" si="0"/>
        <v>-150000.26117865928</v>
      </c>
      <c r="K29" s="21" t="str">
        <f>VLOOKUP(C29,'[1]SHU 2023'!C$9:K$719,9,0)</f>
        <v>BUKAN ANGGOTA</v>
      </c>
    </row>
    <row r="30" spans="1:11" x14ac:dyDescent="0.35">
      <c r="A30" s="22">
        <v>23</v>
      </c>
      <c r="B30" s="23" t="s">
        <v>75</v>
      </c>
      <c r="C30" s="24" t="s">
        <v>76</v>
      </c>
      <c r="D30" s="25" t="s">
        <v>77</v>
      </c>
      <c r="E30" s="26">
        <v>0</v>
      </c>
      <c r="F30" s="26">
        <v>0</v>
      </c>
      <c r="G30" s="26">
        <v>0</v>
      </c>
      <c r="H30" s="26">
        <v>0.10110832378268242</v>
      </c>
      <c r="I30" s="26">
        <v>0</v>
      </c>
      <c r="J30" s="20">
        <f t="shared" si="0"/>
        <v>0.10110832378268242</v>
      </c>
      <c r="K30" s="21" t="s">
        <v>49</v>
      </c>
    </row>
    <row r="31" spans="1:11" x14ac:dyDescent="0.35">
      <c r="A31" s="22">
        <v>24</v>
      </c>
      <c r="B31" s="23" t="s">
        <v>78</v>
      </c>
      <c r="C31" s="27" t="s">
        <v>79</v>
      </c>
      <c r="D31" s="25" t="s">
        <v>66</v>
      </c>
      <c r="E31" s="26">
        <v>0</v>
      </c>
      <c r="F31" s="26">
        <v>0</v>
      </c>
      <c r="G31" s="26">
        <v>0</v>
      </c>
      <c r="H31" s="26">
        <v>91043.698968475335</v>
      </c>
      <c r="I31" s="26">
        <v>0</v>
      </c>
      <c r="J31" s="20">
        <f t="shared" si="0"/>
        <v>91043.698968475335</v>
      </c>
      <c r="K31" s="21" t="str">
        <f>VLOOKUP(C31,'[1]SHU 2023'!C$9:K$719,9,0)</f>
        <v>PASIF</v>
      </c>
    </row>
    <row r="32" spans="1:11" x14ac:dyDescent="0.35">
      <c r="A32" s="22">
        <v>25</v>
      </c>
      <c r="B32" s="23" t="s">
        <v>80</v>
      </c>
      <c r="C32" s="24" t="s">
        <v>81</v>
      </c>
      <c r="D32" s="25" t="s">
        <v>59</v>
      </c>
      <c r="E32" s="26">
        <v>5000</v>
      </c>
      <c r="F32" s="26">
        <v>13231788</v>
      </c>
      <c r="G32" s="26">
        <v>535000</v>
      </c>
      <c r="H32" s="26">
        <v>1783497.3494085006</v>
      </c>
      <c r="I32" s="26">
        <v>0</v>
      </c>
      <c r="J32" s="20">
        <f t="shared" si="0"/>
        <v>15555285.3494085</v>
      </c>
      <c r="K32" s="21" t="str">
        <f>VLOOKUP(C32,'[1]SHU 2023'!C$9:K$719,9,0)</f>
        <v>AKTIF</v>
      </c>
    </row>
    <row r="33" spans="1:11" x14ac:dyDescent="0.35">
      <c r="A33" s="22">
        <v>26</v>
      </c>
      <c r="B33" s="23" t="s">
        <v>82</v>
      </c>
      <c r="C33" s="24" t="s">
        <v>83</v>
      </c>
      <c r="D33" s="25" t="s">
        <v>74</v>
      </c>
      <c r="E33" s="26">
        <v>0</v>
      </c>
      <c r="F33" s="26">
        <v>800000</v>
      </c>
      <c r="G33" s="26">
        <v>0</v>
      </c>
      <c r="H33" s="26">
        <v>168972.27914970811</v>
      </c>
      <c r="I33" s="26">
        <v>0</v>
      </c>
      <c r="J33" s="20">
        <f t="shared" si="0"/>
        <v>968972.27914970811</v>
      </c>
      <c r="K33" s="21" t="str">
        <f>VLOOKUP(C33,'[1]SHU 2023'!C$9:K$719,9,0)</f>
        <v>PASIF</v>
      </c>
    </row>
    <row r="34" spans="1:11" x14ac:dyDescent="0.35">
      <c r="A34" s="22">
        <v>27</v>
      </c>
      <c r="B34" s="23" t="s">
        <v>84</v>
      </c>
      <c r="C34" s="24" t="s">
        <v>85</v>
      </c>
      <c r="D34" s="25" t="s">
        <v>86</v>
      </c>
      <c r="E34" s="26">
        <v>5000</v>
      </c>
      <c r="F34" s="26">
        <v>18900000</v>
      </c>
      <c r="G34" s="26">
        <v>0</v>
      </c>
      <c r="H34" s="26">
        <v>3875093.3881559232</v>
      </c>
      <c r="I34" s="26">
        <v>0</v>
      </c>
      <c r="J34" s="20">
        <f t="shared" si="0"/>
        <v>22780093.388155922</v>
      </c>
      <c r="K34" s="21" t="str">
        <f>VLOOKUP(C34,'[1]SHU 2023'!C$9:K$719,9,0)</f>
        <v>AKTIF</v>
      </c>
    </row>
    <row r="35" spans="1:11" x14ac:dyDescent="0.35">
      <c r="A35" s="22">
        <v>28</v>
      </c>
      <c r="B35" s="23" t="s">
        <v>87</v>
      </c>
      <c r="C35" s="24" t="s">
        <v>88</v>
      </c>
      <c r="D35" s="25" t="s">
        <v>89</v>
      </c>
      <c r="E35" s="26">
        <v>0</v>
      </c>
      <c r="F35" s="26">
        <v>0</v>
      </c>
      <c r="G35" s="26">
        <v>0</v>
      </c>
      <c r="H35" s="26">
        <v>758204</v>
      </c>
      <c r="I35" s="26">
        <v>0</v>
      </c>
      <c r="J35" s="20">
        <f t="shared" si="0"/>
        <v>758204</v>
      </c>
      <c r="K35" s="21" t="str">
        <f>VLOOKUP(C35,'[1]SHU 2023'!C$9:K$719,9,0)</f>
        <v>PASIF</v>
      </c>
    </row>
    <row r="36" spans="1:11" x14ac:dyDescent="0.35">
      <c r="A36" s="22">
        <v>29</v>
      </c>
      <c r="B36" s="23" t="s">
        <v>90</v>
      </c>
      <c r="C36" s="24" t="s">
        <v>91</v>
      </c>
      <c r="D36" s="25" t="s">
        <v>92</v>
      </c>
      <c r="E36" s="26">
        <v>200000</v>
      </c>
      <c r="F36" s="26">
        <v>4600000</v>
      </c>
      <c r="G36" s="26">
        <v>0</v>
      </c>
      <c r="H36" s="26">
        <v>287113.33870904706</v>
      </c>
      <c r="I36" s="26">
        <v>0</v>
      </c>
      <c r="J36" s="20">
        <f t="shared" si="0"/>
        <v>5087113.3387090471</v>
      </c>
      <c r="K36" s="21" t="str">
        <f>VLOOKUP(C36,'[1]SHU 2023'!C$9:K$719,9,0)</f>
        <v>PASIF</v>
      </c>
    </row>
    <row r="37" spans="1:11" x14ac:dyDescent="0.35">
      <c r="A37" s="22">
        <v>30</v>
      </c>
      <c r="B37" s="23" t="s">
        <v>93</v>
      </c>
      <c r="C37" s="24" t="s">
        <v>94</v>
      </c>
      <c r="D37" s="25" t="s">
        <v>34</v>
      </c>
      <c r="E37" s="26">
        <v>5000</v>
      </c>
      <c r="F37" s="26">
        <v>67026138</v>
      </c>
      <c r="G37" s="26">
        <v>100000</v>
      </c>
      <c r="H37" s="26">
        <v>19727391.222606033</v>
      </c>
      <c r="I37" s="26">
        <v>0</v>
      </c>
      <c r="J37" s="20">
        <f t="shared" si="0"/>
        <v>86858529.222606033</v>
      </c>
      <c r="K37" s="21" t="str">
        <f>VLOOKUP(C37,'[1]SHU 2023'!C$9:K$719,9,0)</f>
        <v>AKTIF</v>
      </c>
    </row>
    <row r="38" spans="1:11" x14ac:dyDescent="0.35">
      <c r="A38" s="22">
        <v>31</v>
      </c>
      <c r="B38" s="23" t="s">
        <v>95</v>
      </c>
      <c r="C38" s="24" t="s">
        <v>96</v>
      </c>
      <c r="D38" s="25" t="s">
        <v>97</v>
      </c>
      <c r="E38" s="26">
        <v>5000</v>
      </c>
      <c r="F38" s="26">
        <v>12814161</v>
      </c>
      <c r="G38" s="26">
        <v>0</v>
      </c>
      <c r="H38" s="26">
        <v>6717668.6778727239</v>
      </c>
      <c r="I38" s="26">
        <v>0</v>
      </c>
      <c r="J38" s="20">
        <f t="shared" si="0"/>
        <v>19536829.677872725</v>
      </c>
      <c r="K38" s="21" t="str">
        <f>VLOOKUP(C38,'[1]SHU 2023'!C$9:K$719,9,0)</f>
        <v>AKTIF</v>
      </c>
    </row>
    <row r="39" spans="1:11" x14ac:dyDescent="0.35">
      <c r="A39" s="22">
        <v>32</v>
      </c>
      <c r="B39" s="23" t="s">
        <v>98</v>
      </c>
      <c r="C39" s="24" t="s">
        <v>99</v>
      </c>
      <c r="D39" s="25" t="s">
        <v>89</v>
      </c>
      <c r="E39" s="26">
        <v>5000</v>
      </c>
      <c r="F39" s="26">
        <v>26027980</v>
      </c>
      <c r="G39" s="26">
        <v>0</v>
      </c>
      <c r="H39" s="26">
        <v>2979690.5134089058</v>
      </c>
      <c r="I39" s="26">
        <v>0</v>
      </c>
      <c r="J39" s="20">
        <f t="shared" si="0"/>
        <v>29012670.513408907</v>
      </c>
      <c r="K39" s="21" t="str">
        <f>VLOOKUP(C39,'[1]SHU 2023'!C$9:K$719,9,0)</f>
        <v>AKTIF</v>
      </c>
    </row>
    <row r="40" spans="1:11" x14ac:dyDescent="0.35">
      <c r="A40" s="22">
        <v>33</v>
      </c>
      <c r="B40" s="23" t="s">
        <v>100</v>
      </c>
      <c r="C40" s="24" t="s">
        <v>101</v>
      </c>
      <c r="D40" s="25" t="s">
        <v>102</v>
      </c>
      <c r="E40" s="26">
        <v>5000</v>
      </c>
      <c r="F40" s="26">
        <v>47029884</v>
      </c>
      <c r="G40" s="26">
        <v>0</v>
      </c>
      <c r="H40" s="26">
        <v>8565906.6821377259</v>
      </c>
      <c r="I40" s="26">
        <v>0</v>
      </c>
      <c r="J40" s="20">
        <f t="shared" si="0"/>
        <v>55600790.682137728</v>
      </c>
      <c r="K40" s="21" t="str">
        <f>VLOOKUP(C40,'[1]SHU 2023'!C$9:K$719,9,0)</f>
        <v>AKTIF</v>
      </c>
    </row>
    <row r="41" spans="1:11" x14ac:dyDescent="0.35">
      <c r="A41" s="22">
        <v>34</v>
      </c>
      <c r="B41" s="23" t="s">
        <v>103</v>
      </c>
      <c r="C41" s="24" t="s">
        <v>104</v>
      </c>
      <c r="D41" s="25" t="s">
        <v>66</v>
      </c>
      <c r="E41" s="26">
        <v>5000</v>
      </c>
      <c r="F41" s="26">
        <v>40939498</v>
      </c>
      <c r="G41" s="26">
        <v>0</v>
      </c>
      <c r="H41" s="26">
        <v>3956525.8190196324</v>
      </c>
      <c r="I41" s="26">
        <v>0</v>
      </c>
      <c r="J41" s="20">
        <f t="shared" si="0"/>
        <v>44901023.819019631</v>
      </c>
      <c r="K41" s="21" t="str">
        <f>VLOOKUP(C41,'[1]SHU 2023'!C$9:K$719,9,0)</f>
        <v>AKTIF</v>
      </c>
    </row>
    <row r="42" spans="1:11" x14ac:dyDescent="0.35">
      <c r="A42" s="22">
        <v>35</v>
      </c>
      <c r="B42" s="23" t="s">
        <v>105</v>
      </c>
      <c r="C42" s="24" t="s">
        <v>106</v>
      </c>
      <c r="D42" s="25" t="s">
        <v>107</v>
      </c>
      <c r="E42" s="26">
        <v>5000</v>
      </c>
      <c r="F42" s="26">
        <v>25567478</v>
      </c>
      <c r="G42" s="26">
        <v>0</v>
      </c>
      <c r="H42" s="26">
        <v>3299412.1448247475</v>
      </c>
      <c r="I42" s="26">
        <v>0</v>
      </c>
      <c r="J42" s="20">
        <f t="shared" si="0"/>
        <v>28871890.144824747</v>
      </c>
      <c r="K42" s="21" t="str">
        <f>VLOOKUP(C42,'[1]SHU 2023'!C$9:K$719,9,0)</f>
        <v>AKTIF</v>
      </c>
    </row>
    <row r="43" spans="1:11" x14ac:dyDescent="0.35">
      <c r="A43" s="22">
        <v>36</v>
      </c>
      <c r="B43" s="23" t="s">
        <v>108</v>
      </c>
      <c r="C43" s="24" t="s">
        <v>109</v>
      </c>
      <c r="D43" s="25" t="s">
        <v>110</v>
      </c>
      <c r="E43" s="26">
        <v>5000</v>
      </c>
      <c r="F43" s="26">
        <v>39095000</v>
      </c>
      <c r="G43" s="26">
        <v>650000</v>
      </c>
      <c r="H43" s="26">
        <v>2945305.336628363</v>
      </c>
      <c r="I43" s="26">
        <v>0</v>
      </c>
      <c r="J43" s="20">
        <f t="shared" si="0"/>
        <v>42695305.336628363</v>
      </c>
      <c r="K43" s="21" t="str">
        <f>VLOOKUP(C43,'[1]SHU 2023'!C$9:K$719,9,0)</f>
        <v>AKTIF</v>
      </c>
    </row>
    <row r="44" spans="1:11" x14ac:dyDescent="0.35">
      <c r="A44" s="22">
        <v>37</v>
      </c>
      <c r="B44" s="23" t="s">
        <v>111</v>
      </c>
      <c r="C44" s="24" t="s">
        <v>112</v>
      </c>
      <c r="D44" s="25" t="s">
        <v>113</v>
      </c>
      <c r="E44" s="26">
        <v>5000</v>
      </c>
      <c r="F44" s="26">
        <v>36018134</v>
      </c>
      <c r="G44" s="26">
        <v>375000</v>
      </c>
      <c r="H44" s="26">
        <v>4081046.0685511567</v>
      </c>
      <c r="I44" s="26">
        <v>0</v>
      </c>
      <c r="J44" s="20">
        <f t="shared" si="0"/>
        <v>40479180.068551153</v>
      </c>
      <c r="K44" s="21" t="str">
        <f>VLOOKUP(C44,'[1]SHU 2023'!C$9:K$719,9,0)</f>
        <v>AKTIF</v>
      </c>
    </row>
    <row r="45" spans="1:11" x14ac:dyDescent="0.35">
      <c r="A45" s="22">
        <v>38</v>
      </c>
      <c r="B45" s="23" t="s">
        <v>114</v>
      </c>
      <c r="C45" s="24" t="s">
        <v>115</v>
      </c>
      <c r="D45" s="25" t="s">
        <v>102</v>
      </c>
      <c r="E45" s="26">
        <v>5000</v>
      </c>
      <c r="F45" s="26">
        <v>52878542</v>
      </c>
      <c r="G45" s="26">
        <v>50000</v>
      </c>
      <c r="H45" s="26">
        <v>7896834.365962714</v>
      </c>
      <c r="I45" s="26">
        <v>0</v>
      </c>
      <c r="J45" s="20">
        <f t="shared" si="0"/>
        <v>60830376.365962714</v>
      </c>
      <c r="K45" s="21" t="str">
        <f>VLOOKUP(C45,'[1]SHU 2023'!C$9:K$719,9,0)</f>
        <v>AKTIF</v>
      </c>
    </row>
    <row r="46" spans="1:11" x14ac:dyDescent="0.35">
      <c r="A46" s="22">
        <v>39</v>
      </c>
      <c r="B46" s="23" t="s">
        <v>116</v>
      </c>
      <c r="C46" s="24" t="s">
        <v>117</v>
      </c>
      <c r="D46" s="25" t="s">
        <v>118</v>
      </c>
      <c r="E46" s="26">
        <v>5000</v>
      </c>
      <c r="F46" s="26">
        <v>3375000</v>
      </c>
      <c r="G46" s="26">
        <v>0</v>
      </c>
      <c r="H46" s="26">
        <v>2064898.0712188201</v>
      </c>
      <c r="I46" s="26">
        <v>0</v>
      </c>
      <c r="J46" s="20">
        <f t="shared" si="0"/>
        <v>5444898.0712188203</v>
      </c>
      <c r="K46" s="21" t="str">
        <f>VLOOKUP(C46,'[1]SHU 2023'!C$9:K$719,9,0)</f>
        <v>PASIF</v>
      </c>
    </row>
    <row r="47" spans="1:11" x14ac:dyDescent="0.35">
      <c r="A47" s="22">
        <v>40</v>
      </c>
      <c r="B47" s="23" t="s">
        <v>119</v>
      </c>
      <c r="C47" s="24" t="s">
        <v>120</v>
      </c>
      <c r="D47" s="25" t="s">
        <v>17</v>
      </c>
      <c r="E47" s="26">
        <v>5000</v>
      </c>
      <c r="F47" s="26">
        <v>19034067</v>
      </c>
      <c r="G47" s="26">
        <v>0</v>
      </c>
      <c r="H47" s="26">
        <v>2827924.8737752568</v>
      </c>
      <c r="I47" s="26">
        <v>0</v>
      </c>
      <c r="J47" s="20">
        <f t="shared" si="0"/>
        <v>21866991.873775259</v>
      </c>
      <c r="K47" s="21" t="str">
        <f>VLOOKUP(C47,'[1]SHU 2023'!C$9:K$719,9,0)</f>
        <v>AKTIF</v>
      </c>
    </row>
    <row r="48" spans="1:11" x14ac:dyDescent="0.35">
      <c r="A48" s="22">
        <v>41</v>
      </c>
      <c r="B48" s="23" t="s">
        <v>121</v>
      </c>
      <c r="C48" s="24" t="s">
        <v>122</v>
      </c>
      <c r="D48" s="25" t="s">
        <v>123</v>
      </c>
      <c r="E48" s="26">
        <v>10000</v>
      </c>
      <c r="F48" s="26">
        <v>27913302</v>
      </c>
      <c r="G48" s="26">
        <v>0</v>
      </c>
      <c r="H48" s="26">
        <v>7707068.4083700227</v>
      </c>
      <c r="I48" s="26">
        <v>0</v>
      </c>
      <c r="J48" s="20">
        <f t="shared" si="0"/>
        <v>35630370.408370025</v>
      </c>
      <c r="K48" s="21" t="str">
        <f>VLOOKUP(C48,'[1]SHU 2023'!C$9:K$719,9,0)</f>
        <v>AKTIF</v>
      </c>
    </row>
    <row r="49" spans="1:11" x14ac:dyDescent="0.35">
      <c r="A49" s="22">
        <v>42</v>
      </c>
      <c r="B49" s="23" t="s">
        <v>124</v>
      </c>
      <c r="C49" s="24" t="s">
        <v>125</v>
      </c>
      <c r="D49" s="25" t="s">
        <v>126</v>
      </c>
      <c r="E49" s="26">
        <v>5000</v>
      </c>
      <c r="F49" s="26">
        <v>71130464</v>
      </c>
      <c r="G49" s="26">
        <v>0</v>
      </c>
      <c r="H49" s="26">
        <v>16262091.683633815</v>
      </c>
      <c r="I49" s="26">
        <v>0</v>
      </c>
      <c r="J49" s="20">
        <f t="shared" si="0"/>
        <v>87397555.683633819</v>
      </c>
      <c r="K49" s="21" t="str">
        <f>VLOOKUP(C49,'[1]SHU 2023'!C$9:K$719,9,0)</f>
        <v>AKTIF</v>
      </c>
    </row>
    <row r="50" spans="1:11" x14ac:dyDescent="0.35">
      <c r="A50" s="22">
        <v>43</v>
      </c>
      <c r="B50" s="23" t="s">
        <v>127</v>
      </c>
      <c r="C50" s="24" t="s">
        <v>128</v>
      </c>
      <c r="D50" s="25" t="s">
        <v>71</v>
      </c>
      <c r="E50" s="26">
        <v>0</v>
      </c>
      <c r="F50" s="26">
        <v>-450000</v>
      </c>
      <c r="G50" s="26">
        <v>0</v>
      </c>
      <c r="H50" s="26">
        <v>3247063</v>
      </c>
      <c r="I50" s="26">
        <v>0</v>
      </c>
      <c r="J50" s="20">
        <f t="shared" si="0"/>
        <v>2797063</v>
      </c>
      <c r="K50" s="21" t="str">
        <f>VLOOKUP(C50,'[1]SHU 2023'!C$9:K$719,9,0)</f>
        <v>PASIF</v>
      </c>
    </row>
    <row r="51" spans="1:11" x14ac:dyDescent="0.35">
      <c r="A51" s="22">
        <v>44</v>
      </c>
      <c r="B51" s="23" t="s">
        <v>129</v>
      </c>
      <c r="C51" s="24" t="s">
        <v>130</v>
      </c>
      <c r="D51" s="25" t="s">
        <v>131</v>
      </c>
      <c r="E51" s="26">
        <v>5000</v>
      </c>
      <c r="F51" s="26">
        <v>21995858</v>
      </c>
      <c r="G51" s="26">
        <v>990000</v>
      </c>
      <c r="H51" s="26">
        <v>770309.49771898263</v>
      </c>
      <c r="I51" s="26">
        <v>0</v>
      </c>
      <c r="J51" s="20">
        <f t="shared" si="0"/>
        <v>23761167.497718982</v>
      </c>
      <c r="K51" s="21" t="str">
        <f>VLOOKUP(C51,'[1]SHU 2023'!C$9:K$719,9,0)</f>
        <v>AKTIF</v>
      </c>
    </row>
    <row r="52" spans="1:11" x14ac:dyDescent="0.35">
      <c r="A52" s="22">
        <v>45</v>
      </c>
      <c r="B52" s="23" t="s">
        <v>132</v>
      </c>
      <c r="C52" s="24" t="s">
        <v>133</v>
      </c>
      <c r="D52" s="25" t="s">
        <v>42</v>
      </c>
      <c r="E52" s="26">
        <v>5000</v>
      </c>
      <c r="F52" s="26">
        <v>345000</v>
      </c>
      <c r="G52" s="26">
        <v>0</v>
      </c>
      <c r="H52" s="26">
        <v>641073.39025210997</v>
      </c>
      <c r="I52" s="26">
        <v>0</v>
      </c>
      <c r="J52" s="20">
        <f t="shared" si="0"/>
        <v>991073.39025210997</v>
      </c>
      <c r="K52" s="21" t="str">
        <f>VLOOKUP(C52,'[1]SHU 2023'!C$9:K$719,9,0)</f>
        <v>PASIF</v>
      </c>
    </row>
    <row r="53" spans="1:11" x14ac:dyDescent="0.35">
      <c r="A53" s="22">
        <v>46</v>
      </c>
      <c r="B53" s="23" t="s">
        <v>134</v>
      </c>
      <c r="C53" s="24" t="s">
        <v>135</v>
      </c>
      <c r="D53" s="25" t="s">
        <v>136</v>
      </c>
      <c r="E53" s="26">
        <v>5000</v>
      </c>
      <c r="F53" s="26">
        <v>55171058</v>
      </c>
      <c r="G53" s="26">
        <v>50000</v>
      </c>
      <c r="H53" s="26">
        <v>19427158.07501347</v>
      </c>
      <c r="I53" s="26">
        <v>0</v>
      </c>
      <c r="J53" s="20">
        <f t="shared" si="0"/>
        <v>74653216.075013474</v>
      </c>
      <c r="K53" s="21" t="str">
        <f>VLOOKUP(C53,'[1]SHU 2023'!C$9:K$719,9,0)</f>
        <v>AKTIF</v>
      </c>
    </row>
    <row r="54" spans="1:11" x14ac:dyDescent="0.35">
      <c r="A54" s="22">
        <v>47</v>
      </c>
      <c r="B54" s="23" t="s">
        <v>137</v>
      </c>
      <c r="C54" s="24" t="s">
        <v>138</v>
      </c>
      <c r="D54" s="25" t="s">
        <v>139</v>
      </c>
      <c r="E54" s="26">
        <v>5000</v>
      </c>
      <c r="F54" s="26">
        <v>36191147</v>
      </c>
      <c r="G54" s="26">
        <v>1310000</v>
      </c>
      <c r="H54" s="26">
        <v>4118217.2876587412</v>
      </c>
      <c r="I54" s="26">
        <v>0</v>
      </c>
      <c r="J54" s="20">
        <f t="shared" si="0"/>
        <v>41624364.287658744</v>
      </c>
      <c r="K54" s="21" t="str">
        <f>VLOOKUP(C54,'[1]SHU 2023'!C$9:K$719,9,0)</f>
        <v>AKTIF</v>
      </c>
    </row>
    <row r="55" spans="1:11" x14ac:dyDescent="0.35">
      <c r="A55" s="22">
        <v>48</v>
      </c>
      <c r="B55" s="23" t="s">
        <v>140</v>
      </c>
      <c r="C55" s="24" t="s">
        <v>141</v>
      </c>
      <c r="D55" s="25" t="s">
        <v>71</v>
      </c>
      <c r="E55" s="26">
        <v>0</v>
      </c>
      <c r="F55" s="26">
        <v>300000</v>
      </c>
      <c r="G55" s="26">
        <v>0</v>
      </c>
      <c r="H55" s="26">
        <v>115593.923975816</v>
      </c>
      <c r="I55" s="26">
        <v>0</v>
      </c>
      <c r="J55" s="20">
        <f t="shared" si="0"/>
        <v>415593.923975816</v>
      </c>
      <c r="K55" s="21" t="str">
        <f>VLOOKUP(C55,'[1]SHU 2023'!C$9:K$719,9,0)</f>
        <v>PASIF</v>
      </c>
    </row>
    <row r="56" spans="1:11" x14ac:dyDescent="0.35">
      <c r="A56" s="22">
        <v>49</v>
      </c>
      <c r="B56" s="23" t="s">
        <v>142</v>
      </c>
      <c r="C56" s="24" t="s">
        <v>143</v>
      </c>
      <c r="D56" s="25" t="s">
        <v>54</v>
      </c>
      <c r="E56" s="26">
        <v>5000</v>
      </c>
      <c r="F56" s="26">
        <v>52884577</v>
      </c>
      <c r="G56" s="26">
        <v>0</v>
      </c>
      <c r="H56" s="26">
        <v>2074051.6122440724</v>
      </c>
      <c r="I56" s="26">
        <v>0</v>
      </c>
      <c r="J56" s="20">
        <f t="shared" si="0"/>
        <v>54963628.61224407</v>
      </c>
      <c r="K56" s="21" t="str">
        <f>VLOOKUP(C56,'[1]SHU 2023'!C$9:K$719,9,0)</f>
        <v>AKTIF</v>
      </c>
    </row>
    <row r="57" spans="1:11" x14ac:dyDescent="0.35">
      <c r="A57" s="22">
        <v>50</v>
      </c>
      <c r="B57" s="23" t="s">
        <v>144</v>
      </c>
      <c r="C57" s="24" t="s">
        <v>145</v>
      </c>
      <c r="D57" s="25" t="s">
        <v>39</v>
      </c>
      <c r="E57" s="26">
        <v>5000</v>
      </c>
      <c r="F57" s="26">
        <v>23678235</v>
      </c>
      <c r="G57" s="26">
        <v>0</v>
      </c>
      <c r="H57" s="26">
        <v>8738803.1494085155</v>
      </c>
      <c r="I57" s="26">
        <v>0</v>
      </c>
      <c r="J57" s="20">
        <f t="shared" si="0"/>
        <v>32422038.149408516</v>
      </c>
      <c r="K57" s="21" t="str">
        <f>VLOOKUP(C57,'[1]SHU 2023'!C$9:K$719,9,0)</f>
        <v>AKTIF</v>
      </c>
    </row>
    <row r="58" spans="1:11" x14ac:dyDescent="0.35">
      <c r="A58" s="22">
        <v>51</v>
      </c>
      <c r="B58" s="23" t="s">
        <v>146</v>
      </c>
      <c r="C58" s="24" t="s">
        <v>147</v>
      </c>
      <c r="D58" s="25" t="s">
        <v>42</v>
      </c>
      <c r="E58" s="26">
        <v>5000</v>
      </c>
      <c r="F58" s="26">
        <v>195000</v>
      </c>
      <c r="G58" s="26">
        <v>0</v>
      </c>
      <c r="H58" s="26">
        <v>366059.09164868237</v>
      </c>
      <c r="I58" s="26">
        <v>0</v>
      </c>
      <c r="J58" s="20">
        <f t="shared" si="0"/>
        <v>566059.09164868237</v>
      </c>
      <c r="K58" s="21" t="str">
        <f>VLOOKUP(C58,'[1]SHU 2023'!C$9:K$719,9,0)</f>
        <v>PASIF</v>
      </c>
    </row>
    <row r="59" spans="1:11" x14ac:dyDescent="0.35">
      <c r="A59" s="22">
        <v>52</v>
      </c>
      <c r="B59" s="23" t="s">
        <v>148</v>
      </c>
      <c r="C59" s="24" t="s">
        <v>149</v>
      </c>
      <c r="D59" s="25" t="s">
        <v>66</v>
      </c>
      <c r="E59" s="26">
        <v>5000</v>
      </c>
      <c r="F59" s="26">
        <v>37815979</v>
      </c>
      <c r="G59" s="26">
        <v>0</v>
      </c>
      <c r="H59" s="26">
        <v>4709402.1392603638</v>
      </c>
      <c r="I59" s="26">
        <v>0</v>
      </c>
      <c r="J59" s="20">
        <f t="shared" si="0"/>
        <v>42530381.139260367</v>
      </c>
      <c r="K59" s="21" t="str">
        <f>VLOOKUP(C59,'[1]SHU 2023'!C$9:K$719,9,0)</f>
        <v>AKTIF</v>
      </c>
    </row>
    <row r="60" spans="1:11" x14ac:dyDescent="0.35">
      <c r="A60" s="22">
        <v>53</v>
      </c>
      <c r="B60" s="23" t="s">
        <v>150</v>
      </c>
      <c r="C60" s="24" t="s">
        <v>151</v>
      </c>
      <c r="D60" s="25" t="s">
        <v>42</v>
      </c>
      <c r="E60" s="26">
        <v>5000</v>
      </c>
      <c r="F60" s="26">
        <v>0</v>
      </c>
      <c r="G60" s="26">
        <v>10000</v>
      </c>
      <c r="H60" s="26">
        <v>615</v>
      </c>
      <c r="I60" s="26">
        <v>0</v>
      </c>
      <c r="J60" s="20">
        <f t="shared" si="0"/>
        <v>15615</v>
      </c>
      <c r="K60" s="21" t="str">
        <f>VLOOKUP(C60,'[1]SHU 2023'!C$9:K$719,9,0)</f>
        <v>PASIF</v>
      </c>
    </row>
    <row r="61" spans="1:11" x14ac:dyDescent="0.35">
      <c r="A61" s="22">
        <v>54</v>
      </c>
      <c r="B61" s="23" t="s">
        <v>152</v>
      </c>
      <c r="C61" s="24" t="s">
        <v>153</v>
      </c>
      <c r="D61" s="25" t="s">
        <v>154</v>
      </c>
      <c r="E61" s="26">
        <v>5000</v>
      </c>
      <c r="F61" s="26">
        <v>33725000</v>
      </c>
      <c r="G61" s="26">
        <v>0</v>
      </c>
      <c r="H61" s="26">
        <v>5619075.0889564529</v>
      </c>
      <c r="I61" s="26">
        <v>0</v>
      </c>
      <c r="J61" s="20">
        <f t="shared" si="0"/>
        <v>39349075.088956453</v>
      </c>
      <c r="K61" s="21" t="str">
        <f>VLOOKUP(C61,'[1]SHU 2023'!C$9:K$719,9,0)</f>
        <v>AKTIF</v>
      </c>
    </row>
    <row r="62" spans="1:11" x14ac:dyDescent="0.35">
      <c r="A62" s="22">
        <v>55</v>
      </c>
      <c r="B62" s="23" t="s">
        <v>155</v>
      </c>
      <c r="C62" s="24" t="s">
        <v>156</v>
      </c>
      <c r="D62" s="25" t="s">
        <v>89</v>
      </c>
      <c r="E62" s="26">
        <v>0</v>
      </c>
      <c r="F62" s="26">
        <v>150000</v>
      </c>
      <c r="G62" s="26">
        <v>0</v>
      </c>
      <c r="H62" s="26">
        <v>360016.29083280242</v>
      </c>
      <c r="I62" s="26">
        <v>0</v>
      </c>
      <c r="J62" s="20">
        <f t="shared" si="0"/>
        <v>510016.29083280242</v>
      </c>
      <c r="K62" s="21" t="str">
        <f>VLOOKUP(C62,'[1]SHU 2023'!C$9:K$719,9,0)</f>
        <v>PASIF</v>
      </c>
    </row>
    <row r="63" spans="1:11" x14ac:dyDescent="0.35">
      <c r="A63" s="22">
        <v>56</v>
      </c>
      <c r="B63" s="23" t="s">
        <v>157</v>
      </c>
      <c r="C63" s="24" t="s">
        <v>158</v>
      </c>
      <c r="D63" s="25" t="s">
        <v>42</v>
      </c>
      <c r="E63" s="26">
        <v>0</v>
      </c>
      <c r="F63" s="26">
        <v>0</v>
      </c>
      <c r="G63" s="26">
        <v>0</v>
      </c>
      <c r="H63" s="26">
        <v>2689342</v>
      </c>
      <c r="I63" s="26">
        <v>0</v>
      </c>
      <c r="J63" s="20">
        <f t="shared" si="0"/>
        <v>2689342</v>
      </c>
      <c r="K63" s="21" t="str">
        <f>VLOOKUP(C63,'[1]SHU 2023'!C$9:K$719,9,0)</f>
        <v>PASIF</v>
      </c>
    </row>
    <row r="64" spans="1:11" x14ac:dyDescent="0.35">
      <c r="A64" s="22">
        <v>57</v>
      </c>
      <c r="B64" s="23" t="s">
        <v>159</v>
      </c>
      <c r="C64" s="24" t="s">
        <v>160</v>
      </c>
      <c r="D64" s="25" t="s">
        <v>161</v>
      </c>
      <c r="E64" s="26">
        <v>0</v>
      </c>
      <c r="F64" s="26">
        <v>0</v>
      </c>
      <c r="G64" s="26">
        <v>0</v>
      </c>
      <c r="H64" s="26">
        <v>158480</v>
      </c>
      <c r="I64" s="26">
        <v>0</v>
      </c>
      <c r="J64" s="20">
        <f t="shared" si="0"/>
        <v>158480</v>
      </c>
      <c r="K64" s="21" t="str">
        <f>VLOOKUP(C64,'[1]SHU 2023'!C$9:K$719,9,0)</f>
        <v>PASIF</v>
      </c>
    </row>
    <row r="65" spans="1:11" x14ac:dyDescent="0.35">
      <c r="A65" s="22">
        <v>58</v>
      </c>
      <c r="B65" s="23" t="s">
        <v>162</v>
      </c>
      <c r="C65" s="24" t="s">
        <v>163</v>
      </c>
      <c r="D65" s="25" t="s">
        <v>164</v>
      </c>
      <c r="E65" s="26">
        <v>100000</v>
      </c>
      <c r="F65" s="26">
        <v>0</v>
      </c>
      <c r="G65" s="26">
        <v>300000</v>
      </c>
      <c r="H65" s="26">
        <v>9360.4320591230644</v>
      </c>
      <c r="I65" s="26">
        <v>0</v>
      </c>
      <c r="J65" s="20">
        <f t="shared" si="0"/>
        <v>409360.43205912306</v>
      </c>
      <c r="K65" s="21" t="str">
        <f>VLOOKUP(C65,'[1]SHU 2023'!C$9:K$719,9,0)</f>
        <v>BUKAN ANGGOTA</v>
      </c>
    </row>
    <row r="66" spans="1:11" x14ac:dyDescent="0.35">
      <c r="A66" s="22">
        <v>59</v>
      </c>
      <c r="B66" s="23" t="s">
        <v>165</v>
      </c>
      <c r="C66" s="24" t="s">
        <v>166</v>
      </c>
      <c r="D66" s="25" t="s">
        <v>42</v>
      </c>
      <c r="E66" s="26">
        <v>0</v>
      </c>
      <c r="F66" s="26">
        <v>0</v>
      </c>
      <c r="G66" s="26">
        <v>0</v>
      </c>
      <c r="H66" s="26">
        <v>187636.02426670026</v>
      </c>
      <c r="I66" s="26">
        <v>0</v>
      </c>
      <c r="J66" s="20">
        <f t="shared" si="0"/>
        <v>187636.02426670026</v>
      </c>
      <c r="K66" s="21" t="str">
        <f>VLOOKUP(C66,'[1]SHU 2023'!C$9:K$719,9,0)</f>
        <v>PASIF</v>
      </c>
    </row>
    <row r="67" spans="1:11" x14ac:dyDescent="0.35">
      <c r="A67" s="22">
        <v>60</v>
      </c>
      <c r="B67" s="23" t="s">
        <v>167</v>
      </c>
      <c r="C67" s="24" t="s">
        <v>168</v>
      </c>
      <c r="D67" s="25" t="s">
        <v>25</v>
      </c>
      <c r="E67" s="26">
        <v>5000</v>
      </c>
      <c r="F67" s="26">
        <v>5919993</v>
      </c>
      <c r="G67" s="26">
        <v>0</v>
      </c>
      <c r="H67" s="26">
        <v>361804.24674366548</v>
      </c>
      <c r="I67" s="26">
        <v>0</v>
      </c>
      <c r="J67" s="20">
        <f t="shared" si="0"/>
        <v>6286797.2467436651</v>
      </c>
      <c r="K67" s="21" t="str">
        <f>VLOOKUP(C67,'[1]SHU 2023'!C$9:K$719,9,0)</f>
        <v>PASIF</v>
      </c>
    </row>
    <row r="68" spans="1:11" x14ac:dyDescent="0.35">
      <c r="A68" s="22">
        <v>61</v>
      </c>
      <c r="B68" s="23" t="s">
        <v>169</v>
      </c>
      <c r="C68" s="24" t="s">
        <v>170</v>
      </c>
      <c r="D68" s="25" t="s">
        <v>20</v>
      </c>
      <c r="E68" s="26">
        <v>0</v>
      </c>
      <c r="F68" s="26">
        <v>0</v>
      </c>
      <c r="G68" s="26">
        <v>0</v>
      </c>
      <c r="H68" s="26">
        <v>-0.34419789351522923</v>
      </c>
      <c r="I68" s="26">
        <v>0</v>
      </c>
      <c r="J68" s="20">
        <f t="shared" si="0"/>
        <v>-0.34419789351522923</v>
      </c>
      <c r="K68" s="21" t="str">
        <f>VLOOKUP(C68,'[1]SHU 2023'!C$9:K$719,9,0)</f>
        <v>BUKAN ANGGOTA\</v>
      </c>
    </row>
    <row r="69" spans="1:11" x14ac:dyDescent="0.35">
      <c r="A69" s="22">
        <v>62</v>
      </c>
      <c r="B69" s="23" t="s">
        <v>171</v>
      </c>
      <c r="C69" s="24" t="s">
        <v>172</v>
      </c>
      <c r="D69" s="25" t="s">
        <v>131</v>
      </c>
      <c r="E69" s="26">
        <v>0</v>
      </c>
      <c r="F69" s="26">
        <v>150000</v>
      </c>
      <c r="G69" s="26">
        <v>0</v>
      </c>
      <c r="H69" s="26">
        <v>98501.939064097591</v>
      </c>
      <c r="I69" s="26">
        <v>0</v>
      </c>
      <c r="J69" s="20">
        <f t="shared" si="0"/>
        <v>248501.93906409759</v>
      </c>
      <c r="K69" s="21" t="str">
        <f>VLOOKUP(C69,'[1]SHU 2023'!C$9:K$719,9,0)</f>
        <v>PASIF</v>
      </c>
    </row>
    <row r="70" spans="1:11" x14ac:dyDescent="0.35">
      <c r="A70" s="22">
        <v>63</v>
      </c>
      <c r="B70" s="23" t="s">
        <v>173</v>
      </c>
      <c r="C70" s="24" t="s">
        <v>174</v>
      </c>
      <c r="D70" s="25" t="s">
        <v>42</v>
      </c>
      <c r="E70" s="26">
        <v>0</v>
      </c>
      <c r="F70" s="26">
        <v>0</v>
      </c>
      <c r="G70" s="26">
        <v>0</v>
      </c>
      <c r="H70" s="26">
        <v>257415.91496638936</v>
      </c>
      <c r="I70" s="26">
        <v>0</v>
      </c>
      <c r="J70" s="20">
        <f t="shared" si="0"/>
        <v>257415.91496638936</v>
      </c>
      <c r="K70" s="21" t="str">
        <f>VLOOKUP(C70,'[1]SHU 2023'!C$9:K$719,9,0)</f>
        <v>PASIF</v>
      </c>
    </row>
    <row r="71" spans="1:11" x14ac:dyDescent="0.35">
      <c r="A71" s="22">
        <v>64</v>
      </c>
      <c r="B71" s="23" t="s">
        <v>175</v>
      </c>
      <c r="C71" s="24" t="s">
        <v>176</v>
      </c>
      <c r="D71" s="25" t="s">
        <v>39</v>
      </c>
      <c r="E71" s="26">
        <v>5000</v>
      </c>
      <c r="F71" s="26">
        <v>29511013</v>
      </c>
      <c r="G71" s="26">
        <v>210000</v>
      </c>
      <c r="H71" s="26">
        <v>2729941.0739856288</v>
      </c>
      <c r="I71" s="26">
        <v>0</v>
      </c>
      <c r="J71" s="20">
        <f t="shared" si="0"/>
        <v>32455954.073985629</v>
      </c>
      <c r="K71" s="21" t="str">
        <f>VLOOKUP(C71,'[1]SHU 2023'!C$9:K$719,9,0)</f>
        <v>AKTIF</v>
      </c>
    </row>
    <row r="72" spans="1:11" x14ac:dyDescent="0.35">
      <c r="A72" s="22">
        <v>65</v>
      </c>
      <c r="B72" s="23" t="s">
        <v>177</v>
      </c>
      <c r="C72" s="24" t="s">
        <v>178</v>
      </c>
      <c r="D72" s="25" t="s">
        <v>25</v>
      </c>
      <c r="E72" s="26">
        <v>5000</v>
      </c>
      <c r="F72" s="26">
        <v>30694515</v>
      </c>
      <c r="G72" s="26">
        <v>50000</v>
      </c>
      <c r="H72" s="26">
        <v>12608748.7564479</v>
      </c>
      <c r="I72" s="26">
        <v>0</v>
      </c>
      <c r="J72" s="20">
        <f t="shared" si="0"/>
        <v>43358263.756447896</v>
      </c>
      <c r="K72" s="21" t="str">
        <f>VLOOKUP(C72,'[1]SHU 2023'!C$9:K$719,9,0)</f>
        <v>AKTIF</v>
      </c>
    </row>
    <row r="73" spans="1:11" x14ac:dyDescent="0.35">
      <c r="A73" s="22">
        <v>66</v>
      </c>
      <c r="B73" s="23" t="s">
        <v>179</v>
      </c>
      <c r="C73" s="24" t="s">
        <v>180</v>
      </c>
      <c r="D73" s="25" t="s">
        <v>66</v>
      </c>
      <c r="E73" s="26">
        <v>0</v>
      </c>
      <c r="F73" s="26">
        <v>350000</v>
      </c>
      <c r="G73" s="26">
        <v>0</v>
      </c>
      <c r="H73" s="26">
        <v>36242</v>
      </c>
      <c r="I73" s="26">
        <v>0</v>
      </c>
      <c r="J73" s="20">
        <f t="shared" ref="J73:J136" si="1">E73+F73+G73+H73</f>
        <v>386242</v>
      </c>
      <c r="K73" s="21" t="str">
        <f>VLOOKUP(C73,'[1]SHU 2023'!C$9:K$719,9,0)</f>
        <v>PASIF</v>
      </c>
    </row>
    <row r="74" spans="1:11" x14ac:dyDescent="0.35">
      <c r="A74" s="22">
        <v>67</v>
      </c>
      <c r="B74" s="23" t="s">
        <v>181</v>
      </c>
      <c r="C74" s="24" t="s">
        <v>182</v>
      </c>
      <c r="D74" s="25" t="s">
        <v>89</v>
      </c>
      <c r="E74" s="26">
        <v>5000</v>
      </c>
      <c r="F74" s="26">
        <v>42684477</v>
      </c>
      <c r="G74" s="26">
        <v>10000</v>
      </c>
      <c r="H74" s="26">
        <v>7956586.5539680514</v>
      </c>
      <c r="I74" s="26">
        <v>0</v>
      </c>
      <c r="J74" s="20">
        <f t="shared" si="1"/>
        <v>50656063.55396805</v>
      </c>
      <c r="K74" s="21" t="str">
        <f>VLOOKUP(C74,'[1]SHU 2023'!C$9:K$719,9,0)</f>
        <v>AKTIF</v>
      </c>
    </row>
    <row r="75" spans="1:11" x14ac:dyDescent="0.35">
      <c r="A75" s="22">
        <v>68</v>
      </c>
      <c r="B75" s="23" t="s">
        <v>183</v>
      </c>
      <c r="C75" s="24" t="s">
        <v>184</v>
      </c>
      <c r="D75" s="25" t="s">
        <v>42</v>
      </c>
      <c r="E75" s="26">
        <v>0</v>
      </c>
      <c r="F75" s="26">
        <v>0</v>
      </c>
      <c r="G75" s="26">
        <v>0</v>
      </c>
      <c r="H75" s="26">
        <v>172826.47710640822</v>
      </c>
      <c r="I75" s="26">
        <v>0</v>
      </c>
      <c r="J75" s="20">
        <f t="shared" si="1"/>
        <v>172826.47710640822</v>
      </c>
      <c r="K75" s="21" t="str">
        <f>VLOOKUP(C75,'[1]SHU 2023'!C$9:K$719,9,0)</f>
        <v>PASIF</v>
      </c>
    </row>
    <row r="76" spans="1:11" x14ac:dyDescent="0.35">
      <c r="A76" s="22">
        <v>69</v>
      </c>
      <c r="B76" s="23" t="s">
        <v>185</v>
      </c>
      <c r="C76" s="24" t="s">
        <v>186</v>
      </c>
      <c r="D76" s="25" t="s">
        <v>136</v>
      </c>
      <c r="E76" s="26">
        <v>5000</v>
      </c>
      <c r="F76" s="26">
        <v>20633939</v>
      </c>
      <c r="G76" s="26">
        <v>0</v>
      </c>
      <c r="H76" s="26">
        <v>3095747.8560101115</v>
      </c>
      <c r="I76" s="26">
        <v>0</v>
      </c>
      <c r="J76" s="20">
        <f t="shared" si="1"/>
        <v>23734686.856010113</v>
      </c>
      <c r="K76" s="21" t="str">
        <f>VLOOKUP(C76,'[1]SHU 2023'!C$9:K$719,9,0)</f>
        <v>AKTIF</v>
      </c>
    </row>
    <row r="77" spans="1:11" x14ac:dyDescent="0.35">
      <c r="A77" s="22">
        <v>70</v>
      </c>
      <c r="B77" s="23" t="s">
        <v>187</v>
      </c>
      <c r="C77" s="24" t="s">
        <v>188</v>
      </c>
      <c r="D77" s="25" t="s">
        <v>131</v>
      </c>
      <c r="E77" s="26">
        <v>5000</v>
      </c>
      <c r="F77" s="26">
        <v>25614881</v>
      </c>
      <c r="G77" s="26">
        <v>980000</v>
      </c>
      <c r="H77" s="26">
        <v>4460457.7444358282</v>
      </c>
      <c r="I77" s="26">
        <v>0</v>
      </c>
      <c r="J77" s="20">
        <f t="shared" si="1"/>
        <v>31060338.744435828</v>
      </c>
      <c r="K77" s="21" t="str">
        <f>VLOOKUP(C77,'[1]SHU 2023'!C$9:K$719,9,0)</f>
        <v>AKTIF</v>
      </c>
    </row>
    <row r="78" spans="1:11" x14ac:dyDescent="0.35">
      <c r="A78" s="22">
        <v>71</v>
      </c>
      <c r="B78" s="23" t="s">
        <v>189</v>
      </c>
      <c r="C78" s="24" t="s">
        <v>190</v>
      </c>
      <c r="D78" s="25" t="s">
        <v>118</v>
      </c>
      <c r="E78" s="26">
        <v>5000</v>
      </c>
      <c r="F78" s="26">
        <v>4352980</v>
      </c>
      <c r="G78" s="26">
        <v>150000</v>
      </c>
      <c r="H78" s="26">
        <v>2820477.4376360811</v>
      </c>
      <c r="I78" s="26">
        <v>0</v>
      </c>
      <c r="J78" s="20">
        <f t="shared" si="1"/>
        <v>7328457.4376360811</v>
      </c>
      <c r="K78" s="21" t="str">
        <f>VLOOKUP(C78,'[1]SHU 2023'!C$9:K$719,9,0)</f>
        <v>PASIF</v>
      </c>
    </row>
    <row r="79" spans="1:11" x14ac:dyDescent="0.35">
      <c r="A79" s="22">
        <v>72</v>
      </c>
      <c r="B79" s="23" t="s">
        <v>191</v>
      </c>
      <c r="C79" s="24" t="s">
        <v>192</v>
      </c>
      <c r="D79" s="25" t="s">
        <v>193</v>
      </c>
      <c r="E79" s="26">
        <v>5000</v>
      </c>
      <c r="F79" s="26">
        <v>38482113</v>
      </c>
      <c r="G79" s="26">
        <v>0</v>
      </c>
      <c r="H79" s="26">
        <v>12746806.790335642</v>
      </c>
      <c r="I79" s="26">
        <v>0</v>
      </c>
      <c r="J79" s="20">
        <f t="shared" si="1"/>
        <v>51233919.79033564</v>
      </c>
      <c r="K79" s="21" t="str">
        <f>VLOOKUP(C79,'[1]SHU 2023'!C$9:K$719,9,0)</f>
        <v>AKTIF</v>
      </c>
    </row>
    <row r="80" spans="1:11" x14ac:dyDescent="0.35">
      <c r="A80" s="22">
        <v>73</v>
      </c>
      <c r="B80" s="23" t="s">
        <v>194</v>
      </c>
      <c r="C80" s="24" t="s">
        <v>195</v>
      </c>
      <c r="D80" s="25" t="s">
        <v>196</v>
      </c>
      <c r="E80" s="26">
        <v>5000</v>
      </c>
      <c r="F80" s="26">
        <v>724127</v>
      </c>
      <c r="G80" s="26">
        <v>71000</v>
      </c>
      <c r="H80" s="26">
        <v>3473214.9178432897</v>
      </c>
      <c r="I80" s="26">
        <v>0</v>
      </c>
      <c r="J80" s="20">
        <f t="shared" si="1"/>
        <v>4273341.9178432897</v>
      </c>
      <c r="K80" s="21" t="str">
        <f>VLOOKUP(C80,'[1]SHU 2023'!C$9:K$719,9,0)</f>
        <v>PASIF</v>
      </c>
    </row>
    <row r="81" spans="1:11" x14ac:dyDescent="0.35">
      <c r="A81" s="22">
        <v>74</v>
      </c>
      <c r="B81" s="23" t="s">
        <v>197</v>
      </c>
      <c r="C81" s="24" t="s">
        <v>198</v>
      </c>
      <c r="D81" s="25" t="s">
        <v>139</v>
      </c>
      <c r="E81" s="26">
        <v>5000</v>
      </c>
      <c r="F81" s="26">
        <v>21957208</v>
      </c>
      <c r="G81" s="26">
        <v>0</v>
      </c>
      <c r="H81" s="26">
        <v>5410693.0544423694</v>
      </c>
      <c r="I81" s="26">
        <v>0</v>
      </c>
      <c r="J81" s="20">
        <f t="shared" si="1"/>
        <v>27372901.054442368</v>
      </c>
      <c r="K81" s="21" t="str">
        <f>VLOOKUP(C81,'[1]SHU 2023'!C$9:K$719,9,0)</f>
        <v>AKTIF</v>
      </c>
    </row>
    <row r="82" spans="1:11" x14ac:dyDescent="0.35">
      <c r="A82" s="22">
        <v>75</v>
      </c>
      <c r="B82" s="23" t="s">
        <v>199</v>
      </c>
      <c r="C82" s="24" t="s">
        <v>200</v>
      </c>
      <c r="D82" s="25" t="s">
        <v>71</v>
      </c>
      <c r="E82" s="26">
        <v>0</v>
      </c>
      <c r="F82" s="26">
        <v>100000</v>
      </c>
      <c r="G82" s="26">
        <v>0</v>
      </c>
      <c r="H82" s="26">
        <v>4103</v>
      </c>
      <c r="I82" s="26">
        <v>0</v>
      </c>
      <c r="J82" s="20">
        <f t="shared" si="1"/>
        <v>104103</v>
      </c>
      <c r="K82" s="21" t="str">
        <f>VLOOKUP(C82,'[1]SHU 2023'!C$9:K$719,9,0)</f>
        <v>PASIF</v>
      </c>
    </row>
    <row r="83" spans="1:11" x14ac:dyDescent="0.35">
      <c r="A83" s="22">
        <v>76</v>
      </c>
      <c r="B83" s="23" t="s">
        <v>201</v>
      </c>
      <c r="C83" s="24" t="s">
        <v>202</v>
      </c>
      <c r="D83" s="25" t="s">
        <v>71</v>
      </c>
      <c r="E83" s="26">
        <v>5000</v>
      </c>
      <c r="F83" s="26">
        <v>31407578</v>
      </c>
      <c r="G83" s="26">
        <v>0</v>
      </c>
      <c r="H83" s="26">
        <v>13916181.885483816</v>
      </c>
      <c r="I83" s="26">
        <v>0</v>
      </c>
      <c r="J83" s="20">
        <f t="shared" si="1"/>
        <v>45328759.885483816</v>
      </c>
      <c r="K83" s="21" t="str">
        <f>VLOOKUP(C83,'[1]SHU 2023'!C$9:K$719,9,0)</f>
        <v>AKTIF</v>
      </c>
    </row>
    <row r="84" spans="1:11" x14ac:dyDescent="0.35">
      <c r="A84" s="22">
        <v>77</v>
      </c>
      <c r="B84" s="23" t="s">
        <v>203</v>
      </c>
      <c r="C84" s="24" t="s">
        <v>204</v>
      </c>
      <c r="D84" s="25" t="s">
        <v>205</v>
      </c>
      <c r="E84" s="26">
        <v>5000</v>
      </c>
      <c r="F84" s="26">
        <v>34964030</v>
      </c>
      <c r="G84" s="26">
        <v>35000</v>
      </c>
      <c r="H84" s="26">
        <v>10927885.317326333</v>
      </c>
      <c r="I84" s="26">
        <v>0</v>
      </c>
      <c r="J84" s="20">
        <f t="shared" si="1"/>
        <v>45931915.317326337</v>
      </c>
      <c r="K84" s="21" t="str">
        <f>VLOOKUP(C84,'[1]SHU 2023'!C$9:K$719,9,0)</f>
        <v>AKTIF</v>
      </c>
    </row>
    <row r="85" spans="1:11" x14ac:dyDescent="0.35">
      <c r="A85" s="22">
        <v>78</v>
      </c>
      <c r="B85" s="23" t="s">
        <v>206</v>
      </c>
      <c r="C85" s="24" t="s">
        <v>207</v>
      </c>
      <c r="D85" s="25" t="s">
        <v>59</v>
      </c>
      <c r="E85" s="26">
        <v>0</v>
      </c>
      <c r="F85" s="26">
        <v>0</v>
      </c>
      <c r="G85" s="26">
        <v>0</v>
      </c>
      <c r="H85" s="26">
        <v>129439.66081371275</v>
      </c>
      <c r="I85" s="26">
        <v>0</v>
      </c>
      <c r="J85" s="20">
        <f t="shared" si="1"/>
        <v>129439.66081371275</v>
      </c>
      <c r="K85" s="21" t="str">
        <f>VLOOKUP(C85,'[1]SHU 2023'!C$9:K$719,9,0)</f>
        <v>PASIF</v>
      </c>
    </row>
    <row r="86" spans="1:11" x14ac:dyDescent="0.35">
      <c r="A86" s="22">
        <v>79</v>
      </c>
      <c r="B86" s="23" t="s">
        <v>208</v>
      </c>
      <c r="C86" s="24" t="s">
        <v>209</v>
      </c>
      <c r="D86" s="25" t="s">
        <v>210</v>
      </c>
      <c r="E86" s="26">
        <v>5000</v>
      </c>
      <c r="F86" s="26">
        <v>20816599</v>
      </c>
      <c r="G86" s="26">
        <v>75000</v>
      </c>
      <c r="H86" s="26">
        <v>6255673.3282835176</v>
      </c>
      <c r="I86" s="26">
        <v>0</v>
      </c>
      <c r="J86" s="20">
        <f t="shared" si="1"/>
        <v>27152272.328283519</v>
      </c>
      <c r="K86" s="21" t="str">
        <f>VLOOKUP(C86,'[1]SHU 2023'!C$9:K$719,9,0)</f>
        <v>AKTIF</v>
      </c>
    </row>
    <row r="87" spans="1:11" x14ac:dyDescent="0.35">
      <c r="A87" s="22">
        <v>80</v>
      </c>
      <c r="B87" s="23" t="s">
        <v>211</v>
      </c>
      <c r="C87" s="24" t="s">
        <v>212</v>
      </c>
      <c r="D87" s="25" t="s">
        <v>131</v>
      </c>
      <c r="E87" s="26">
        <v>5000</v>
      </c>
      <c r="F87" s="26">
        <v>16198751</v>
      </c>
      <c r="G87" s="26">
        <v>1203500</v>
      </c>
      <c r="H87" s="26">
        <v>1092341.6363917191</v>
      </c>
      <c r="I87" s="26">
        <v>0</v>
      </c>
      <c r="J87" s="20">
        <f t="shared" si="1"/>
        <v>18499592.636391718</v>
      </c>
      <c r="K87" s="21" t="str">
        <f>VLOOKUP(C87,'[1]SHU 2023'!C$9:K$719,9,0)</f>
        <v>AKTIF</v>
      </c>
    </row>
    <row r="88" spans="1:11" x14ac:dyDescent="0.35">
      <c r="A88" s="22">
        <v>81</v>
      </c>
      <c r="B88" s="23" t="s">
        <v>213</v>
      </c>
      <c r="C88" s="24" t="s">
        <v>214</v>
      </c>
      <c r="D88" s="25" t="s">
        <v>74</v>
      </c>
      <c r="E88" s="26">
        <v>0</v>
      </c>
      <c r="F88" s="26">
        <v>0</v>
      </c>
      <c r="G88" s="26">
        <v>0</v>
      </c>
      <c r="H88" s="26">
        <v>301678.76542388438</v>
      </c>
      <c r="I88" s="26">
        <v>0</v>
      </c>
      <c r="J88" s="20">
        <f t="shared" si="1"/>
        <v>301678.76542388438</v>
      </c>
      <c r="K88" s="21" t="str">
        <f>VLOOKUP(C88,'[1]SHU 2023'!C$9:K$719,9,0)</f>
        <v>PASIF</v>
      </c>
    </row>
    <row r="89" spans="1:11" x14ac:dyDescent="0.35">
      <c r="A89" s="22">
        <v>82</v>
      </c>
      <c r="B89" s="23" t="s">
        <v>215</v>
      </c>
      <c r="C89" s="24" t="s">
        <v>216</v>
      </c>
      <c r="D89" s="25" t="s">
        <v>131</v>
      </c>
      <c r="E89" s="26">
        <v>0</v>
      </c>
      <c r="F89" s="26">
        <v>0</v>
      </c>
      <c r="G89" s="26">
        <v>0</v>
      </c>
      <c r="H89" s="26">
        <v>-0.38491196581162512</v>
      </c>
      <c r="I89" s="26">
        <v>0</v>
      </c>
      <c r="J89" s="20">
        <f t="shared" si="1"/>
        <v>-0.38491196581162512</v>
      </c>
      <c r="K89" s="21" t="s">
        <v>49</v>
      </c>
    </row>
    <row r="90" spans="1:11" x14ac:dyDescent="0.35">
      <c r="A90" s="22">
        <v>83</v>
      </c>
      <c r="B90" s="23" t="s">
        <v>217</v>
      </c>
      <c r="C90" s="24" t="s">
        <v>218</v>
      </c>
      <c r="D90" s="25" t="s">
        <v>161</v>
      </c>
      <c r="E90" s="26">
        <v>5000</v>
      </c>
      <c r="F90" s="26">
        <v>3741961</v>
      </c>
      <c r="G90" s="26">
        <v>8100</v>
      </c>
      <c r="H90" s="26">
        <v>8509881.3008612171</v>
      </c>
      <c r="I90" s="26">
        <v>0</v>
      </c>
      <c r="J90" s="20">
        <f t="shared" si="1"/>
        <v>12264942.300861217</v>
      </c>
      <c r="K90" s="21" t="str">
        <f>VLOOKUP(C90,'[1]SHU 2023'!C$9:K$719,9,0)</f>
        <v>PASIF</v>
      </c>
    </row>
    <row r="91" spans="1:11" x14ac:dyDescent="0.35">
      <c r="A91" s="22">
        <v>84</v>
      </c>
      <c r="B91" s="23" t="s">
        <v>219</v>
      </c>
      <c r="C91" s="24" t="s">
        <v>220</v>
      </c>
      <c r="D91" s="25" t="s">
        <v>42</v>
      </c>
      <c r="E91" s="26">
        <v>0</v>
      </c>
      <c r="F91" s="26">
        <v>0</v>
      </c>
      <c r="G91" s="26">
        <v>0</v>
      </c>
      <c r="H91" s="26">
        <v>212760</v>
      </c>
      <c r="I91" s="26">
        <v>0</v>
      </c>
      <c r="J91" s="20">
        <f t="shared" si="1"/>
        <v>212760</v>
      </c>
      <c r="K91" s="21" t="str">
        <f>VLOOKUP(C91,'[1]SHU 2023'!C$9:K$719,9,0)</f>
        <v>PASIF</v>
      </c>
    </row>
    <row r="92" spans="1:11" x14ac:dyDescent="0.35">
      <c r="A92" s="22">
        <v>85</v>
      </c>
      <c r="B92" s="23" t="s">
        <v>221</v>
      </c>
      <c r="C92" s="24" t="s">
        <v>222</v>
      </c>
      <c r="D92" s="25" t="s">
        <v>223</v>
      </c>
      <c r="E92" s="26">
        <v>200000</v>
      </c>
      <c r="F92" s="26">
        <v>9100000</v>
      </c>
      <c r="G92" s="26">
        <v>0</v>
      </c>
      <c r="H92" s="26">
        <v>355462.47579117084</v>
      </c>
      <c r="I92" s="26">
        <v>0</v>
      </c>
      <c r="J92" s="20">
        <f t="shared" si="1"/>
        <v>9655462.4757911712</v>
      </c>
      <c r="K92" s="21" t="str">
        <f>VLOOKUP(C92,'[1]SHU 2023'!C$9:K$719,9,0)</f>
        <v>AKTIF</v>
      </c>
    </row>
    <row r="93" spans="1:11" x14ac:dyDescent="0.35">
      <c r="A93" s="22">
        <v>86</v>
      </c>
      <c r="B93" s="23" t="s">
        <v>224</v>
      </c>
      <c r="C93" s="24" t="s">
        <v>225</v>
      </c>
      <c r="D93" s="25" t="s">
        <v>226</v>
      </c>
      <c r="E93" s="26">
        <v>5000</v>
      </c>
      <c r="F93" s="26">
        <v>3417478</v>
      </c>
      <c r="G93" s="26">
        <v>0</v>
      </c>
      <c r="H93" s="26">
        <v>2706538.1438119644</v>
      </c>
      <c r="I93" s="26">
        <v>0</v>
      </c>
      <c r="J93" s="20">
        <f t="shared" si="1"/>
        <v>6129016.1438119644</v>
      </c>
      <c r="K93" s="21" t="str">
        <f>VLOOKUP(C93,'[1]SHU 2023'!C$9:K$719,9,0)</f>
        <v>PASIF</v>
      </c>
    </row>
    <row r="94" spans="1:11" x14ac:dyDescent="0.35">
      <c r="A94" s="22">
        <v>87</v>
      </c>
      <c r="B94" s="23" t="s">
        <v>227</v>
      </c>
      <c r="C94" s="24" t="s">
        <v>228</v>
      </c>
      <c r="D94" s="25" t="s">
        <v>154</v>
      </c>
      <c r="E94" s="26">
        <v>5000</v>
      </c>
      <c r="F94" s="26">
        <v>145000</v>
      </c>
      <c r="G94" s="26">
        <v>0</v>
      </c>
      <c r="H94" s="26">
        <v>609776.87621802255</v>
      </c>
      <c r="I94" s="26">
        <v>0</v>
      </c>
      <c r="J94" s="20">
        <f t="shared" si="1"/>
        <v>759776.87621802255</v>
      </c>
      <c r="K94" s="21" t="str">
        <f>VLOOKUP(C94,'[1]SHU 2023'!C$9:K$719,9,0)</f>
        <v>PASIF</v>
      </c>
    </row>
    <row r="95" spans="1:11" x14ac:dyDescent="0.35">
      <c r="A95" s="22">
        <v>88</v>
      </c>
      <c r="B95" s="23" t="s">
        <v>229</v>
      </c>
      <c r="C95" s="24" t="s">
        <v>230</v>
      </c>
      <c r="D95" s="25" t="s">
        <v>89</v>
      </c>
      <c r="E95" s="26">
        <v>5000</v>
      </c>
      <c r="F95" s="26">
        <v>18145000</v>
      </c>
      <c r="G95" s="26">
        <v>25000</v>
      </c>
      <c r="H95" s="26">
        <v>878616.02501975489</v>
      </c>
      <c r="I95" s="26">
        <v>0</v>
      </c>
      <c r="J95" s="20">
        <f t="shared" si="1"/>
        <v>19053616.025019754</v>
      </c>
      <c r="K95" s="21" t="str">
        <f>VLOOKUP(C95,'[1]SHU 2023'!C$9:K$719,9,0)</f>
        <v>AKTIF</v>
      </c>
    </row>
    <row r="96" spans="1:11" x14ac:dyDescent="0.35">
      <c r="A96" s="22">
        <v>89</v>
      </c>
      <c r="B96" s="23" t="s">
        <v>231</v>
      </c>
      <c r="C96" s="24" t="s">
        <v>232</v>
      </c>
      <c r="D96" s="25" t="s">
        <v>233</v>
      </c>
      <c r="E96" s="26">
        <v>5000</v>
      </c>
      <c r="F96" s="26">
        <v>39237174</v>
      </c>
      <c r="G96" s="26">
        <v>1277000</v>
      </c>
      <c r="H96" s="26">
        <v>3916195.0825997572</v>
      </c>
      <c r="I96" s="26">
        <v>0</v>
      </c>
      <c r="J96" s="20">
        <f t="shared" si="1"/>
        <v>44435369.082599759</v>
      </c>
      <c r="K96" s="21" t="str">
        <f>VLOOKUP(C96,'[1]SHU 2023'!C$9:K$719,9,0)</f>
        <v>AKTIF</v>
      </c>
    </row>
    <row r="97" spans="1:11" x14ac:dyDescent="0.35">
      <c r="A97" s="22">
        <v>90</v>
      </c>
      <c r="B97" s="23" t="s">
        <v>234</v>
      </c>
      <c r="C97" s="24" t="s">
        <v>235</v>
      </c>
      <c r="D97" s="25" t="s">
        <v>193</v>
      </c>
      <c r="E97" s="26">
        <v>5000</v>
      </c>
      <c r="F97" s="26">
        <v>9252980</v>
      </c>
      <c r="G97" s="26">
        <v>0</v>
      </c>
      <c r="H97" s="26">
        <v>4034408.2604847429</v>
      </c>
      <c r="I97" s="26">
        <v>0</v>
      </c>
      <c r="J97" s="20">
        <f t="shared" si="1"/>
        <v>13292388.260484744</v>
      </c>
      <c r="K97" s="21" t="str">
        <f>VLOOKUP(C97,'[1]SHU 2023'!C$9:K$719,9,0)</f>
        <v>PASIF</v>
      </c>
    </row>
    <row r="98" spans="1:11" x14ac:dyDescent="0.35">
      <c r="A98" s="22">
        <v>91</v>
      </c>
      <c r="B98" s="23" t="s">
        <v>236</v>
      </c>
      <c r="C98" s="24" t="s">
        <v>237</v>
      </c>
      <c r="D98" s="25" t="s">
        <v>71</v>
      </c>
      <c r="E98" s="26">
        <v>0</v>
      </c>
      <c r="F98" s="26">
        <v>350000</v>
      </c>
      <c r="G98" s="26">
        <v>0</v>
      </c>
      <c r="H98" s="26">
        <v>-0.35786411026492715</v>
      </c>
      <c r="I98" s="26">
        <v>0</v>
      </c>
      <c r="J98" s="20">
        <f t="shared" si="1"/>
        <v>349999.64213588974</v>
      </c>
      <c r="K98" s="21" t="str">
        <f>VLOOKUP(C98,'[1]SHU 2023'!C$9:K$719,9,0)</f>
        <v>BUKAN ANGGOTA</v>
      </c>
    </row>
    <row r="99" spans="1:11" x14ac:dyDescent="0.35">
      <c r="A99" s="22">
        <v>92</v>
      </c>
      <c r="B99" s="23" t="s">
        <v>238</v>
      </c>
      <c r="C99" s="24" t="s">
        <v>239</v>
      </c>
      <c r="D99" s="25" t="s">
        <v>118</v>
      </c>
      <c r="E99" s="26">
        <v>5000</v>
      </c>
      <c r="F99" s="26">
        <v>7746114</v>
      </c>
      <c r="G99" s="26">
        <v>0</v>
      </c>
      <c r="H99" s="26">
        <v>5220610.76732904</v>
      </c>
      <c r="I99" s="26">
        <v>0</v>
      </c>
      <c r="J99" s="20">
        <f t="shared" si="1"/>
        <v>12971724.767329041</v>
      </c>
      <c r="K99" s="21" t="str">
        <f>VLOOKUP(C99,'[1]SHU 2023'!C$9:K$719,9,0)</f>
        <v>PASIF</v>
      </c>
    </row>
    <row r="100" spans="1:11" x14ac:dyDescent="0.35">
      <c r="A100" s="22">
        <v>93</v>
      </c>
      <c r="B100" s="23" t="s">
        <v>240</v>
      </c>
      <c r="C100" s="24" t="s">
        <v>241</v>
      </c>
      <c r="D100" s="25" t="s">
        <v>34</v>
      </c>
      <c r="E100" s="26">
        <v>0</v>
      </c>
      <c r="F100" s="26">
        <v>0</v>
      </c>
      <c r="G100" s="26">
        <v>0</v>
      </c>
      <c r="H100" s="26">
        <v>127872.24396993453</v>
      </c>
      <c r="I100" s="26">
        <v>0</v>
      </c>
      <c r="J100" s="20">
        <f t="shared" si="1"/>
        <v>127872.24396993453</v>
      </c>
      <c r="K100" s="21" t="str">
        <f>VLOOKUP(C100,'[1]SHU 2023'!C$9:K$719,9,0)</f>
        <v>PASIF</v>
      </c>
    </row>
    <row r="101" spans="1:11" x14ac:dyDescent="0.35">
      <c r="A101" s="22">
        <v>94</v>
      </c>
      <c r="B101" s="23" t="s">
        <v>242</v>
      </c>
      <c r="C101" s="24" t="s">
        <v>243</v>
      </c>
      <c r="D101" s="25" t="s">
        <v>118</v>
      </c>
      <c r="E101" s="26">
        <v>5000</v>
      </c>
      <c r="F101" s="26">
        <v>11460815</v>
      </c>
      <c r="G101" s="26">
        <v>0</v>
      </c>
      <c r="H101" s="26">
        <v>13884342.210328614</v>
      </c>
      <c r="I101" s="26">
        <v>0</v>
      </c>
      <c r="J101" s="20">
        <f t="shared" si="1"/>
        <v>25350157.210328616</v>
      </c>
      <c r="K101" s="21" t="str">
        <f>VLOOKUP(C101,'[1]SHU 2023'!C$9:K$719,9,0)</f>
        <v>PASIF</v>
      </c>
    </row>
    <row r="102" spans="1:11" x14ac:dyDescent="0.35">
      <c r="A102" s="22">
        <v>95</v>
      </c>
      <c r="B102" s="23" t="s">
        <v>244</v>
      </c>
      <c r="C102" s="24" t="s">
        <v>245</v>
      </c>
      <c r="D102" s="25" t="s">
        <v>31</v>
      </c>
      <c r="E102" s="26">
        <v>5000</v>
      </c>
      <c r="F102" s="26">
        <v>25443744</v>
      </c>
      <c r="G102" s="26">
        <v>810000</v>
      </c>
      <c r="H102" s="26">
        <v>2368118.2185790516</v>
      </c>
      <c r="I102" s="26">
        <v>0</v>
      </c>
      <c r="J102" s="20">
        <f t="shared" si="1"/>
        <v>28626862.21857905</v>
      </c>
      <c r="K102" s="21" t="str">
        <f>VLOOKUP(C102,'[1]SHU 2023'!C$9:K$719,9,0)</f>
        <v>AKTIF</v>
      </c>
    </row>
    <row r="103" spans="1:11" x14ac:dyDescent="0.35">
      <c r="A103" s="22">
        <v>96</v>
      </c>
      <c r="B103" s="23" t="s">
        <v>246</v>
      </c>
      <c r="C103" s="24" t="s">
        <v>247</v>
      </c>
      <c r="D103" s="25" t="s">
        <v>248</v>
      </c>
      <c r="E103" s="26">
        <v>0</v>
      </c>
      <c r="F103" s="26">
        <v>-100000</v>
      </c>
      <c r="G103" s="26">
        <v>0</v>
      </c>
      <c r="H103" s="26">
        <v>-0.11474365741014481</v>
      </c>
      <c r="I103" s="26">
        <v>0</v>
      </c>
      <c r="J103" s="20">
        <f t="shared" si="1"/>
        <v>-100000.11474365741</v>
      </c>
      <c r="K103" s="21" t="str">
        <f>VLOOKUP(C103,'[1]SHU 2023'!C$9:K$719,9,0)</f>
        <v>BUKAN ANGGOTA</v>
      </c>
    </row>
    <row r="104" spans="1:11" x14ac:dyDescent="0.35">
      <c r="A104" s="22">
        <v>97</v>
      </c>
      <c r="B104" s="23" t="s">
        <v>249</v>
      </c>
      <c r="C104" s="24" t="s">
        <v>250</v>
      </c>
      <c r="D104" s="25" t="s">
        <v>92</v>
      </c>
      <c r="E104" s="26">
        <v>5000</v>
      </c>
      <c r="F104" s="26">
        <v>46310800</v>
      </c>
      <c r="G104" s="26">
        <v>85000</v>
      </c>
      <c r="H104" s="26">
        <v>8039914.1066459473</v>
      </c>
      <c r="I104" s="26">
        <v>0</v>
      </c>
      <c r="J104" s="20">
        <f t="shared" si="1"/>
        <v>54440714.106645949</v>
      </c>
      <c r="K104" s="21" t="str">
        <f>VLOOKUP(C104,'[1]SHU 2023'!C$9:K$719,9,0)</f>
        <v>AKTIF</v>
      </c>
    </row>
    <row r="105" spans="1:11" x14ac:dyDescent="0.35">
      <c r="A105" s="22">
        <v>98</v>
      </c>
      <c r="B105" s="23" t="s">
        <v>251</v>
      </c>
      <c r="C105" s="24" t="s">
        <v>252</v>
      </c>
      <c r="D105" s="25" t="s">
        <v>31</v>
      </c>
      <c r="E105" s="26">
        <v>5000</v>
      </c>
      <c r="F105" s="26">
        <v>59261930</v>
      </c>
      <c r="G105" s="26">
        <v>1103000</v>
      </c>
      <c r="H105" s="26">
        <v>5795464.9035054184</v>
      </c>
      <c r="I105" s="26">
        <v>0</v>
      </c>
      <c r="J105" s="20">
        <f t="shared" si="1"/>
        <v>66165394.903505415</v>
      </c>
      <c r="K105" s="21" t="str">
        <f>VLOOKUP(C105,'[1]SHU 2023'!C$9:K$719,9,0)</f>
        <v>AKTIF</v>
      </c>
    </row>
    <row r="106" spans="1:11" x14ac:dyDescent="0.35">
      <c r="A106" s="22">
        <v>99</v>
      </c>
      <c r="B106" s="23" t="s">
        <v>253</v>
      </c>
      <c r="C106" s="24" t="s">
        <v>254</v>
      </c>
      <c r="D106" s="25" t="s">
        <v>255</v>
      </c>
      <c r="E106" s="26">
        <v>5000</v>
      </c>
      <c r="F106" s="26">
        <v>36804821</v>
      </c>
      <c r="G106" s="26">
        <v>220000</v>
      </c>
      <c r="H106" s="26">
        <v>4452782.7445296207</v>
      </c>
      <c r="I106" s="26">
        <v>0</v>
      </c>
      <c r="J106" s="20">
        <f t="shared" si="1"/>
        <v>41482603.74452962</v>
      </c>
      <c r="K106" s="21" t="str">
        <f>VLOOKUP(C106,'[1]SHU 2023'!C$9:K$719,9,0)</f>
        <v>AKTIF</v>
      </c>
    </row>
    <row r="107" spans="1:11" x14ac:dyDescent="0.35">
      <c r="A107" s="22">
        <v>100</v>
      </c>
      <c r="B107" s="23" t="s">
        <v>256</v>
      </c>
      <c r="C107" s="24" t="s">
        <v>257</v>
      </c>
      <c r="D107" s="25" t="s">
        <v>131</v>
      </c>
      <c r="E107" s="26">
        <v>5000</v>
      </c>
      <c r="F107" s="26">
        <v>21770858</v>
      </c>
      <c r="G107" s="26">
        <v>910000</v>
      </c>
      <c r="H107" s="26">
        <v>2666764.4685921022</v>
      </c>
      <c r="I107" s="26">
        <v>0</v>
      </c>
      <c r="J107" s="20">
        <f t="shared" si="1"/>
        <v>25352622.468592104</v>
      </c>
      <c r="K107" s="21" t="str">
        <f>VLOOKUP(C107,'[1]SHU 2023'!C$9:K$719,9,0)</f>
        <v>AKTIF</v>
      </c>
    </row>
    <row r="108" spans="1:11" x14ac:dyDescent="0.35">
      <c r="A108" s="22">
        <v>101</v>
      </c>
      <c r="B108" s="23" t="s">
        <v>258</v>
      </c>
      <c r="C108" s="24" t="s">
        <v>259</v>
      </c>
      <c r="D108" s="25" t="s">
        <v>42</v>
      </c>
      <c r="E108" s="26">
        <v>0</v>
      </c>
      <c r="F108" s="26">
        <v>0</v>
      </c>
      <c r="G108" s="26">
        <v>0</v>
      </c>
      <c r="H108" s="26">
        <v>1762733</v>
      </c>
      <c r="I108" s="26">
        <v>0</v>
      </c>
      <c r="J108" s="20">
        <f t="shared" si="1"/>
        <v>1762733</v>
      </c>
      <c r="K108" s="21" t="str">
        <f>VLOOKUP(C108,'[1]SHU 2023'!C$9:K$719,9,0)</f>
        <v>PASIF</v>
      </c>
    </row>
    <row r="109" spans="1:11" x14ac:dyDescent="0.35">
      <c r="A109" s="22">
        <v>102</v>
      </c>
      <c r="B109" s="23" t="s">
        <v>260</v>
      </c>
      <c r="C109" s="24" t="s">
        <v>261</v>
      </c>
      <c r="D109" s="25" t="s">
        <v>262</v>
      </c>
      <c r="E109" s="26">
        <v>0</v>
      </c>
      <c r="F109" s="26">
        <v>1050000</v>
      </c>
      <c r="G109" s="26">
        <v>0</v>
      </c>
      <c r="H109" s="26">
        <v>143421.94104187435</v>
      </c>
      <c r="I109" s="26">
        <v>0</v>
      </c>
      <c r="J109" s="20">
        <f t="shared" si="1"/>
        <v>1193421.9410418742</v>
      </c>
      <c r="K109" s="21" t="str">
        <f>VLOOKUP(C109,'[1]SHU 2023'!C$9:K$719,9,0)</f>
        <v>PASIF</v>
      </c>
    </row>
    <row r="110" spans="1:11" x14ac:dyDescent="0.35">
      <c r="A110" s="22">
        <v>103</v>
      </c>
      <c r="B110" s="23" t="s">
        <v>263</v>
      </c>
      <c r="C110" s="24" t="s">
        <v>264</v>
      </c>
      <c r="D110" s="25" t="s">
        <v>265</v>
      </c>
      <c r="E110" s="26">
        <v>5000</v>
      </c>
      <c r="F110" s="26">
        <v>24036013</v>
      </c>
      <c r="G110" s="26">
        <v>40000</v>
      </c>
      <c r="H110" s="26">
        <v>2105839.6417022636</v>
      </c>
      <c r="I110" s="26">
        <v>0</v>
      </c>
      <c r="J110" s="20">
        <f t="shared" si="1"/>
        <v>26186852.641702265</v>
      </c>
      <c r="K110" s="21" t="str">
        <f>VLOOKUP(C110,'[1]SHU 2023'!C$9:K$719,9,0)</f>
        <v>AKTIF</v>
      </c>
    </row>
    <row r="111" spans="1:11" x14ac:dyDescent="0.35">
      <c r="A111" s="22">
        <v>104</v>
      </c>
      <c r="B111" s="23" t="s">
        <v>266</v>
      </c>
      <c r="C111" s="24" t="s">
        <v>267</v>
      </c>
      <c r="D111" s="25" t="s">
        <v>39</v>
      </c>
      <c r="E111" s="26">
        <v>0</v>
      </c>
      <c r="F111" s="26">
        <v>0</v>
      </c>
      <c r="G111" s="26">
        <v>0</v>
      </c>
      <c r="H111" s="26">
        <v>780921</v>
      </c>
      <c r="I111" s="26">
        <v>0</v>
      </c>
      <c r="J111" s="20">
        <f t="shared" si="1"/>
        <v>780921</v>
      </c>
      <c r="K111" s="21" t="str">
        <f>VLOOKUP(C111,'[1]SHU 2023'!C$9:K$719,9,0)</f>
        <v>PASIF</v>
      </c>
    </row>
    <row r="112" spans="1:11" x14ac:dyDescent="0.35">
      <c r="A112" s="22">
        <v>105</v>
      </c>
      <c r="B112" s="23" t="s">
        <v>268</v>
      </c>
      <c r="C112" s="24" t="s">
        <v>269</v>
      </c>
      <c r="D112" s="25" t="s">
        <v>161</v>
      </c>
      <c r="E112" s="26">
        <v>5000</v>
      </c>
      <c r="F112" s="26">
        <v>13686528</v>
      </c>
      <c r="G112" s="26">
        <v>0</v>
      </c>
      <c r="H112" s="26">
        <v>28435597.922757145</v>
      </c>
      <c r="I112" s="26">
        <v>0</v>
      </c>
      <c r="J112" s="20">
        <f t="shared" si="1"/>
        <v>42127125.922757149</v>
      </c>
      <c r="K112" s="21" t="str">
        <f>VLOOKUP(C112,'[1]SHU 2023'!C$9:K$719,9,0)</f>
        <v>PASIF</v>
      </c>
    </row>
    <row r="113" spans="1:11" x14ac:dyDescent="0.35">
      <c r="A113" s="22">
        <v>106</v>
      </c>
      <c r="B113" s="23" t="s">
        <v>270</v>
      </c>
      <c r="C113" s="24" t="s">
        <v>271</v>
      </c>
      <c r="D113" s="25" t="s">
        <v>77</v>
      </c>
      <c r="E113" s="26">
        <v>5000</v>
      </c>
      <c r="F113" s="26">
        <v>39775160</v>
      </c>
      <c r="G113" s="26">
        <v>0</v>
      </c>
      <c r="H113" s="26">
        <v>13387892.849299023</v>
      </c>
      <c r="I113" s="26">
        <v>0</v>
      </c>
      <c r="J113" s="20">
        <f t="shared" si="1"/>
        <v>53168052.849299021</v>
      </c>
      <c r="K113" s="21" t="str">
        <f>VLOOKUP(C113,'[1]SHU 2023'!C$9:K$719,9,0)</f>
        <v>AKTIF</v>
      </c>
    </row>
    <row r="114" spans="1:11" x14ac:dyDescent="0.35">
      <c r="A114" s="22">
        <v>107</v>
      </c>
      <c r="B114" s="23" t="s">
        <v>272</v>
      </c>
      <c r="C114" s="24" t="s">
        <v>273</v>
      </c>
      <c r="D114" s="25" t="s">
        <v>66</v>
      </c>
      <c r="E114" s="26">
        <v>5000</v>
      </c>
      <c r="F114" s="26">
        <v>35639498</v>
      </c>
      <c r="G114" s="26">
        <v>0</v>
      </c>
      <c r="H114" s="26">
        <v>3518535.6156666232</v>
      </c>
      <c r="I114" s="26">
        <v>0</v>
      </c>
      <c r="J114" s="20">
        <f t="shared" si="1"/>
        <v>39163033.61566662</v>
      </c>
      <c r="K114" s="21" t="str">
        <f>VLOOKUP(C114,'[1]SHU 2023'!C$9:K$719,9,0)</f>
        <v>AKTIF</v>
      </c>
    </row>
    <row r="115" spans="1:11" x14ac:dyDescent="0.35">
      <c r="A115" s="22">
        <v>108</v>
      </c>
      <c r="B115" s="23" t="s">
        <v>274</v>
      </c>
      <c r="C115" s="24" t="s">
        <v>275</v>
      </c>
      <c r="D115" s="25" t="s">
        <v>39</v>
      </c>
      <c r="E115" s="26">
        <v>5000</v>
      </c>
      <c r="F115" s="26">
        <v>35058538</v>
      </c>
      <c r="G115" s="26">
        <v>650000</v>
      </c>
      <c r="H115" s="26">
        <v>3482005.9051594906</v>
      </c>
      <c r="I115" s="26">
        <v>0</v>
      </c>
      <c r="J115" s="20">
        <f t="shared" si="1"/>
        <v>39195543.905159488</v>
      </c>
      <c r="K115" s="21" t="str">
        <f>VLOOKUP(C115,'[1]SHU 2023'!C$9:K$719,9,0)</f>
        <v>AKTIF</v>
      </c>
    </row>
    <row r="116" spans="1:11" x14ac:dyDescent="0.35">
      <c r="A116" s="22">
        <v>109</v>
      </c>
      <c r="B116" s="23" t="s">
        <v>276</v>
      </c>
      <c r="C116" s="24" t="s">
        <v>277</v>
      </c>
      <c r="D116" s="25" t="s">
        <v>66</v>
      </c>
      <c r="E116" s="26">
        <v>0</v>
      </c>
      <c r="F116" s="26">
        <v>300000</v>
      </c>
      <c r="G116" s="26">
        <v>0</v>
      </c>
      <c r="H116" s="26">
        <v>234774.19312415086</v>
      </c>
      <c r="I116" s="26">
        <v>0</v>
      </c>
      <c r="J116" s="20">
        <f t="shared" si="1"/>
        <v>534774.19312415086</v>
      </c>
      <c r="K116" s="21" t="str">
        <f>VLOOKUP(C116,'[1]SHU 2023'!C$9:K$719,9,0)</f>
        <v>PASIF</v>
      </c>
    </row>
    <row r="117" spans="1:11" x14ac:dyDescent="0.35">
      <c r="A117" s="22">
        <v>110</v>
      </c>
      <c r="B117" s="23" t="s">
        <v>278</v>
      </c>
      <c r="C117" s="24" t="s">
        <v>279</v>
      </c>
      <c r="D117" s="25" t="s">
        <v>280</v>
      </c>
      <c r="E117" s="26">
        <v>5000</v>
      </c>
      <c r="F117" s="26">
        <v>3689498</v>
      </c>
      <c r="G117" s="26">
        <v>0</v>
      </c>
      <c r="H117" s="26">
        <v>3721789.9188485113</v>
      </c>
      <c r="I117" s="26">
        <v>0</v>
      </c>
      <c r="J117" s="20">
        <f t="shared" si="1"/>
        <v>7416287.9188485108</v>
      </c>
      <c r="K117" s="21" t="str">
        <f>VLOOKUP(C117,'[1]SHU 2023'!C$9:K$719,9,0)</f>
        <v>PASIF</v>
      </c>
    </row>
    <row r="118" spans="1:11" x14ac:dyDescent="0.35">
      <c r="A118" s="22">
        <v>111</v>
      </c>
      <c r="B118" s="23" t="s">
        <v>281</v>
      </c>
      <c r="C118" s="24" t="s">
        <v>282</v>
      </c>
      <c r="D118" s="25" t="s">
        <v>107</v>
      </c>
      <c r="E118" s="26">
        <v>0</v>
      </c>
      <c r="F118" s="26">
        <v>0</v>
      </c>
      <c r="G118" s="26">
        <v>0</v>
      </c>
      <c r="H118" s="26">
        <v>1916748.7226283359</v>
      </c>
      <c r="I118" s="26">
        <v>0</v>
      </c>
      <c r="J118" s="20">
        <f t="shared" si="1"/>
        <v>1916748.7226283359</v>
      </c>
      <c r="K118" s="21" t="str">
        <f>VLOOKUP(C118,'[1]SHU 2023'!C$9:K$719,9,0)</f>
        <v>PASIF</v>
      </c>
    </row>
    <row r="119" spans="1:11" x14ac:dyDescent="0.35">
      <c r="A119" s="22">
        <v>112</v>
      </c>
      <c r="B119" s="23" t="s">
        <v>283</v>
      </c>
      <c r="C119" s="24" t="s">
        <v>284</v>
      </c>
      <c r="D119" s="25" t="s">
        <v>285</v>
      </c>
      <c r="E119" s="26">
        <v>5000</v>
      </c>
      <c r="F119" s="26">
        <v>36529733</v>
      </c>
      <c r="G119" s="26">
        <v>1422000</v>
      </c>
      <c r="H119" s="26">
        <v>1255578.2521574167</v>
      </c>
      <c r="I119" s="26">
        <v>0</v>
      </c>
      <c r="J119" s="20">
        <f t="shared" si="1"/>
        <v>39212311.25215742</v>
      </c>
      <c r="K119" s="21" t="str">
        <f>VLOOKUP(C119,'[1]SHU 2023'!C$9:K$719,9,0)</f>
        <v>AKTIF</v>
      </c>
    </row>
    <row r="120" spans="1:11" x14ac:dyDescent="0.35">
      <c r="A120" s="22">
        <v>113</v>
      </c>
      <c r="B120" s="23" t="s">
        <v>286</v>
      </c>
      <c r="C120" s="24" t="s">
        <v>287</v>
      </c>
      <c r="D120" s="25" t="s">
        <v>123</v>
      </c>
      <c r="E120" s="26">
        <v>5000</v>
      </c>
      <c r="F120" s="26">
        <v>45191972</v>
      </c>
      <c r="G120" s="26">
        <v>645000</v>
      </c>
      <c r="H120" s="26">
        <v>4640303.7515061209</v>
      </c>
      <c r="I120" s="26">
        <v>0</v>
      </c>
      <c r="J120" s="20">
        <f t="shared" si="1"/>
        <v>50482275.75150612</v>
      </c>
      <c r="K120" s="21" t="str">
        <f>VLOOKUP(C120,'[1]SHU 2023'!C$9:K$719,9,0)</f>
        <v>AKTIF</v>
      </c>
    </row>
    <row r="121" spans="1:11" x14ac:dyDescent="0.35">
      <c r="A121" s="22">
        <v>114</v>
      </c>
      <c r="B121" s="23" t="s">
        <v>288</v>
      </c>
      <c r="C121" s="24" t="s">
        <v>289</v>
      </c>
      <c r="D121" s="25" t="s">
        <v>290</v>
      </c>
      <c r="E121" s="26">
        <v>5000</v>
      </c>
      <c r="F121" s="26">
        <v>38111918</v>
      </c>
      <c r="G121" s="26">
        <v>670000</v>
      </c>
      <c r="H121" s="26">
        <v>1296338.49898383</v>
      </c>
      <c r="I121" s="26">
        <v>0</v>
      </c>
      <c r="J121" s="20">
        <f t="shared" si="1"/>
        <v>40083256.49898383</v>
      </c>
      <c r="K121" s="21" t="str">
        <f>VLOOKUP(C121,'[1]SHU 2023'!C$9:K$719,9,0)</f>
        <v>AKTIF</v>
      </c>
    </row>
    <row r="122" spans="1:11" x14ac:dyDescent="0.35">
      <c r="A122" s="22">
        <v>115</v>
      </c>
      <c r="B122" s="23" t="s">
        <v>291</v>
      </c>
      <c r="C122" s="24" t="s">
        <v>292</v>
      </c>
      <c r="D122" s="25" t="s">
        <v>42</v>
      </c>
      <c r="E122" s="26">
        <v>5000</v>
      </c>
      <c r="F122" s="26">
        <v>670000</v>
      </c>
      <c r="G122" s="26">
        <v>0</v>
      </c>
      <c r="H122" s="26">
        <v>1243320.9765596169</v>
      </c>
      <c r="I122" s="26">
        <v>0</v>
      </c>
      <c r="J122" s="20">
        <f t="shared" si="1"/>
        <v>1918320.9765596169</v>
      </c>
      <c r="K122" s="21" t="str">
        <f>VLOOKUP(C122,'[1]SHU 2023'!C$9:K$719,9,0)</f>
        <v>PASIF</v>
      </c>
    </row>
    <row r="123" spans="1:11" x14ac:dyDescent="0.35">
      <c r="A123" s="22">
        <v>116</v>
      </c>
      <c r="B123" s="23" t="s">
        <v>293</v>
      </c>
      <c r="C123" s="24" t="s">
        <v>294</v>
      </c>
      <c r="D123" s="25" t="s">
        <v>295</v>
      </c>
      <c r="E123" s="26">
        <v>0</v>
      </c>
      <c r="F123" s="26">
        <v>0</v>
      </c>
      <c r="G123" s="26">
        <v>0</v>
      </c>
      <c r="H123" s="26">
        <v>50527.966340010054</v>
      </c>
      <c r="I123" s="26">
        <v>0</v>
      </c>
      <c r="J123" s="20">
        <f t="shared" si="1"/>
        <v>50527.966340010054</v>
      </c>
      <c r="K123" s="21" t="str">
        <f>VLOOKUP(C123,'[1]SHU 2023'!C$9:K$719,9,0)</f>
        <v>PASIF</v>
      </c>
    </row>
    <row r="124" spans="1:11" x14ac:dyDescent="0.35">
      <c r="A124" s="22">
        <v>117</v>
      </c>
      <c r="B124" s="23" t="s">
        <v>296</v>
      </c>
      <c r="C124" s="24" t="s">
        <v>297</v>
      </c>
      <c r="D124" s="25" t="s">
        <v>298</v>
      </c>
      <c r="E124" s="26">
        <v>5000</v>
      </c>
      <c r="F124" s="26">
        <v>30840660</v>
      </c>
      <c r="G124" s="26">
        <v>2850000</v>
      </c>
      <c r="H124" s="26">
        <v>2466878.8378160056</v>
      </c>
      <c r="I124" s="26">
        <v>0</v>
      </c>
      <c r="J124" s="20">
        <f t="shared" si="1"/>
        <v>36162538.837816007</v>
      </c>
      <c r="K124" s="21" t="str">
        <f>VLOOKUP(C124,'[1]SHU 2023'!C$9:K$719,9,0)</f>
        <v>AKTIF</v>
      </c>
    </row>
    <row r="125" spans="1:11" x14ac:dyDescent="0.35">
      <c r="A125" s="22">
        <v>118</v>
      </c>
      <c r="B125" s="23" t="s">
        <v>299</v>
      </c>
      <c r="C125" s="24" t="s">
        <v>300</v>
      </c>
      <c r="D125" s="25" t="s">
        <v>131</v>
      </c>
      <c r="E125" s="26">
        <v>0</v>
      </c>
      <c r="F125" s="26">
        <v>0</v>
      </c>
      <c r="G125" s="26">
        <v>0</v>
      </c>
      <c r="H125" s="26">
        <v>207929.08168128435</v>
      </c>
      <c r="I125" s="26">
        <v>0</v>
      </c>
      <c r="J125" s="20">
        <f t="shared" si="1"/>
        <v>207929.08168128435</v>
      </c>
      <c r="K125" s="21" t="str">
        <f>VLOOKUP(C125,'[1]SHU 2023'!C$9:K$719,9,0)</f>
        <v>PASIF</v>
      </c>
    </row>
    <row r="126" spans="1:11" x14ac:dyDescent="0.35">
      <c r="A126" s="22">
        <v>119</v>
      </c>
      <c r="B126" s="23" t="s">
        <v>301</v>
      </c>
      <c r="C126" s="24" t="s">
        <v>302</v>
      </c>
      <c r="D126" s="25" t="s">
        <v>54</v>
      </c>
      <c r="E126" s="26">
        <v>0</v>
      </c>
      <c r="F126" s="26">
        <v>350000</v>
      </c>
      <c r="G126" s="26">
        <v>0</v>
      </c>
      <c r="H126" s="26">
        <v>745156.2573593026</v>
      </c>
      <c r="I126" s="26">
        <v>0</v>
      </c>
      <c r="J126" s="20">
        <f t="shared" si="1"/>
        <v>1095156.2573593026</v>
      </c>
      <c r="K126" s="21" t="str">
        <f>VLOOKUP(C126,'[1]SHU 2023'!C$9:K$719,9,0)</f>
        <v>PASIF</v>
      </c>
    </row>
    <row r="127" spans="1:11" x14ac:dyDescent="0.35">
      <c r="A127" s="22">
        <v>120</v>
      </c>
      <c r="B127" s="23" t="s">
        <v>303</v>
      </c>
      <c r="C127" s="24" t="s">
        <v>304</v>
      </c>
      <c r="D127" s="25" t="s">
        <v>126</v>
      </c>
      <c r="E127" s="26">
        <v>0</v>
      </c>
      <c r="F127" s="26">
        <v>0</v>
      </c>
      <c r="G127" s="26">
        <v>0</v>
      </c>
      <c r="H127" s="26">
        <v>80944.011832591146</v>
      </c>
      <c r="I127" s="26">
        <v>0</v>
      </c>
      <c r="J127" s="20">
        <f t="shared" si="1"/>
        <v>80944.011832591146</v>
      </c>
      <c r="K127" s="21" t="str">
        <f>VLOOKUP(C127,'[1]SHU 2023'!C$9:K$719,9,0)</f>
        <v>PASIF</v>
      </c>
    </row>
    <row r="128" spans="1:11" x14ac:dyDescent="0.35">
      <c r="A128" s="22">
        <v>121</v>
      </c>
      <c r="B128" s="23" t="s">
        <v>305</v>
      </c>
      <c r="C128" s="24" t="s">
        <v>306</v>
      </c>
      <c r="D128" s="25" t="s">
        <v>31</v>
      </c>
      <c r="E128" s="26">
        <v>5000</v>
      </c>
      <c r="F128" s="26">
        <v>38053066</v>
      </c>
      <c r="G128" s="26">
        <v>850000</v>
      </c>
      <c r="H128" s="26">
        <v>5340496.3640352199</v>
      </c>
      <c r="I128" s="26">
        <v>0</v>
      </c>
      <c r="J128" s="20">
        <f t="shared" si="1"/>
        <v>44248562.364035219</v>
      </c>
      <c r="K128" s="21" t="str">
        <f>VLOOKUP(C128,'[1]SHU 2023'!C$9:K$719,9,0)</f>
        <v>AKTIF</v>
      </c>
    </row>
    <row r="129" spans="1:11" x14ac:dyDescent="0.35">
      <c r="A129" s="22">
        <v>122</v>
      </c>
      <c r="B129" s="23" t="s">
        <v>307</v>
      </c>
      <c r="C129" s="24" t="s">
        <v>308</v>
      </c>
      <c r="D129" s="25" t="s">
        <v>66</v>
      </c>
      <c r="E129" s="26">
        <v>5000</v>
      </c>
      <c r="F129" s="26">
        <v>38491804</v>
      </c>
      <c r="G129" s="26">
        <v>210000</v>
      </c>
      <c r="H129" s="26">
        <v>4727823.2173939664</v>
      </c>
      <c r="I129" s="26">
        <v>0</v>
      </c>
      <c r="J129" s="20">
        <f t="shared" si="1"/>
        <v>43434627.217393965</v>
      </c>
      <c r="K129" s="21" t="str">
        <f>VLOOKUP(C129,'[1]SHU 2023'!C$9:K$719,9,0)</f>
        <v>AKTIF</v>
      </c>
    </row>
    <row r="130" spans="1:11" x14ac:dyDescent="0.35">
      <c r="A130" s="22">
        <v>123</v>
      </c>
      <c r="B130" s="23" t="s">
        <v>309</v>
      </c>
      <c r="C130" s="24" t="s">
        <v>310</v>
      </c>
      <c r="D130" s="25" t="s">
        <v>31</v>
      </c>
      <c r="E130" s="26">
        <v>5000</v>
      </c>
      <c r="F130" s="26">
        <v>68123471</v>
      </c>
      <c r="G130" s="26">
        <v>50000</v>
      </c>
      <c r="H130" s="26">
        <v>10670025.696645916</v>
      </c>
      <c r="I130" s="26">
        <v>0</v>
      </c>
      <c r="J130" s="20">
        <f t="shared" si="1"/>
        <v>78848496.696645916</v>
      </c>
      <c r="K130" s="21" t="str">
        <f>VLOOKUP(C130,'[1]SHU 2023'!C$9:K$719,9,0)</f>
        <v>AKTIF</v>
      </c>
    </row>
    <row r="131" spans="1:11" x14ac:dyDescent="0.35">
      <c r="A131" s="22">
        <v>124</v>
      </c>
      <c r="B131" s="23" t="s">
        <v>311</v>
      </c>
      <c r="C131" s="24" t="s">
        <v>312</v>
      </c>
      <c r="D131" s="25" t="s">
        <v>313</v>
      </c>
      <c r="E131" s="26">
        <v>0</v>
      </c>
      <c r="F131" s="26">
        <v>500000</v>
      </c>
      <c r="G131" s="26">
        <v>0</v>
      </c>
      <c r="H131" s="26">
        <v>-0.22952770907431841</v>
      </c>
      <c r="I131" s="26">
        <v>0</v>
      </c>
      <c r="J131" s="20">
        <f t="shared" si="1"/>
        <v>499999.77047229093</v>
      </c>
      <c r="K131" s="21" t="str">
        <f>VLOOKUP(C131,'[1]SHU 2023'!C$9:K$719,9,0)</f>
        <v>BUKAN ANGGOTA</v>
      </c>
    </row>
    <row r="132" spans="1:11" x14ac:dyDescent="0.35">
      <c r="A132" s="22">
        <v>125</v>
      </c>
      <c r="B132" s="23" t="s">
        <v>314</v>
      </c>
      <c r="C132" s="24" t="s">
        <v>315</v>
      </c>
      <c r="D132" s="25" t="s">
        <v>316</v>
      </c>
      <c r="E132" s="26">
        <v>5000</v>
      </c>
      <c r="F132" s="26">
        <v>24576609</v>
      </c>
      <c r="G132" s="26">
        <v>1813000</v>
      </c>
      <c r="H132" s="26">
        <v>2229527.7684022761</v>
      </c>
      <c r="I132" s="26">
        <v>0</v>
      </c>
      <c r="J132" s="20">
        <f t="shared" si="1"/>
        <v>28624136.768402275</v>
      </c>
      <c r="K132" s="21" t="str">
        <f>VLOOKUP(C132,'[1]SHU 2023'!C$9:K$719,9,0)</f>
        <v>AKTIF</v>
      </c>
    </row>
    <row r="133" spans="1:11" x14ac:dyDescent="0.35">
      <c r="A133" s="22">
        <v>126</v>
      </c>
      <c r="B133" s="23" t="s">
        <v>317</v>
      </c>
      <c r="C133" s="24" t="s">
        <v>318</v>
      </c>
      <c r="D133" s="25" t="s">
        <v>319</v>
      </c>
      <c r="E133" s="26">
        <v>0</v>
      </c>
      <c r="F133" s="26">
        <v>250000</v>
      </c>
      <c r="G133" s="26">
        <v>0</v>
      </c>
      <c r="H133" s="26">
        <v>112648.17443025135</v>
      </c>
      <c r="I133" s="26">
        <v>0</v>
      </c>
      <c r="J133" s="20">
        <f t="shared" si="1"/>
        <v>362648.17443025135</v>
      </c>
      <c r="K133" s="21" t="str">
        <f>VLOOKUP(C133,'[1]SHU 2023'!C$9:K$719,9,0)</f>
        <v>PASIF</v>
      </c>
    </row>
    <row r="134" spans="1:11" x14ac:dyDescent="0.35">
      <c r="A134" s="22">
        <v>127</v>
      </c>
      <c r="B134" s="23" t="s">
        <v>320</v>
      </c>
      <c r="C134" s="24" t="s">
        <v>321</v>
      </c>
      <c r="D134" s="25" t="s">
        <v>265</v>
      </c>
      <c r="E134" s="26">
        <v>5000</v>
      </c>
      <c r="F134" s="26">
        <v>21995858</v>
      </c>
      <c r="G134" s="26">
        <v>0</v>
      </c>
      <c r="H134" s="26">
        <v>2386307.645151264</v>
      </c>
      <c r="I134" s="26">
        <v>0</v>
      </c>
      <c r="J134" s="20">
        <f t="shared" si="1"/>
        <v>24387165.645151265</v>
      </c>
      <c r="K134" s="21" t="str">
        <f>VLOOKUP(C134,'[1]SHU 2023'!C$9:K$719,9,0)</f>
        <v>AKTIF</v>
      </c>
    </row>
    <row r="135" spans="1:11" x14ac:dyDescent="0.35">
      <c r="A135" s="22">
        <v>128</v>
      </c>
      <c r="B135" s="23" t="s">
        <v>322</v>
      </c>
      <c r="C135" s="24" t="s">
        <v>323</v>
      </c>
      <c r="D135" s="25" t="s">
        <v>131</v>
      </c>
      <c r="E135" s="26">
        <v>5000</v>
      </c>
      <c r="F135" s="26">
        <v>21845858</v>
      </c>
      <c r="G135" s="26">
        <v>0</v>
      </c>
      <c r="H135" s="26">
        <v>2677427.8914502547</v>
      </c>
      <c r="I135" s="26">
        <v>0</v>
      </c>
      <c r="J135" s="20">
        <f t="shared" si="1"/>
        <v>24528285.891450256</v>
      </c>
      <c r="K135" s="21" t="str">
        <f>VLOOKUP(C135,'[1]SHU 2023'!C$9:K$719,9,0)</f>
        <v>AKTIF</v>
      </c>
    </row>
    <row r="136" spans="1:11" x14ac:dyDescent="0.35">
      <c r="A136" s="22">
        <v>129</v>
      </c>
      <c r="B136" s="23" t="s">
        <v>324</v>
      </c>
      <c r="C136" s="24" t="s">
        <v>325</v>
      </c>
      <c r="D136" s="25" t="s">
        <v>131</v>
      </c>
      <c r="E136" s="26">
        <v>5000</v>
      </c>
      <c r="F136" s="26">
        <v>49092861</v>
      </c>
      <c r="G136" s="26">
        <v>585000</v>
      </c>
      <c r="H136" s="26">
        <v>5705906.5801723674</v>
      </c>
      <c r="I136" s="26">
        <v>0</v>
      </c>
      <c r="J136" s="20">
        <f t="shared" si="1"/>
        <v>55388767.580172367</v>
      </c>
      <c r="K136" s="21" t="str">
        <f>VLOOKUP(C136,'[1]SHU 2023'!C$9:K$719,9,0)</f>
        <v>AKTIF</v>
      </c>
    </row>
    <row r="137" spans="1:11" x14ac:dyDescent="0.35">
      <c r="A137" s="22">
        <v>130</v>
      </c>
      <c r="B137" s="23" t="s">
        <v>326</v>
      </c>
      <c r="C137" s="24" t="s">
        <v>327</v>
      </c>
      <c r="D137" s="25" t="s">
        <v>328</v>
      </c>
      <c r="E137" s="26">
        <v>5000</v>
      </c>
      <c r="F137" s="26">
        <v>19853973</v>
      </c>
      <c r="G137" s="26">
        <v>50000</v>
      </c>
      <c r="H137" s="26">
        <v>1529471.9930674867</v>
      </c>
      <c r="I137" s="26">
        <v>0</v>
      </c>
      <c r="J137" s="20">
        <f t="shared" ref="J137:J200" si="2">E137+F137+G137+H137</f>
        <v>21438444.993067488</v>
      </c>
      <c r="K137" s="21" t="str">
        <f>VLOOKUP(C137,'[1]SHU 2023'!C$9:K$719,9,0)</f>
        <v>AKTIF</v>
      </c>
    </row>
    <row r="138" spans="1:11" x14ac:dyDescent="0.35">
      <c r="A138" s="22">
        <v>131</v>
      </c>
      <c r="B138" s="23" t="s">
        <v>329</v>
      </c>
      <c r="C138" s="24" t="s">
        <v>330</v>
      </c>
      <c r="D138" s="25" t="s">
        <v>54</v>
      </c>
      <c r="E138" s="26">
        <v>5000</v>
      </c>
      <c r="F138" s="26">
        <v>23989161</v>
      </c>
      <c r="G138" s="26">
        <v>50000</v>
      </c>
      <c r="H138" s="26">
        <v>3440312.0650717425</v>
      </c>
      <c r="I138" s="26">
        <v>0</v>
      </c>
      <c r="J138" s="20">
        <f t="shared" si="2"/>
        <v>27484473.065071743</v>
      </c>
      <c r="K138" s="21" t="str">
        <f>VLOOKUP(C138,'[1]SHU 2023'!C$9:K$719,9,0)</f>
        <v>AKTIF</v>
      </c>
    </row>
    <row r="139" spans="1:11" x14ac:dyDescent="0.35">
      <c r="A139" s="22">
        <v>132</v>
      </c>
      <c r="B139" s="23" t="s">
        <v>331</v>
      </c>
      <c r="C139" s="24" t="s">
        <v>332</v>
      </c>
      <c r="D139" s="25" t="s">
        <v>34</v>
      </c>
      <c r="E139" s="26">
        <v>0</v>
      </c>
      <c r="F139" s="26">
        <v>0</v>
      </c>
      <c r="G139" s="26">
        <v>0</v>
      </c>
      <c r="H139" s="26">
        <v>8379</v>
      </c>
      <c r="I139" s="26">
        <v>0</v>
      </c>
      <c r="J139" s="20">
        <f t="shared" si="2"/>
        <v>8379</v>
      </c>
      <c r="K139" s="21" t="str">
        <f>VLOOKUP(C139,'[1]SHU 2023'!C$9:K$719,9,0)</f>
        <v>PASIF</v>
      </c>
    </row>
    <row r="140" spans="1:11" x14ac:dyDescent="0.35">
      <c r="A140" s="22">
        <v>133</v>
      </c>
      <c r="B140" s="23" t="s">
        <v>333</v>
      </c>
      <c r="C140" s="24" t="s">
        <v>334</v>
      </c>
      <c r="D140" s="25" t="s">
        <v>42</v>
      </c>
      <c r="E140" s="26">
        <v>5000</v>
      </c>
      <c r="F140" s="26">
        <v>545000</v>
      </c>
      <c r="G140" s="26">
        <v>0</v>
      </c>
      <c r="H140" s="26">
        <v>1078286.1222293982</v>
      </c>
      <c r="I140" s="26">
        <v>0</v>
      </c>
      <c r="J140" s="20">
        <f t="shared" si="2"/>
        <v>1628286.1222293982</v>
      </c>
      <c r="K140" s="21" t="str">
        <f>VLOOKUP(C140,'[1]SHU 2023'!C$9:K$719,9,0)</f>
        <v>PASIF</v>
      </c>
    </row>
    <row r="141" spans="1:11" x14ac:dyDescent="0.35">
      <c r="A141" s="22">
        <v>134</v>
      </c>
      <c r="B141" s="23" t="s">
        <v>335</v>
      </c>
      <c r="C141" s="24" t="s">
        <v>336</v>
      </c>
      <c r="D141" s="25" t="s">
        <v>131</v>
      </c>
      <c r="E141" s="26">
        <v>0</v>
      </c>
      <c r="F141" s="26">
        <v>0</v>
      </c>
      <c r="G141" s="26">
        <v>0</v>
      </c>
      <c r="H141" s="26">
        <v>0.38347006030380726</v>
      </c>
      <c r="I141" s="26">
        <v>0</v>
      </c>
      <c r="J141" s="20">
        <f t="shared" si="2"/>
        <v>0.38347006030380726</v>
      </c>
      <c r="K141" s="21" t="s">
        <v>49</v>
      </c>
    </row>
    <row r="142" spans="1:11" x14ac:dyDescent="0.35">
      <c r="A142" s="22">
        <v>135</v>
      </c>
      <c r="B142" s="23" t="s">
        <v>337</v>
      </c>
      <c r="C142" s="24" t="s">
        <v>338</v>
      </c>
      <c r="D142" s="25" t="s">
        <v>298</v>
      </c>
      <c r="E142" s="26">
        <v>5000</v>
      </c>
      <c r="F142" s="26">
        <v>25114242</v>
      </c>
      <c r="G142" s="26">
        <v>2078000</v>
      </c>
      <c r="H142" s="26">
        <v>2260129.223240274</v>
      </c>
      <c r="I142" s="26">
        <v>0</v>
      </c>
      <c r="J142" s="20">
        <f t="shared" si="2"/>
        <v>29457371.223240275</v>
      </c>
      <c r="K142" s="21" t="str">
        <f>VLOOKUP(C142,'[1]SHU 2023'!C$9:K$719,9,0)</f>
        <v>AKTIF</v>
      </c>
    </row>
    <row r="143" spans="1:11" x14ac:dyDescent="0.35">
      <c r="A143" s="22">
        <v>136</v>
      </c>
      <c r="B143" s="23" t="s">
        <v>339</v>
      </c>
      <c r="C143" s="24" t="s">
        <v>340</v>
      </c>
      <c r="D143" s="25" t="s">
        <v>89</v>
      </c>
      <c r="E143" s="26">
        <v>5000</v>
      </c>
      <c r="F143" s="26">
        <v>19584532</v>
      </c>
      <c r="G143" s="26">
        <v>30000</v>
      </c>
      <c r="H143" s="26">
        <v>2319199.6598919872</v>
      </c>
      <c r="I143" s="26">
        <v>0</v>
      </c>
      <c r="J143" s="20">
        <f t="shared" si="2"/>
        <v>21938731.659891985</v>
      </c>
      <c r="K143" s="21" t="str">
        <f>VLOOKUP(C143,'[1]SHU 2023'!C$9:K$719,9,0)</f>
        <v>AKTIF</v>
      </c>
    </row>
    <row r="144" spans="1:11" x14ac:dyDescent="0.35">
      <c r="A144" s="22">
        <v>137</v>
      </c>
      <c r="B144" s="23" t="s">
        <v>341</v>
      </c>
      <c r="C144" s="24" t="s">
        <v>342</v>
      </c>
      <c r="D144" s="25" t="s">
        <v>92</v>
      </c>
      <c r="E144" s="26">
        <v>0</v>
      </c>
      <c r="F144" s="26">
        <v>750000</v>
      </c>
      <c r="G144" s="26">
        <v>0</v>
      </c>
      <c r="H144" s="26">
        <v>0.3095634700730443</v>
      </c>
      <c r="I144" s="26">
        <v>0</v>
      </c>
      <c r="J144" s="20">
        <f t="shared" si="2"/>
        <v>750000.30956347007</v>
      </c>
      <c r="K144" s="21" t="str">
        <f>VLOOKUP(C144,'[1]SHU 2023'!C$9:K$719,9,0)</f>
        <v>BUKAN ANGGOTA</v>
      </c>
    </row>
    <row r="145" spans="1:11" x14ac:dyDescent="0.35">
      <c r="A145" s="22">
        <v>138</v>
      </c>
      <c r="B145" s="23" t="s">
        <v>343</v>
      </c>
      <c r="C145" s="24" t="s">
        <v>344</v>
      </c>
      <c r="D145" s="25" t="s">
        <v>92</v>
      </c>
      <c r="E145" s="26">
        <v>5000</v>
      </c>
      <c r="F145" s="26">
        <v>21414667</v>
      </c>
      <c r="G145" s="26">
        <v>0</v>
      </c>
      <c r="H145" s="26">
        <v>5677074.7014116533</v>
      </c>
      <c r="I145" s="26">
        <v>0</v>
      </c>
      <c r="J145" s="20">
        <f t="shared" si="2"/>
        <v>27096741.701411653</v>
      </c>
      <c r="K145" s="21" t="str">
        <f>VLOOKUP(C145,'[1]SHU 2023'!C$9:K$719,9,0)</f>
        <v>AKTIF</v>
      </c>
    </row>
    <row r="146" spans="1:11" x14ac:dyDescent="0.35">
      <c r="A146" s="22">
        <v>139</v>
      </c>
      <c r="B146" s="23" t="s">
        <v>345</v>
      </c>
      <c r="C146" s="24" t="s">
        <v>346</v>
      </c>
      <c r="D146" s="25" t="s">
        <v>20</v>
      </c>
      <c r="E146" s="26">
        <v>5000</v>
      </c>
      <c r="F146" s="26">
        <v>21845858</v>
      </c>
      <c r="G146" s="26">
        <v>0</v>
      </c>
      <c r="H146" s="26">
        <v>2361268.1257860912</v>
      </c>
      <c r="I146" s="26">
        <v>0</v>
      </c>
      <c r="J146" s="20">
        <f t="shared" si="2"/>
        <v>24212126.125786092</v>
      </c>
      <c r="K146" s="21" t="str">
        <f>VLOOKUP(C146,'[1]SHU 2023'!C$9:K$719,9,0)</f>
        <v>AKTIF</v>
      </c>
    </row>
    <row r="147" spans="1:11" x14ac:dyDescent="0.35">
      <c r="A147" s="22">
        <v>140</v>
      </c>
      <c r="B147" s="23" t="s">
        <v>347</v>
      </c>
      <c r="C147" s="24" t="s">
        <v>348</v>
      </c>
      <c r="D147" s="25" t="s">
        <v>349</v>
      </c>
      <c r="E147" s="26">
        <v>0</v>
      </c>
      <c r="F147" s="26">
        <v>0</v>
      </c>
      <c r="G147" s="26">
        <v>0</v>
      </c>
      <c r="H147" s="26">
        <v>99564</v>
      </c>
      <c r="I147" s="26">
        <v>0</v>
      </c>
      <c r="J147" s="20">
        <f t="shared" si="2"/>
        <v>99564</v>
      </c>
      <c r="K147" s="21" t="str">
        <f>VLOOKUP(C147,'[1]SHU 2023'!C$9:K$719,9,0)</f>
        <v>PASIF</v>
      </c>
    </row>
    <row r="148" spans="1:11" x14ac:dyDescent="0.35">
      <c r="A148" s="22">
        <v>141</v>
      </c>
      <c r="B148" s="23" t="s">
        <v>350</v>
      </c>
      <c r="C148" s="24" t="s">
        <v>351</v>
      </c>
      <c r="D148" s="25" t="s">
        <v>161</v>
      </c>
      <c r="E148" s="26">
        <v>0</v>
      </c>
      <c r="F148" s="26">
        <v>0</v>
      </c>
      <c r="G148" s="26">
        <v>0</v>
      </c>
      <c r="H148" s="26">
        <v>2164049</v>
      </c>
      <c r="I148" s="26">
        <v>0</v>
      </c>
      <c r="J148" s="20">
        <f t="shared" si="2"/>
        <v>2164049</v>
      </c>
      <c r="K148" s="21" t="str">
        <f>VLOOKUP(C148,'[1]SHU 2023'!C$9:K$719,9,0)</f>
        <v>PASIF</v>
      </c>
    </row>
    <row r="149" spans="1:11" x14ac:dyDescent="0.35">
      <c r="A149" s="22">
        <v>142</v>
      </c>
      <c r="B149" s="23" t="s">
        <v>352</v>
      </c>
      <c r="C149" s="24" t="s">
        <v>353</v>
      </c>
      <c r="D149" s="25" t="s">
        <v>25</v>
      </c>
      <c r="E149" s="26">
        <v>5000</v>
      </c>
      <c r="F149" s="26">
        <v>4425000</v>
      </c>
      <c r="G149" s="26">
        <v>0</v>
      </c>
      <c r="H149" s="26">
        <v>567722.78357366147</v>
      </c>
      <c r="I149" s="26">
        <v>0</v>
      </c>
      <c r="J149" s="20">
        <f t="shared" si="2"/>
        <v>4997722.783573661</v>
      </c>
      <c r="K149" s="21" t="str">
        <f>VLOOKUP(C149,'[1]SHU 2023'!C$9:K$719,9,0)</f>
        <v>PASIF</v>
      </c>
    </row>
    <row r="150" spans="1:11" x14ac:dyDescent="0.35">
      <c r="A150" s="22">
        <v>143</v>
      </c>
      <c r="B150" s="23" t="s">
        <v>354</v>
      </c>
      <c r="C150" s="24" t="s">
        <v>355</v>
      </c>
      <c r="D150" s="25" t="s">
        <v>131</v>
      </c>
      <c r="E150" s="26">
        <v>0</v>
      </c>
      <c r="F150" s="26">
        <v>-350000</v>
      </c>
      <c r="G150" s="26">
        <v>0</v>
      </c>
      <c r="H150" s="26">
        <v>233710.50319870003</v>
      </c>
      <c r="I150" s="26">
        <v>0</v>
      </c>
      <c r="J150" s="20">
        <f t="shared" si="2"/>
        <v>-116289.49680129997</v>
      </c>
      <c r="K150" s="21" t="str">
        <f>VLOOKUP(C150,'[1]SHU 2023'!C$9:K$719,9,0)</f>
        <v>BUKAN ANGGOTA</v>
      </c>
    </row>
    <row r="151" spans="1:11" x14ac:dyDescent="0.35">
      <c r="A151" s="22">
        <v>144</v>
      </c>
      <c r="B151" s="23" t="s">
        <v>356</v>
      </c>
      <c r="C151" s="24" t="s">
        <v>357</v>
      </c>
      <c r="D151" s="25" t="s">
        <v>66</v>
      </c>
      <c r="E151" s="26">
        <v>0</v>
      </c>
      <c r="F151" s="26">
        <v>250000</v>
      </c>
      <c r="G151" s="26">
        <v>0</v>
      </c>
      <c r="H151" s="26">
        <v>28633.09288087019</v>
      </c>
      <c r="I151" s="26">
        <v>0</v>
      </c>
      <c r="J151" s="20">
        <f t="shared" si="2"/>
        <v>278633.09288087022</v>
      </c>
      <c r="K151" s="21" t="str">
        <f>VLOOKUP(C151,'[1]SHU 2023'!C$9:K$719,9,0)</f>
        <v>PASIF</v>
      </c>
    </row>
    <row r="152" spans="1:11" x14ac:dyDescent="0.35">
      <c r="A152" s="22">
        <v>145</v>
      </c>
      <c r="B152" s="23" t="s">
        <v>358</v>
      </c>
      <c r="C152" s="24" t="s">
        <v>359</v>
      </c>
      <c r="D152" s="25" t="s">
        <v>20</v>
      </c>
      <c r="E152" s="26">
        <v>0</v>
      </c>
      <c r="F152" s="26">
        <v>0</v>
      </c>
      <c r="G152" s="26">
        <v>0</v>
      </c>
      <c r="H152" s="26">
        <v>81586.062944484394</v>
      </c>
      <c r="I152" s="26">
        <v>0</v>
      </c>
      <c r="J152" s="20">
        <f t="shared" si="2"/>
        <v>81586.062944484394</v>
      </c>
      <c r="K152" s="21" t="str">
        <f>VLOOKUP(C152,'[1]SHU 2023'!C$9:K$719,9,0)</f>
        <v>PASIF</v>
      </c>
    </row>
    <row r="153" spans="1:11" x14ac:dyDescent="0.35">
      <c r="A153" s="22">
        <v>146</v>
      </c>
      <c r="B153" s="23" t="s">
        <v>360</v>
      </c>
      <c r="C153" s="24" t="s">
        <v>361</v>
      </c>
      <c r="D153" s="25" t="s">
        <v>362</v>
      </c>
      <c r="E153" s="26">
        <v>5000</v>
      </c>
      <c r="F153" s="26">
        <v>55483869</v>
      </c>
      <c r="G153" s="26">
        <v>0</v>
      </c>
      <c r="H153" s="26">
        <v>9947618.8788878657</v>
      </c>
      <c r="I153" s="26">
        <v>0</v>
      </c>
      <c r="J153" s="20">
        <f t="shared" si="2"/>
        <v>65436487.878887862</v>
      </c>
      <c r="K153" s="21" t="str">
        <f>VLOOKUP(C153,'[1]SHU 2023'!C$9:K$719,9,0)</f>
        <v>AKTIF</v>
      </c>
    </row>
    <row r="154" spans="1:11" x14ac:dyDescent="0.35">
      <c r="A154" s="22">
        <v>147</v>
      </c>
      <c r="B154" s="23" t="s">
        <v>363</v>
      </c>
      <c r="C154" s="24" t="s">
        <v>364</v>
      </c>
      <c r="D154" s="25" t="s">
        <v>193</v>
      </c>
      <c r="E154" s="26">
        <v>5000</v>
      </c>
      <c r="F154" s="26">
        <v>16042646</v>
      </c>
      <c r="G154" s="26">
        <v>0</v>
      </c>
      <c r="H154" s="26">
        <v>2906244.3776191822</v>
      </c>
      <c r="I154" s="26">
        <v>0</v>
      </c>
      <c r="J154" s="20">
        <f t="shared" si="2"/>
        <v>18953890.377619181</v>
      </c>
      <c r="K154" s="21" t="str">
        <f>VLOOKUP(C154,'[1]SHU 2023'!C$9:K$719,9,0)</f>
        <v>AKTIF</v>
      </c>
    </row>
    <row r="155" spans="1:11" x14ac:dyDescent="0.35">
      <c r="A155" s="22">
        <v>148</v>
      </c>
      <c r="B155" s="23" t="s">
        <v>365</v>
      </c>
      <c r="C155" s="24" t="s">
        <v>366</v>
      </c>
      <c r="D155" s="25" t="s">
        <v>66</v>
      </c>
      <c r="E155" s="26">
        <v>0</v>
      </c>
      <c r="F155" s="26">
        <v>0</v>
      </c>
      <c r="G155" s="26">
        <v>0</v>
      </c>
      <c r="H155" s="26">
        <v>123468.72982518934</v>
      </c>
      <c r="I155" s="26">
        <v>0</v>
      </c>
      <c r="J155" s="20">
        <f t="shared" si="2"/>
        <v>123468.72982518934</v>
      </c>
      <c r="K155" s="21" t="str">
        <f>VLOOKUP(C155,'[1]SHU 2023'!C$9:K$719,9,0)</f>
        <v>PASIF</v>
      </c>
    </row>
    <row r="156" spans="1:11" x14ac:dyDescent="0.35">
      <c r="A156" s="22">
        <v>149</v>
      </c>
      <c r="B156" s="23" t="s">
        <v>367</v>
      </c>
      <c r="C156" s="24" t="s">
        <v>368</v>
      </c>
      <c r="D156" s="25" t="s">
        <v>369</v>
      </c>
      <c r="E156" s="26">
        <v>5000</v>
      </c>
      <c r="F156" s="26">
        <v>22885147</v>
      </c>
      <c r="G156" s="26">
        <v>565000</v>
      </c>
      <c r="H156" s="26">
        <v>8473635.678683091</v>
      </c>
      <c r="I156" s="26">
        <v>0</v>
      </c>
      <c r="J156" s="20">
        <f t="shared" si="2"/>
        <v>31928782.678683091</v>
      </c>
      <c r="K156" s="21" t="str">
        <f>VLOOKUP(C156,'[1]SHU 2023'!C$9:K$719,9,0)</f>
        <v>AKTIF</v>
      </c>
    </row>
    <row r="157" spans="1:11" x14ac:dyDescent="0.35">
      <c r="A157" s="22">
        <v>150</v>
      </c>
      <c r="B157" s="23" t="s">
        <v>370</v>
      </c>
      <c r="C157" s="24" t="s">
        <v>371</v>
      </c>
      <c r="D157" s="25" t="s">
        <v>372</v>
      </c>
      <c r="E157" s="26">
        <v>5000</v>
      </c>
      <c r="F157" s="26">
        <v>65091653</v>
      </c>
      <c r="G157" s="26">
        <v>95000</v>
      </c>
      <c r="H157" s="26">
        <v>2977349.295497274</v>
      </c>
      <c r="I157" s="26">
        <v>0</v>
      </c>
      <c r="J157" s="20">
        <f t="shared" si="2"/>
        <v>68169002.295497268</v>
      </c>
      <c r="K157" s="21" t="str">
        <f>VLOOKUP(C157,'[1]SHU 2023'!C$9:K$719,9,0)</f>
        <v>PASIF</v>
      </c>
    </row>
    <row r="158" spans="1:11" x14ac:dyDescent="0.35">
      <c r="A158" s="22">
        <v>151</v>
      </c>
      <c r="B158" s="23" t="s">
        <v>373</v>
      </c>
      <c r="C158" s="24" t="s">
        <v>374</v>
      </c>
      <c r="D158" s="25" t="s">
        <v>66</v>
      </c>
      <c r="E158" s="26">
        <v>5000</v>
      </c>
      <c r="F158" s="26">
        <v>53443284</v>
      </c>
      <c r="G158" s="26">
        <v>80000</v>
      </c>
      <c r="H158" s="26">
        <v>2737463.5668233968</v>
      </c>
      <c r="I158" s="26">
        <v>0</v>
      </c>
      <c r="J158" s="20">
        <f t="shared" si="2"/>
        <v>56265747.566823393</v>
      </c>
      <c r="K158" s="21" t="str">
        <f>VLOOKUP(C158,'[1]SHU 2023'!C$9:K$719,9,0)</f>
        <v>AKTIF</v>
      </c>
    </row>
    <row r="159" spans="1:11" x14ac:dyDescent="0.35">
      <c r="A159" s="22">
        <v>152</v>
      </c>
      <c r="B159" s="23" t="s">
        <v>375</v>
      </c>
      <c r="C159" s="24" t="s">
        <v>376</v>
      </c>
      <c r="D159" s="25" t="s">
        <v>66</v>
      </c>
      <c r="E159" s="26">
        <v>5000</v>
      </c>
      <c r="F159" s="26">
        <v>36500255</v>
      </c>
      <c r="G159" s="26">
        <v>0</v>
      </c>
      <c r="H159" s="26">
        <v>4392305.3089473685</v>
      </c>
      <c r="I159" s="26">
        <v>0</v>
      </c>
      <c r="J159" s="20">
        <f t="shared" si="2"/>
        <v>40897560.308947369</v>
      </c>
      <c r="K159" s="21" t="str">
        <f>VLOOKUP(C159,'[1]SHU 2023'!C$9:K$719,9,0)</f>
        <v>AKTIF</v>
      </c>
    </row>
    <row r="160" spans="1:11" x14ac:dyDescent="0.35">
      <c r="A160" s="22">
        <v>153</v>
      </c>
      <c r="B160" s="23" t="s">
        <v>377</v>
      </c>
      <c r="C160" s="24" t="s">
        <v>378</v>
      </c>
      <c r="D160" s="25" t="s">
        <v>362</v>
      </c>
      <c r="E160" s="26">
        <v>5000</v>
      </c>
      <c r="F160" s="26">
        <v>24056743</v>
      </c>
      <c r="G160" s="26">
        <v>1057500</v>
      </c>
      <c r="H160" s="26">
        <v>1337749.689573701</v>
      </c>
      <c r="I160" s="26">
        <v>0</v>
      </c>
      <c r="J160" s="20">
        <f t="shared" si="2"/>
        <v>26456992.689573701</v>
      </c>
      <c r="K160" s="21" t="str">
        <f>VLOOKUP(C160,'[1]SHU 2023'!C$9:K$719,9,0)</f>
        <v>AKTIF</v>
      </c>
    </row>
    <row r="161" spans="1:11" x14ac:dyDescent="0.35">
      <c r="A161" s="22">
        <v>154</v>
      </c>
      <c r="B161" s="23" t="s">
        <v>379</v>
      </c>
      <c r="C161" s="24" t="s">
        <v>380</v>
      </c>
      <c r="D161" s="25" t="s">
        <v>25</v>
      </c>
      <c r="E161" s="26">
        <v>0</v>
      </c>
      <c r="F161" s="26">
        <v>0</v>
      </c>
      <c r="G161" s="26">
        <v>0</v>
      </c>
      <c r="H161" s="26">
        <v>133176.56539770227</v>
      </c>
      <c r="I161" s="26">
        <v>0</v>
      </c>
      <c r="J161" s="20">
        <f t="shared" si="2"/>
        <v>133176.56539770227</v>
      </c>
      <c r="K161" s="21" t="s">
        <v>49</v>
      </c>
    </row>
    <row r="162" spans="1:11" x14ac:dyDescent="0.35">
      <c r="A162" s="22">
        <v>155</v>
      </c>
      <c r="B162" s="23" t="s">
        <v>381</v>
      </c>
      <c r="C162" s="24" t="s">
        <v>382</v>
      </c>
      <c r="D162" s="25" t="s">
        <v>92</v>
      </c>
      <c r="E162" s="26">
        <v>5000</v>
      </c>
      <c r="F162" s="26">
        <v>23892478</v>
      </c>
      <c r="G162" s="26">
        <v>0</v>
      </c>
      <c r="H162" s="26">
        <v>1194747.9861906462</v>
      </c>
      <c r="I162" s="26">
        <v>0</v>
      </c>
      <c r="J162" s="20">
        <f t="shared" si="2"/>
        <v>25092225.986190647</v>
      </c>
      <c r="K162" s="21" t="str">
        <f>VLOOKUP(C162,'[1]SHU 2023'!C$9:K$719,9,0)</f>
        <v>AKTIF</v>
      </c>
    </row>
    <row r="163" spans="1:11" x14ac:dyDescent="0.35">
      <c r="A163" s="22">
        <v>156</v>
      </c>
      <c r="B163" s="23" t="s">
        <v>383</v>
      </c>
      <c r="C163" s="24" t="s">
        <v>384</v>
      </c>
      <c r="D163" s="25" t="s">
        <v>28</v>
      </c>
      <c r="E163" s="26">
        <v>5000</v>
      </c>
      <c r="F163" s="26">
        <v>26399256</v>
      </c>
      <c r="G163" s="26">
        <v>604000</v>
      </c>
      <c r="H163" s="26">
        <v>2672491.4364167326</v>
      </c>
      <c r="I163" s="26">
        <v>0</v>
      </c>
      <c r="J163" s="20">
        <f t="shared" si="2"/>
        <v>29680747.436416734</v>
      </c>
      <c r="K163" s="21" t="str">
        <f>VLOOKUP(C163,'[1]SHU 2023'!C$9:K$719,9,0)</f>
        <v>AKTIF</v>
      </c>
    </row>
    <row r="164" spans="1:11" x14ac:dyDescent="0.35">
      <c r="A164" s="22">
        <v>157</v>
      </c>
      <c r="B164" s="23" t="s">
        <v>385</v>
      </c>
      <c r="C164" s="24" t="s">
        <v>386</v>
      </c>
      <c r="D164" s="25" t="s">
        <v>71</v>
      </c>
      <c r="E164" s="26">
        <v>5000</v>
      </c>
      <c r="F164" s="26">
        <v>900000</v>
      </c>
      <c r="G164" s="26">
        <v>0</v>
      </c>
      <c r="H164" s="26">
        <v>846346.49667994317</v>
      </c>
      <c r="I164" s="26">
        <v>0</v>
      </c>
      <c r="J164" s="20">
        <f t="shared" si="2"/>
        <v>1751346.4966799431</v>
      </c>
      <c r="K164" s="21" t="str">
        <f>VLOOKUP(C164,'[1]SHU 2023'!C$9:K$719,9,0)</f>
        <v>PASIF</v>
      </c>
    </row>
    <row r="165" spans="1:11" x14ac:dyDescent="0.35">
      <c r="A165" s="22">
        <v>158</v>
      </c>
      <c r="B165" s="23" t="s">
        <v>387</v>
      </c>
      <c r="C165" s="24" t="s">
        <v>388</v>
      </c>
      <c r="D165" s="25" t="s">
        <v>161</v>
      </c>
      <c r="E165" s="26">
        <v>0</v>
      </c>
      <c r="F165" s="26">
        <v>0</v>
      </c>
      <c r="G165" s="26">
        <v>0</v>
      </c>
      <c r="H165" s="26">
        <v>730532</v>
      </c>
      <c r="I165" s="26">
        <v>0</v>
      </c>
      <c r="J165" s="20">
        <f t="shared" si="2"/>
        <v>730532</v>
      </c>
      <c r="K165" s="21" t="str">
        <f>VLOOKUP(C165,'[1]SHU 2023'!C$9:K$719,9,0)</f>
        <v>PASIF</v>
      </c>
    </row>
    <row r="166" spans="1:11" x14ac:dyDescent="0.35">
      <c r="A166" s="22">
        <v>159</v>
      </c>
      <c r="B166" s="23" t="s">
        <v>389</v>
      </c>
      <c r="C166" s="24" t="s">
        <v>390</v>
      </c>
      <c r="D166" s="25" t="s">
        <v>262</v>
      </c>
      <c r="E166" s="26">
        <v>5000</v>
      </c>
      <c r="F166" s="26">
        <v>445000</v>
      </c>
      <c r="G166" s="26">
        <v>0</v>
      </c>
      <c r="H166" s="26">
        <v>837939.528243504</v>
      </c>
      <c r="I166" s="26">
        <v>0</v>
      </c>
      <c r="J166" s="20">
        <f t="shared" si="2"/>
        <v>1287939.528243504</v>
      </c>
      <c r="K166" s="21" t="str">
        <f>VLOOKUP(C166,'[1]SHU 2023'!C$9:K$719,9,0)</f>
        <v>PASIF</v>
      </c>
    </row>
    <row r="167" spans="1:11" x14ac:dyDescent="0.35">
      <c r="A167" s="22">
        <v>160</v>
      </c>
      <c r="B167" s="23" t="s">
        <v>391</v>
      </c>
      <c r="C167" s="24" t="s">
        <v>392</v>
      </c>
      <c r="D167" s="25" t="s">
        <v>39</v>
      </c>
      <c r="E167" s="26">
        <v>5000</v>
      </c>
      <c r="F167" s="26">
        <v>18759933</v>
      </c>
      <c r="G167" s="26">
        <v>0</v>
      </c>
      <c r="H167" s="26">
        <v>3730362.3276958694</v>
      </c>
      <c r="I167" s="26">
        <v>0</v>
      </c>
      <c r="J167" s="20">
        <f t="shared" si="2"/>
        <v>22495295.327695869</v>
      </c>
      <c r="K167" s="21" t="str">
        <f>VLOOKUP(C167,'[1]SHU 2023'!C$9:K$719,9,0)</f>
        <v>AKTIF</v>
      </c>
    </row>
    <row r="168" spans="1:11" x14ac:dyDescent="0.35">
      <c r="A168" s="22">
        <v>161</v>
      </c>
      <c r="B168" s="23" t="s">
        <v>393</v>
      </c>
      <c r="C168" s="24" t="s">
        <v>394</v>
      </c>
      <c r="D168" s="25" t="s">
        <v>92</v>
      </c>
      <c r="E168" s="26">
        <v>5000</v>
      </c>
      <c r="F168" s="26">
        <v>22440323</v>
      </c>
      <c r="G168" s="26">
        <v>285000</v>
      </c>
      <c r="H168" s="26">
        <v>1554610.8695744595</v>
      </c>
      <c r="I168" s="26">
        <v>0</v>
      </c>
      <c r="J168" s="20">
        <f t="shared" si="2"/>
        <v>24284933.869574461</v>
      </c>
      <c r="K168" s="21" t="str">
        <f>VLOOKUP(C168,'[1]SHU 2023'!C$9:K$719,9,0)</f>
        <v>AKTIF</v>
      </c>
    </row>
    <row r="169" spans="1:11" x14ac:dyDescent="0.35">
      <c r="A169" s="22">
        <v>162</v>
      </c>
      <c r="B169" s="23" t="s">
        <v>395</v>
      </c>
      <c r="C169" s="24" t="s">
        <v>396</v>
      </c>
      <c r="D169" s="25" t="s">
        <v>34</v>
      </c>
      <c r="E169" s="26">
        <v>0</v>
      </c>
      <c r="F169" s="26">
        <v>0</v>
      </c>
      <c r="G169" s="26">
        <v>0</v>
      </c>
      <c r="H169" s="26">
        <v>7.8257893910631537E-3</v>
      </c>
      <c r="I169" s="26">
        <v>0</v>
      </c>
      <c r="J169" s="20">
        <f t="shared" si="2"/>
        <v>7.8257893910631537E-3</v>
      </c>
      <c r="K169" s="21" t="str">
        <f>VLOOKUP(C169,'[1]SHU 2023'!C$9:K$719,9,0)</f>
        <v>PASIF</v>
      </c>
    </row>
    <row r="170" spans="1:11" x14ac:dyDescent="0.35">
      <c r="A170" s="22">
        <v>163</v>
      </c>
      <c r="B170" s="23" t="s">
        <v>397</v>
      </c>
      <c r="C170" s="24" t="s">
        <v>398</v>
      </c>
      <c r="D170" s="25" t="s">
        <v>298</v>
      </c>
      <c r="E170" s="26">
        <v>0</v>
      </c>
      <c r="F170" s="26">
        <v>0</v>
      </c>
      <c r="G170" s="26">
        <v>0</v>
      </c>
      <c r="H170" s="26">
        <v>42436.955274735577</v>
      </c>
      <c r="I170" s="26">
        <v>0</v>
      </c>
      <c r="J170" s="20">
        <f t="shared" si="2"/>
        <v>42436.955274735577</v>
      </c>
      <c r="K170" s="21" t="str">
        <f>VLOOKUP(C170,'[1]SHU 2023'!C$9:K$719,9,0)</f>
        <v>PASIF</v>
      </c>
    </row>
    <row r="171" spans="1:11" x14ac:dyDescent="0.35">
      <c r="A171" s="22">
        <v>164</v>
      </c>
      <c r="B171" s="23" t="s">
        <v>399</v>
      </c>
      <c r="C171" s="24" t="s">
        <v>400</v>
      </c>
      <c r="D171" s="25" t="s">
        <v>401</v>
      </c>
      <c r="E171" s="26">
        <v>0</v>
      </c>
      <c r="F171" s="26">
        <v>0</v>
      </c>
      <c r="G171" s="26">
        <v>0</v>
      </c>
      <c r="H171" s="26">
        <v>-1.5664167702198029E-2</v>
      </c>
      <c r="I171" s="26">
        <v>0</v>
      </c>
      <c r="J171" s="20">
        <f t="shared" si="2"/>
        <v>-1.5664167702198029E-2</v>
      </c>
      <c r="K171" s="21" t="s">
        <v>49</v>
      </c>
    </row>
    <row r="172" spans="1:11" x14ac:dyDescent="0.35">
      <c r="A172" s="22">
        <v>165</v>
      </c>
      <c r="B172" s="23" t="s">
        <v>402</v>
      </c>
      <c r="C172" s="24" t="s">
        <v>403</v>
      </c>
      <c r="D172" s="25" t="s">
        <v>193</v>
      </c>
      <c r="E172" s="26">
        <v>5000</v>
      </c>
      <c r="F172" s="26">
        <v>28825000</v>
      </c>
      <c r="G172" s="26">
        <v>0</v>
      </c>
      <c r="H172" s="26">
        <v>5148806.6949621728</v>
      </c>
      <c r="I172" s="26">
        <v>0</v>
      </c>
      <c r="J172" s="20">
        <f t="shared" si="2"/>
        <v>33978806.694962174</v>
      </c>
      <c r="K172" s="21" t="str">
        <f>VLOOKUP(C172,'[1]SHU 2023'!C$9:K$719,9,0)</f>
        <v>AKTIF</v>
      </c>
    </row>
    <row r="173" spans="1:11" x14ac:dyDescent="0.35">
      <c r="A173" s="22">
        <v>166</v>
      </c>
      <c r="B173" s="23" t="s">
        <v>404</v>
      </c>
      <c r="C173" s="24" t="s">
        <v>405</v>
      </c>
      <c r="D173" s="25" t="s">
        <v>31</v>
      </c>
      <c r="E173" s="26">
        <v>5000</v>
      </c>
      <c r="F173" s="26">
        <v>44528397</v>
      </c>
      <c r="G173" s="26">
        <v>854000</v>
      </c>
      <c r="H173" s="26">
        <v>4186156.2556903339</v>
      </c>
      <c r="I173" s="26">
        <v>0</v>
      </c>
      <c r="J173" s="20">
        <f t="shared" si="2"/>
        <v>49573553.255690336</v>
      </c>
      <c r="K173" s="21" t="str">
        <f>VLOOKUP(C173,'[1]SHU 2023'!C$9:K$719,9,0)</f>
        <v>AKTIF</v>
      </c>
    </row>
    <row r="174" spans="1:11" x14ac:dyDescent="0.35">
      <c r="A174" s="22">
        <v>167</v>
      </c>
      <c r="B174" s="23" t="s">
        <v>406</v>
      </c>
      <c r="C174" s="24" t="s">
        <v>407</v>
      </c>
      <c r="D174" s="25" t="s">
        <v>71</v>
      </c>
      <c r="E174" s="26">
        <v>0</v>
      </c>
      <c r="F174" s="26">
        <v>150000</v>
      </c>
      <c r="G174" s="26">
        <v>0</v>
      </c>
      <c r="H174" s="26">
        <v>1666022</v>
      </c>
      <c r="I174" s="26">
        <v>0</v>
      </c>
      <c r="J174" s="20">
        <f t="shared" si="2"/>
        <v>1816022</v>
      </c>
      <c r="K174" s="21" t="str">
        <f>VLOOKUP(C174,'[1]SHU 2023'!C$9:K$719,9,0)</f>
        <v>PASIF</v>
      </c>
    </row>
    <row r="175" spans="1:11" x14ac:dyDescent="0.35">
      <c r="A175" s="22">
        <v>168</v>
      </c>
      <c r="B175" s="23" t="s">
        <v>408</v>
      </c>
      <c r="C175" s="24" t="s">
        <v>409</v>
      </c>
      <c r="D175" s="25" t="s">
        <v>196</v>
      </c>
      <c r="E175" s="26">
        <v>5000</v>
      </c>
      <c r="F175" s="26">
        <v>60000</v>
      </c>
      <c r="G175" s="26">
        <v>0</v>
      </c>
      <c r="H175" s="26">
        <v>243547.11421256041</v>
      </c>
      <c r="I175" s="26">
        <v>0</v>
      </c>
      <c r="J175" s="20">
        <f t="shared" si="2"/>
        <v>308547.11421256041</v>
      </c>
      <c r="K175" s="21" t="str">
        <f>VLOOKUP(C175,'[1]SHU 2023'!C$9:K$719,9,0)</f>
        <v>PASIF</v>
      </c>
    </row>
    <row r="176" spans="1:11" x14ac:dyDescent="0.35">
      <c r="A176" s="22">
        <v>169</v>
      </c>
      <c r="B176" s="23" t="s">
        <v>410</v>
      </c>
      <c r="C176" s="24" t="s">
        <v>411</v>
      </c>
      <c r="D176" s="25" t="s">
        <v>313</v>
      </c>
      <c r="E176" s="26">
        <v>0</v>
      </c>
      <c r="F176" s="26">
        <v>0</v>
      </c>
      <c r="G176" s="26">
        <v>0</v>
      </c>
      <c r="H176" s="26">
        <v>29551.507354009897</v>
      </c>
      <c r="I176" s="26">
        <v>0</v>
      </c>
      <c r="J176" s="20">
        <f t="shared" si="2"/>
        <v>29551.507354009897</v>
      </c>
      <c r="K176" s="21" t="str">
        <f>VLOOKUP(C176,'[1]SHU 2023'!C$9:K$719,9,0)</f>
        <v>PASIF</v>
      </c>
    </row>
    <row r="177" spans="1:11" x14ac:dyDescent="0.35">
      <c r="A177" s="22">
        <v>170</v>
      </c>
      <c r="B177" s="23" t="s">
        <v>412</v>
      </c>
      <c r="C177" s="24" t="s">
        <v>413</v>
      </c>
      <c r="D177" s="25" t="s">
        <v>139</v>
      </c>
      <c r="E177" s="26">
        <v>5000</v>
      </c>
      <c r="F177" s="26">
        <v>370000</v>
      </c>
      <c r="G177" s="26">
        <v>0</v>
      </c>
      <c r="H177" s="26">
        <v>188890.36834059638</v>
      </c>
      <c r="I177" s="26">
        <v>0</v>
      </c>
      <c r="J177" s="20">
        <f t="shared" si="2"/>
        <v>563890.36834059632</v>
      </c>
      <c r="K177" s="21" t="str">
        <f>VLOOKUP(C177,'[1]SHU 2023'!C$9:K$719,9,0)</f>
        <v>PASIF</v>
      </c>
    </row>
    <row r="178" spans="1:11" x14ac:dyDescent="0.35">
      <c r="A178" s="22">
        <v>171</v>
      </c>
      <c r="B178" s="23" t="s">
        <v>414</v>
      </c>
      <c r="C178" s="24" t="s">
        <v>415</v>
      </c>
      <c r="D178" s="25" t="s">
        <v>161</v>
      </c>
      <c r="E178" s="26">
        <v>0</v>
      </c>
      <c r="F178" s="26">
        <v>0</v>
      </c>
      <c r="G178" s="26">
        <v>0</v>
      </c>
      <c r="H178" s="26">
        <v>149367.22233193927</v>
      </c>
      <c r="I178" s="26">
        <v>0</v>
      </c>
      <c r="J178" s="20">
        <f t="shared" si="2"/>
        <v>149367.22233193927</v>
      </c>
      <c r="K178" s="21" t="str">
        <f>VLOOKUP(C178,'[1]SHU 2023'!C$9:K$719,9,0)</f>
        <v>BUKAN ANGGOTA</v>
      </c>
    </row>
    <row r="179" spans="1:11" x14ac:dyDescent="0.35">
      <c r="A179" s="22">
        <v>172</v>
      </c>
      <c r="B179" s="23" t="s">
        <v>416</v>
      </c>
      <c r="C179" s="24" t="s">
        <v>417</v>
      </c>
      <c r="D179" s="25" t="s">
        <v>131</v>
      </c>
      <c r="E179" s="26">
        <v>250000</v>
      </c>
      <c r="F179" s="26">
        <v>2250000</v>
      </c>
      <c r="G179" s="26">
        <v>500000</v>
      </c>
      <c r="H179" s="26">
        <v>424633.31742439058</v>
      </c>
      <c r="I179" s="26">
        <v>0</v>
      </c>
      <c r="J179" s="20">
        <f t="shared" si="2"/>
        <v>3424633.3174243905</v>
      </c>
      <c r="K179" s="21" t="str">
        <f>VLOOKUP(C179,'[1]SHU 2023'!C$9:K$719,9,0)</f>
        <v>BUKAN ANGGOTA</v>
      </c>
    </row>
    <row r="180" spans="1:11" x14ac:dyDescent="0.35">
      <c r="A180" s="22">
        <v>173</v>
      </c>
      <c r="B180" s="23" t="s">
        <v>418</v>
      </c>
      <c r="C180" s="24" t="s">
        <v>419</v>
      </c>
      <c r="D180" s="25" t="s">
        <v>131</v>
      </c>
      <c r="E180" s="26">
        <v>0</v>
      </c>
      <c r="F180" s="26">
        <v>0</v>
      </c>
      <c r="G180" s="26">
        <v>0</v>
      </c>
      <c r="H180" s="26">
        <v>103178.31333626714</v>
      </c>
      <c r="I180" s="26">
        <v>0</v>
      </c>
      <c r="J180" s="20">
        <f t="shared" si="2"/>
        <v>103178.31333626714</v>
      </c>
      <c r="K180" s="21" t="str">
        <f>VLOOKUP(C180,'[1]SHU 2023'!C$9:K$719,9,0)</f>
        <v>PASIF</v>
      </c>
    </row>
    <row r="181" spans="1:11" x14ac:dyDescent="0.35">
      <c r="A181" s="22">
        <v>174</v>
      </c>
      <c r="B181" s="23" t="s">
        <v>420</v>
      </c>
      <c r="C181" s="24" t="s">
        <v>421</v>
      </c>
      <c r="D181" s="25" t="s">
        <v>262</v>
      </c>
      <c r="E181" s="26">
        <v>5000</v>
      </c>
      <c r="F181" s="26">
        <v>1877980</v>
      </c>
      <c r="G181" s="26">
        <v>0</v>
      </c>
      <c r="H181" s="26">
        <v>1808479.0406660917</v>
      </c>
      <c r="I181" s="26">
        <v>0</v>
      </c>
      <c r="J181" s="20">
        <f t="shared" si="2"/>
        <v>3691459.0406660917</v>
      </c>
      <c r="K181" s="21" t="str">
        <f>VLOOKUP(C181,'[1]SHU 2023'!C$9:K$719,9,0)</f>
        <v>PASIF</v>
      </c>
    </row>
    <row r="182" spans="1:11" x14ac:dyDescent="0.35">
      <c r="A182" s="22">
        <v>175</v>
      </c>
      <c r="B182" s="23" t="s">
        <v>422</v>
      </c>
      <c r="C182" s="24" t="s">
        <v>423</v>
      </c>
      <c r="D182" s="25" t="s">
        <v>424</v>
      </c>
      <c r="E182" s="26">
        <v>0</v>
      </c>
      <c r="F182" s="26">
        <v>150000</v>
      </c>
      <c r="G182" s="26">
        <v>0</v>
      </c>
      <c r="H182" s="26">
        <v>84064.01941739209</v>
      </c>
      <c r="I182" s="26">
        <v>0</v>
      </c>
      <c r="J182" s="20">
        <f t="shared" si="2"/>
        <v>234064.01941739209</v>
      </c>
      <c r="K182" s="21" t="str">
        <f>VLOOKUP(C182,'[1]SHU 2023'!C$9:K$719,9,0)</f>
        <v>PASIF</v>
      </c>
    </row>
    <row r="183" spans="1:11" x14ac:dyDescent="0.35">
      <c r="A183" s="22">
        <v>176</v>
      </c>
      <c r="B183" s="23" t="s">
        <v>425</v>
      </c>
      <c r="C183" s="24" t="s">
        <v>426</v>
      </c>
      <c r="D183" s="25" t="s">
        <v>92</v>
      </c>
      <c r="E183" s="26">
        <v>0</v>
      </c>
      <c r="F183" s="26">
        <v>0</v>
      </c>
      <c r="G183" s="26">
        <v>0</v>
      </c>
      <c r="H183" s="26">
        <v>-5.1250097341835499E-2</v>
      </c>
      <c r="I183" s="26">
        <v>0</v>
      </c>
      <c r="J183" s="20">
        <f t="shared" si="2"/>
        <v>-5.1250097341835499E-2</v>
      </c>
      <c r="K183" s="21" t="s">
        <v>49</v>
      </c>
    </row>
    <row r="184" spans="1:11" x14ac:dyDescent="0.35">
      <c r="A184" s="22">
        <v>177</v>
      </c>
      <c r="B184" s="23" t="s">
        <v>427</v>
      </c>
      <c r="C184" s="24" t="s">
        <v>428</v>
      </c>
      <c r="D184" s="25" t="s">
        <v>102</v>
      </c>
      <c r="E184" s="26">
        <v>5000</v>
      </c>
      <c r="F184" s="26">
        <v>25242036</v>
      </c>
      <c r="G184" s="26">
        <v>220000</v>
      </c>
      <c r="H184" s="26">
        <v>3975625.3373103444</v>
      </c>
      <c r="I184" s="26">
        <v>0</v>
      </c>
      <c r="J184" s="20">
        <f t="shared" si="2"/>
        <v>29442661.337310344</v>
      </c>
      <c r="K184" s="21" t="str">
        <f>VLOOKUP(C184,'[1]SHU 2023'!C$9:K$719,9,0)</f>
        <v>AKTIF</v>
      </c>
    </row>
    <row r="185" spans="1:11" x14ac:dyDescent="0.35">
      <c r="A185" s="22">
        <v>178</v>
      </c>
      <c r="B185" s="23" t="s">
        <v>429</v>
      </c>
      <c r="C185" s="24" t="s">
        <v>430</v>
      </c>
      <c r="D185" s="25" t="s">
        <v>71</v>
      </c>
      <c r="E185" s="26">
        <v>0</v>
      </c>
      <c r="F185" s="26">
        <v>0</v>
      </c>
      <c r="G185" s="26">
        <v>0</v>
      </c>
      <c r="H185" s="26">
        <v>859479</v>
      </c>
      <c r="I185" s="26">
        <v>0</v>
      </c>
      <c r="J185" s="20">
        <f t="shared" si="2"/>
        <v>859479</v>
      </c>
      <c r="K185" s="21" t="str">
        <f>VLOOKUP(C185,'[1]SHU 2023'!C$9:K$719,9,0)</f>
        <v>PASIF</v>
      </c>
    </row>
    <row r="186" spans="1:11" x14ac:dyDescent="0.35">
      <c r="A186" s="22">
        <v>179</v>
      </c>
      <c r="B186" s="23" t="s">
        <v>431</v>
      </c>
      <c r="C186" s="24" t="s">
        <v>432</v>
      </c>
      <c r="D186" s="25" t="s">
        <v>193</v>
      </c>
      <c r="E186" s="26">
        <v>5000</v>
      </c>
      <c r="F186" s="26">
        <v>13750000</v>
      </c>
      <c r="G186" s="26">
        <v>0</v>
      </c>
      <c r="H186" s="26">
        <v>4140700</v>
      </c>
      <c r="I186" s="26">
        <v>0</v>
      </c>
      <c r="J186" s="20">
        <f t="shared" si="2"/>
        <v>17895700</v>
      </c>
      <c r="K186" s="21" t="str">
        <f>VLOOKUP(C186,'[1]SHU 2023'!C$9:K$719,9,0)</f>
        <v>PASIF</v>
      </c>
    </row>
    <row r="187" spans="1:11" x14ac:dyDescent="0.35">
      <c r="A187" s="22">
        <v>180</v>
      </c>
      <c r="B187" s="23" t="s">
        <v>433</v>
      </c>
      <c r="C187" s="24" t="s">
        <v>434</v>
      </c>
      <c r="D187" s="25" t="s">
        <v>48</v>
      </c>
      <c r="E187" s="26">
        <v>0</v>
      </c>
      <c r="F187" s="26">
        <v>0</v>
      </c>
      <c r="G187" s="26">
        <v>0</v>
      </c>
      <c r="H187" s="26">
        <v>-0.47863239608705044</v>
      </c>
      <c r="I187" s="26">
        <v>0</v>
      </c>
      <c r="J187" s="20">
        <f t="shared" si="2"/>
        <v>-0.47863239608705044</v>
      </c>
      <c r="K187" s="21" t="s">
        <v>49</v>
      </c>
    </row>
    <row r="188" spans="1:11" x14ac:dyDescent="0.35">
      <c r="A188" s="22">
        <v>181</v>
      </c>
      <c r="B188" s="23" t="s">
        <v>435</v>
      </c>
      <c r="C188" s="24" t="s">
        <v>436</v>
      </c>
      <c r="D188" s="25" t="s">
        <v>28</v>
      </c>
      <c r="E188" s="26">
        <v>5000</v>
      </c>
      <c r="F188" s="26">
        <v>21095858</v>
      </c>
      <c r="G188" s="26">
        <v>880000</v>
      </c>
      <c r="H188" s="26">
        <v>2590649.5204737359</v>
      </c>
      <c r="I188" s="26">
        <v>0</v>
      </c>
      <c r="J188" s="20">
        <f t="shared" si="2"/>
        <v>24571507.520473737</v>
      </c>
      <c r="K188" s="21" t="str">
        <f>VLOOKUP(C188,'[1]SHU 2023'!C$9:K$719,9,0)</f>
        <v>AKTIF</v>
      </c>
    </row>
    <row r="189" spans="1:11" x14ac:dyDescent="0.35">
      <c r="A189" s="22">
        <v>182</v>
      </c>
      <c r="B189" s="23" t="s">
        <v>437</v>
      </c>
      <c r="C189" s="24" t="s">
        <v>438</v>
      </c>
      <c r="D189" s="25" t="s">
        <v>66</v>
      </c>
      <c r="E189" s="26">
        <v>5000</v>
      </c>
      <c r="F189" s="26">
        <v>45192947</v>
      </c>
      <c r="G189" s="26">
        <v>30000</v>
      </c>
      <c r="H189" s="26">
        <v>4251986.876615366</v>
      </c>
      <c r="I189" s="26">
        <v>0</v>
      </c>
      <c r="J189" s="20">
        <f t="shared" si="2"/>
        <v>49479933.876615368</v>
      </c>
      <c r="K189" s="21" t="str">
        <f>VLOOKUP(C189,'[1]SHU 2023'!C$9:K$719,9,0)</f>
        <v>AKTIF</v>
      </c>
    </row>
    <row r="190" spans="1:11" x14ac:dyDescent="0.35">
      <c r="A190" s="22">
        <v>183</v>
      </c>
      <c r="B190" s="23" t="s">
        <v>439</v>
      </c>
      <c r="C190" s="24" t="s">
        <v>440</v>
      </c>
      <c r="D190" s="25" t="s">
        <v>441</v>
      </c>
      <c r="E190" s="26">
        <v>0</v>
      </c>
      <c r="F190" s="26">
        <v>0</v>
      </c>
      <c r="G190" s="26">
        <v>0</v>
      </c>
      <c r="H190" s="26">
        <v>0.13584585255011916</v>
      </c>
      <c r="I190" s="26">
        <v>0</v>
      </c>
      <c r="J190" s="20">
        <f t="shared" si="2"/>
        <v>0.13584585255011916</v>
      </c>
      <c r="K190" s="21" t="s">
        <v>49</v>
      </c>
    </row>
    <row r="191" spans="1:11" x14ac:dyDescent="0.35">
      <c r="A191" s="22">
        <v>184</v>
      </c>
      <c r="B191" s="23" t="s">
        <v>442</v>
      </c>
      <c r="C191" s="24" t="s">
        <v>443</v>
      </c>
      <c r="D191" s="25" t="s">
        <v>131</v>
      </c>
      <c r="E191" s="26">
        <v>0</v>
      </c>
      <c r="F191" s="26">
        <v>0</v>
      </c>
      <c r="G191" s="26">
        <v>0</v>
      </c>
      <c r="H191" s="26">
        <v>279251.14011344267</v>
      </c>
      <c r="I191" s="26">
        <v>0</v>
      </c>
      <c r="J191" s="20">
        <f t="shared" si="2"/>
        <v>279251.14011344267</v>
      </c>
      <c r="K191" s="21" t="str">
        <f>VLOOKUP(C191,'[1]SHU 2023'!C$9:K$719,9,0)</f>
        <v>PASIF</v>
      </c>
    </row>
    <row r="192" spans="1:11" x14ac:dyDescent="0.35">
      <c r="A192" s="22">
        <v>185</v>
      </c>
      <c r="B192" s="23" t="s">
        <v>444</v>
      </c>
      <c r="C192" s="24" t="s">
        <v>445</v>
      </c>
      <c r="D192" s="25" t="s">
        <v>233</v>
      </c>
      <c r="E192" s="26">
        <v>5000</v>
      </c>
      <c r="F192" s="26">
        <v>41697316</v>
      </c>
      <c r="G192" s="26">
        <v>1125000</v>
      </c>
      <c r="H192" s="26">
        <v>5871373.6705754716</v>
      </c>
      <c r="I192" s="26">
        <v>0</v>
      </c>
      <c r="J192" s="20">
        <f t="shared" si="2"/>
        <v>48698689.67057547</v>
      </c>
      <c r="K192" s="21" t="str">
        <f>VLOOKUP(C192,'[1]SHU 2023'!C$9:K$719,9,0)</f>
        <v>AKTIF</v>
      </c>
    </row>
    <row r="193" spans="1:11" x14ac:dyDescent="0.35">
      <c r="A193" s="22">
        <v>186</v>
      </c>
      <c r="B193" s="23" t="s">
        <v>446</v>
      </c>
      <c r="C193" s="24" t="s">
        <v>447</v>
      </c>
      <c r="D193" s="25" t="s">
        <v>298</v>
      </c>
      <c r="E193" s="26">
        <v>5000</v>
      </c>
      <c r="F193" s="26">
        <v>30687151</v>
      </c>
      <c r="G193" s="26">
        <v>2196000</v>
      </c>
      <c r="H193" s="26">
        <v>6466856.8555260664</v>
      </c>
      <c r="I193" s="26">
        <v>0</v>
      </c>
      <c r="J193" s="20">
        <f t="shared" si="2"/>
        <v>39355007.855526067</v>
      </c>
      <c r="K193" s="21" t="str">
        <f>VLOOKUP(C193,'[1]SHU 2023'!C$9:K$719,9,0)</f>
        <v>AKTIF</v>
      </c>
    </row>
    <row r="194" spans="1:11" x14ac:dyDescent="0.35">
      <c r="A194" s="22">
        <v>187</v>
      </c>
      <c r="B194" s="23" t="s">
        <v>448</v>
      </c>
      <c r="C194" s="24" t="s">
        <v>449</v>
      </c>
      <c r="D194" s="25" t="s">
        <v>77</v>
      </c>
      <c r="E194" s="26">
        <v>5000</v>
      </c>
      <c r="F194" s="26">
        <v>22739393</v>
      </c>
      <c r="G194" s="26">
        <v>200000</v>
      </c>
      <c r="H194" s="26">
        <v>8112913.1270996975</v>
      </c>
      <c r="I194" s="26">
        <v>0</v>
      </c>
      <c r="J194" s="20">
        <f t="shared" si="2"/>
        <v>31057306.127099697</v>
      </c>
      <c r="K194" s="21" t="str">
        <f>VLOOKUP(C194,'[1]SHU 2023'!C$9:K$719,9,0)</f>
        <v>AKTIF</v>
      </c>
    </row>
    <row r="195" spans="1:11" x14ac:dyDescent="0.35">
      <c r="A195" s="22">
        <v>188</v>
      </c>
      <c r="B195" s="23" t="s">
        <v>450</v>
      </c>
      <c r="C195" s="24" t="s">
        <v>451</v>
      </c>
      <c r="D195" s="25" t="s">
        <v>452</v>
      </c>
      <c r="E195" s="26">
        <v>0</v>
      </c>
      <c r="F195" s="26">
        <v>0</v>
      </c>
      <c r="G195" s="26">
        <v>0</v>
      </c>
      <c r="H195" s="26">
        <v>-0.38342398218810558</v>
      </c>
      <c r="I195" s="26">
        <v>0</v>
      </c>
      <c r="J195" s="20">
        <f t="shared" si="2"/>
        <v>-0.38342398218810558</v>
      </c>
      <c r="K195" s="21" t="s">
        <v>49</v>
      </c>
    </row>
    <row r="196" spans="1:11" x14ac:dyDescent="0.35">
      <c r="A196" s="22">
        <v>189</v>
      </c>
      <c r="B196" s="23" t="s">
        <v>453</v>
      </c>
      <c r="C196" s="24" t="s">
        <v>454</v>
      </c>
      <c r="D196" s="25" t="s">
        <v>102</v>
      </c>
      <c r="E196" s="26">
        <v>5000</v>
      </c>
      <c r="F196" s="26">
        <v>34526249</v>
      </c>
      <c r="G196" s="26">
        <v>1050000</v>
      </c>
      <c r="H196" s="26">
        <v>2363296.1682330603</v>
      </c>
      <c r="I196" s="26">
        <v>0</v>
      </c>
      <c r="J196" s="20">
        <f t="shared" si="2"/>
        <v>37944545.168233059</v>
      </c>
      <c r="K196" s="21" t="str">
        <f>VLOOKUP(C196,'[1]SHU 2023'!C$9:K$719,9,0)</f>
        <v>AKTIF</v>
      </c>
    </row>
    <row r="197" spans="1:11" x14ac:dyDescent="0.35">
      <c r="A197" s="22">
        <v>190</v>
      </c>
      <c r="B197" s="23" t="s">
        <v>455</v>
      </c>
      <c r="C197" s="24" t="s">
        <v>456</v>
      </c>
      <c r="D197" s="25" t="s">
        <v>89</v>
      </c>
      <c r="E197" s="26">
        <v>5000</v>
      </c>
      <c r="F197" s="26">
        <v>31047025</v>
      </c>
      <c r="G197" s="26">
        <v>0</v>
      </c>
      <c r="H197" s="26">
        <v>12220289.760292934</v>
      </c>
      <c r="I197" s="26">
        <v>0</v>
      </c>
      <c r="J197" s="20">
        <f t="shared" si="2"/>
        <v>43272314.760292932</v>
      </c>
      <c r="K197" s="21" t="str">
        <f>VLOOKUP(C197,'[1]SHU 2023'!C$9:K$719,9,0)</f>
        <v>AKTIF</v>
      </c>
    </row>
    <row r="198" spans="1:11" x14ac:dyDescent="0.35">
      <c r="A198" s="22">
        <v>191</v>
      </c>
      <c r="B198" s="23" t="s">
        <v>457</v>
      </c>
      <c r="C198" s="24" t="s">
        <v>458</v>
      </c>
      <c r="D198" s="25" t="s">
        <v>34</v>
      </c>
      <c r="E198" s="26">
        <v>0</v>
      </c>
      <c r="F198" s="26">
        <v>250000</v>
      </c>
      <c r="G198" s="26">
        <v>0</v>
      </c>
      <c r="H198" s="26">
        <v>394969.28762412979</v>
      </c>
      <c r="I198" s="26">
        <v>0</v>
      </c>
      <c r="J198" s="20">
        <f t="shared" si="2"/>
        <v>644969.28762412979</v>
      </c>
      <c r="K198" s="21" t="str">
        <f>VLOOKUP(C198,'[1]SHU 2023'!C$9:K$719,9,0)</f>
        <v>PASIF</v>
      </c>
    </row>
    <row r="199" spans="1:11" x14ac:dyDescent="0.35">
      <c r="A199" s="22">
        <v>192</v>
      </c>
      <c r="B199" s="23" t="s">
        <v>459</v>
      </c>
      <c r="C199" s="24" t="s">
        <v>460</v>
      </c>
      <c r="D199" s="25" t="s">
        <v>193</v>
      </c>
      <c r="E199" s="26">
        <v>5000</v>
      </c>
      <c r="F199" s="26">
        <v>14325000</v>
      </c>
      <c r="G199" s="26">
        <v>0</v>
      </c>
      <c r="H199" s="26">
        <v>4781035.2108760495</v>
      </c>
      <c r="I199" s="26">
        <v>0</v>
      </c>
      <c r="J199" s="20">
        <f t="shared" si="2"/>
        <v>19111035.210876048</v>
      </c>
      <c r="K199" s="21" t="str">
        <f>VLOOKUP(C199,'[1]SHU 2023'!C$9:K$719,9,0)</f>
        <v>AKTIF</v>
      </c>
    </row>
    <row r="200" spans="1:11" x14ac:dyDescent="0.35">
      <c r="A200" s="22">
        <v>193</v>
      </c>
      <c r="B200" s="23" t="s">
        <v>461</v>
      </c>
      <c r="C200" s="24" t="s">
        <v>462</v>
      </c>
      <c r="D200" s="25" t="s">
        <v>123</v>
      </c>
      <c r="E200" s="26">
        <v>0</v>
      </c>
      <c r="F200" s="26">
        <v>14250000</v>
      </c>
      <c r="G200" s="26">
        <v>440000</v>
      </c>
      <c r="H200" s="26">
        <v>483596.85850545147</v>
      </c>
      <c r="I200" s="26">
        <v>0</v>
      </c>
      <c r="J200" s="20">
        <f t="shared" si="2"/>
        <v>15173596.858505452</v>
      </c>
      <c r="K200" s="21" t="str">
        <f>VLOOKUP(C200,'[1]SHU 2023'!C$9:K$719,9,0)</f>
        <v>AKTIF</v>
      </c>
    </row>
    <row r="201" spans="1:11" x14ac:dyDescent="0.35">
      <c r="A201" s="22">
        <v>194</v>
      </c>
      <c r="B201" s="23" t="s">
        <v>463</v>
      </c>
      <c r="C201" s="24" t="s">
        <v>464</v>
      </c>
      <c r="D201" s="25" t="s">
        <v>362</v>
      </c>
      <c r="E201" s="26">
        <v>0</v>
      </c>
      <c r="F201" s="26">
        <v>3150000</v>
      </c>
      <c r="G201" s="26">
        <v>0</v>
      </c>
      <c r="H201" s="26">
        <v>236140.23866130947</v>
      </c>
      <c r="I201" s="26">
        <v>0</v>
      </c>
      <c r="J201" s="20">
        <f t="shared" ref="J201:J264" si="3">E201+F201+G201+H201</f>
        <v>3386140.2386613097</v>
      </c>
      <c r="K201" s="21" t="str">
        <f>VLOOKUP(C201,'[1]SHU 2023'!C$9:K$719,9,0)</f>
        <v>AKTIF</v>
      </c>
    </row>
    <row r="202" spans="1:11" x14ac:dyDescent="0.35">
      <c r="A202" s="22">
        <v>195</v>
      </c>
      <c r="B202" s="23" t="s">
        <v>465</v>
      </c>
      <c r="C202" s="24" t="s">
        <v>466</v>
      </c>
      <c r="D202" s="25" t="s">
        <v>424</v>
      </c>
      <c r="E202" s="26">
        <v>0</v>
      </c>
      <c r="F202" s="26">
        <v>250000</v>
      </c>
      <c r="G202" s="26">
        <v>0</v>
      </c>
      <c r="H202" s="26">
        <v>10258.117999073118</v>
      </c>
      <c r="I202" s="26">
        <v>0</v>
      </c>
      <c r="J202" s="20">
        <f t="shared" si="3"/>
        <v>260258.11799907312</v>
      </c>
      <c r="K202" s="21" t="str">
        <f>VLOOKUP(C202,'[1]SHU 2023'!C$9:K$719,9,0)</f>
        <v>PASIF</v>
      </c>
    </row>
    <row r="203" spans="1:11" x14ac:dyDescent="0.35">
      <c r="A203" s="22">
        <v>196</v>
      </c>
      <c r="B203" s="23" t="s">
        <v>467</v>
      </c>
      <c r="C203" s="24" t="s">
        <v>468</v>
      </c>
      <c r="D203" s="25" t="s">
        <v>469</v>
      </c>
      <c r="E203" s="26">
        <v>5000</v>
      </c>
      <c r="F203" s="26">
        <v>495000</v>
      </c>
      <c r="G203" s="26">
        <v>0</v>
      </c>
      <c r="H203" s="26">
        <v>150221.40045669928</v>
      </c>
      <c r="I203" s="26">
        <v>0</v>
      </c>
      <c r="J203" s="20">
        <f t="shared" si="3"/>
        <v>650221.40045669931</v>
      </c>
      <c r="K203" s="21" t="str">
        <f>VLOOKUP(C203,'[1]SHU 2023'!C$9:K$719,9,0)</f>
        <v>PASIF</v>
      </c>
    </row>
    <row r="204" spans="1:11" x14ac:dyDescent="0.35">
      <c r="A204" s="22">
        <v>197</v>
      </c>
      <c r="B204" s="23" t="s">
        <v>470</v>
      </c>
      <c r="C204" s="24" t="s">
        <v>471</v>
      </c>
      <c r="D204" s="25" t="s">
        <v>54</v>
      </c>
      <c r="E204" s="26">
        <v>0</v>
      </c>
      <c r="F204" s="26">
        <v>0</v>
      </c>
      <c r="G204" s="26">
        <v>0</v>
      </c>
      <c r="H204" s="26">
        <v>45074.087555309758</v>
      </c>
      <c r="I204" s="26">
        <v>0</v>
      </c>
      <c r="J204" s="20">
        <f t="shared" si="3"/>
        <v>45074.087555309758</v>
      </c>
      <c r="K204" s="21" t="str">
        <f>VLOOKUP(C204,'[1]SHU 2023'!C$9:K$719,9,0)</f>
        <v>PASIF</v>
      </c>
    </row>
    <row r="205" spans="1:11" x14ac:dyDescent="0.35">
      <c r="A205" s="22">
        <v>198</v>
      </c>
      <c r="B205" s="23" t="s">
        <v>472</v>
      </c>
      <c r="C205" s="24" t="s">
        <v>473</v>
      </c>
      <c r="D205" s="25" t="s">
        <v>97</v>
      </c>
      <c r="E205" s="26">
        <v>5000</v>
      </c>
      <c r="F205" s="26">
        <v>36877980</v>
      </c>
      <c r="G205" s="26">
        <v>0</v>
      </c>
      <c r="H205" s="26">
        <v>2909714.2396197109</v>
      </c>
      <c r="I205" s="26">
        <v>0</v>
      </c>
      <c r="J205" s="20">
        <f t="shared" si="3"/>
        <v>39792694.23961971</v>
      </c>
      <c r="K205" s="21" t="str">
        <f>VLOOKUP(C205,'[1]SHU 2023'!C$9:K$719,9,0)</f>
        <v>AKTIF</v>
      </c>
    </row>
    <row r="206" spans="1:11" x14ac:dyDescent="0.35">
      <c r="A206" s="22">
        <v>199</v>
      </c>
      <c r="B206" s="23" t="s">
        <v>474</v>
      </c>
      <c r="C206" s="24" t="s">
        <v>475</v>
      </c>
      <c r="D206" s="25" t="s">
        <v>131</v>
      </c>
      <c r="E206" s="26">
        <v>5000</v>
      </c>
      <c r="F206" s="26">
        <v>32380222</v>
      </c>
      <c r="G206" s="26">
        <v>1240000</v>
      </c>
      <c r="H206" s="26">
        <v>3023925.6876209998</v>
      </c>
      <c r="I206" s="26">
        <v>0</v>
      </c>
      <c r="J206" s="20">
        <f t="shared" si="3"/>
        <v>36649147.687620997</v>
      </c>
      <c r="K206" s="21" t="str">
        <f>VLOOKUP(C206,'[1]SHU 2023'!C$9:K$719,9,0)</f>
        <v>AKTIF</v>
      </c>
    </row>
    <row r="207" spans="1:11" x14ac:dyDescent="0.35">
      <c r="A207" s="22">
        <v>200</v>
      </c>
      <c r="B207" s="23" t="s">
        <v>476</v>
      </c>
      <c r="C207" s="24" t="s">
        <v>477</v>
      </c>
      <c r="D207" s="25" t="s">
        <v>42</v>
      </c>
      <c r="E207" s="26">
        <v>0</v>
      </c>
      <c r="F207" s="26">
        <v>0</v>
      </c>
      <c r="G207" s="26">
        <v>0</v>
      </c>
      <c r="H207" s="26">
        <v>139220.39223060943</v>
      </c>
      <c r="I207" s="26">
        <v>0</v>
      </c>
      <c r="J207" s="20">
        <f t="shared" si="3"/>
        <v>139220.39223060943</v>
      </c>
      <c r="K207" s="21" t="str">
        <f>VLOOKUP(C207,'[1]SHU 2023'!C$9:K$719,9,0)</f>
        <v>PASIF</v>
      </c>
    </row>
    <row r="208" spans="1:11" x14ac:dyDescent="0.35">
      <c r="A208" s="22">
        <v>201</v>
      </c>
      <c r="B208" s="23" t="s">
        <v>478</v>
      </c>
      <c r="C208" s="24" t="s">
        <v>479</v>
      </c>
      <c r="D208" s="25" t="s">
        <v>25</v>
      </c>
      <c r="E208" s="26">
        <v>5000</v>
      </c>
      <c r="F208" s="26">
        <v>41869812</v>
      </c>
      <c r="G208" s="26">
        <v>87500</v>
      </c>
      <c r="H208" s="26">
        <v>7671851.3726410586</v>
      </c>
      <c r="I208" s="26">
        <v>0</v>
      </c>
      <c r="J208" s="20">
        <f t="shared" si="3"/>
        <v>49634163.372641057</v>
      </c>
      <c r="K208" s="21" t="str">
        <f>VLOOKUP(C208,'[1]SHU 2023'!C$9:K$719,9,0)</f>
        <v>AKTIF</v>
      </c>
    </row>
    <row r="209" spans="1:11" x14ac:dyDescent="0.35">
      <c r="A209" s="22">
        <v>202</v>
      </c>
      <c r="B209" s="23" t="s">
        <v>480</v>
      </c>
      <c r="C209" s="24" t="s">
        <v>481</v>
      </c>
      <c r="D209" s="25" t="s">
        <v>210</v>
      </c>
      <c r="E209" s="26">
        <v>5000</v>
      </c>
      <c r="F209" s="26">
        <v>55000</v>
      </c>
      <c r="G209" s="26">
        <v>0</v>
      </c>
      <c r="H209" s="26">
        <v>309191.90988026757</v>
      </c>
      <c r="I209" s="26">
        <v>0</v>
      </c>
      <c r="J209" s="20">
        <f t="shared" si="3"/>
        <v>369191.90988026757</v>
      </c>
      <c r="K209" s="21" t="str">
        <f>VLOOKUP(C209,'[1]SHU 2023'!C$9:K$719,9,0)</f>
        <v>PASIF</v>
      </c>
    </row>
    <row r="210" spans="1:11" x14ac:dyDescent="0.35">
      <c r="A210" s="22">
        <v>203</v>
      </c>
      <c r="B210" s="23" t="s">
        <v>482</v>
      </c>
      <c r="C210" s="24" t="s">
        <v>483</v>
      </c>
      <c r="D210" s="25" t="s">
        <v>31</v>
      </c>
      <c r="E210" s="26">
        <v>5000</v>
      </c>
      <c r="F210" s="26">
        <v>34855222</v>
      </c>
      <c r="G210" s="26">
        <v>175000</v>
      </c>
      <c r="H210" s="26">
        <v>2345382.5432214392</v>
      </c>
      <c r="I210" s="26">
        <v>0</v>
      </c>
      <c r="J210" s="20">
        <f t="shared" si="3"/>
        <v>37380604.543221436</v>
      </c>
      <c r="K210" s="21" t="str">
        <f>VLOOKUP(C210,'[1]SHU 2023'!C$9:K$719,9,0)</f>
        <v>AKTIF</v>
      </c>
    </row>
    <row r="211" spans="1:11" x14ac:dyDescent="0.35">
      <c r="A211" s="22">
        <v>204</v>
      </c>
      <c r="B211" s="23" t="s">
        <v>484</v>
      </c>
      <c r="C211" s="24" t="s">
        <v>485</v>
      </c>
      <c r="D211" s="25" t="s">
        <v>31</v>
      </c>
      <c r="E211" s="26">
        <v>5000</v>
      </c>
      <c r="F211" s="26">
        <v>29606383</v>
      </c>
      <c r="G211" s="26">
        <v>2490000</v>
      </c>
      <c r="H211" s="26">
        <v>2465854.421783654</v>
      </c>
      <c r="I211" s="26">
        <v>0</v>
      </c>
      <c r="J211" s="20">
        <f t="shared" si="3"/>
        <v>34567237.421783656</v>
      </c>
      <c r="K211" s="21" t="str">
        <f>VLOOKUP(C211,'[1]SHU 2023'!C$9:K$719,9,0)</f>
        <v>AKTIF</v>
      </c>
    </row>
    <row r="212" spans="1:11" x14ac:dyDescent="0.35">
      <c r="A212" s="22">
        <v>205</v>
      </c>
      <c r="B212" s="23" t="s">
        <v>486</v>
      </c>
      <c r="C212" s="24" t="s">
        <v>487</v>
      </c>
      <c r="D212" s="25" t="s">
        <v>25</v>
      </c>
      <c r="E212" s="26">
        <v>5000</v>
      </c>
      <c r="F212" s="26">
        <v>4350000</v>
      </c>
      <c r="G212" s="26">
        <v>0</v>
      </c>
      <c r="H212" s="26">
        <v>650344.32100071316</v>
      </c>
      <c r="I212" s="26">
        <v>0</v>
      </c>
      <c r="J212" s="20">
        <f t="shared" si="3"/>
        <v>5005344.3210007129</v>
      </c>
      <c r="K212" s="21" t="str">
        <f>VLOOKUP(C212,'[1]SHU 2023'!C$9:K$719,9,0)</f>
        <v>PASIF</v>
      </c>
    </row>
    <row r="213" spans="1:11" x14ac:dyDescent="0.35">
      <c r="A213" s="22">
        <v>206</v>
      </c>
      <c r="B213" s="23" t="s">
        <v>488</v>
      </c>
      <c r="C213" s="24" t="s">
        <v>489</v>
      </c>
      <c r="D213" s="25" t="s">
        <v>89</v>
      </c>
      <c r="E213" s="26">
        <v>0</v>
      </c>
      <c r="F213" s="26">
        <v>0</v>
      </c>
      <c r="G213" s="26">
        <v>0</v>
      </c>
      <c r="H213" s="26">
        <v>200217.26766355359</v>
      </c>
      <c r="I213" s="26">
        <v>0</v>
      </c>
      <c r="J213" s="20">
        <f t="shared" si="3"/>
        <v>200217.26766355359</v>
      </c>
      <c r="K213" s="21" t="str">
        <f>VLOOKUP(C213,'[1]SHU 2023'!C$9:K$719,9,0)</f>
        <v>PASIF</v>
      </c>
    </row>
    <row r="214" spans="1:11" x14ac:dyDescent="0.35">
      <c r="A214" s="22">
        <v>207</v>
      </c>
      <c r="B214" s="23" t="s">
        <v>490</v>
      </c>
      <c r="C214" s="24" t="s">
        <v>491</v>
      </c>
      <c r="D214" s="25" t="s">
        <v>154</v>
      </c>
      <c r="E214" s="26">
        <v>5000</v>
      </c>
      <c r="F214" s="26">
        <v>145000</v>
      </c>
      <c r="G214" s="26">
        <v>0</v>
      </c>
      <c r="H214" s="26">
        <v>590481.21924797003</v>
      </c>
      <c r="I214" s="26">
        <v>0</v>
      </c>
      <c r="J214" s="20">
        <f t="shared" si="3"/>
        <v>740481.21924797003</v>
      </c>
      <c r="K214" s="21" t="str">
        <f>VLOOKUP(C214,'[1]SHU 2023'!C$9:K$719,9,0)</f>
        <v>PASIF</v>
      </c>
    </row>
    <row r="215" spans="1:11" x14ac:dyDescent="0.35">
      <c r="A215" s="22">
        <v>208</v>
      </c>
      <c r="B215" s="23" t="s">
        <v>492</v>
      </c>
      <c r="C215" s="24" t="s">
        <v>493</v>
      </c>
      <c r="D215" s="25" t="s">
        <v>42</v>
      </c>
      <c r="E215" s="26">
        <v>5000</v>
      </c>
      <c r="F215" s="26">
        <v>72800</v>
      </c>
      <c r="G215" s="26">
        <v>0</v>
      </c>
      <c r="H215" s="26">
        <v>412039.8548511212</v>
      </c>
      <c r="I215" s="26">
        <v>0</v>
      </c>
      <c r="J215" s="20">
        <f t="shared" si="3"/>
        <v>489839.8548511212</v>
      </c>
      <c r="K215" s="21" t="str">
        <f>VLOOKUP(C215,'[1]SHU 2023'!C$9:K$719,9,0)</f>
        <v>PASIF</v>
      </c>
    </row>
    <row r="216" spans="1:11" x14ac:dyDescent="0.35">
      <c r="A216" s="28">
        <v>209</v>
      </c>
      <c r="B216" s="29" t="s">
        <v>494</v>
      </c>
      <c r="C216" s="30" t="s">
        <v>495</v>
      </c>
      <c r="D216" s="31" t="s">
        <v>123</v>
      </c>
      <c r="E216" s="32">
        <v>5000</v>
      </c>
      <c r="F216" s="32">
        <v>36345858</v>
      </c>
      <c r="G216" s="32">
        <v>0</v>
      </c>
      <c r="H216" s="32">
        <v>2954633.5703917113</v>
      </c>
      <c r="I216" s="32">
        <v>0</v>
      </c>
      <c r="J216" s="33">
        <f t="shared" si="3"/>
        <v>39305491.570391715</v>
      </c>
      <c r="K216" s="34" t="str">
        <f>VLOOKUP(C216,'[1]SHU 2023'!C$9:K$719,9,0)</f>
        <v>AKTIF</v>
      </c>
    </row>
    <row r="217" spans="1:11" x14ac:dyDescent="0.35">
      <c r="A217" s="22">
        <v>210</v>
      </c>
      <c r="B217" s="23" t="s">
        <v>496</v>
      </c>
      <c r="C217" s="24" t="s">
        <v>497</v>
      </c>
      <c r="D217" s="25" t="s">
        <v>123</v>
      </c>
      <c r="E217" s="26">
        <v>5000</v>
      </c>
      <c r="F217" s="26">
        <v>36621642</v>
      </c>
      <c r="G217" s="26">
        <v>30000</v>
      </c>
      <c r="H217" s="26">
        <v>1200724.3398442888</v>
      </c>
      <c r="I217" s="26">
        <v>0</v>
      </c>
      <c r="J217" s="20">
        <f t="shared" si="3"/>
        <v>37857366.339844286</v>
      </c>
      <c r="K217" s="21" t="str">
        <f>VLOOKUP(C217,'[1]SHU 2023'!C$9:K$719,9,0)</f>
        <v>AKTIF</v>
      </c>
    </row>
    <row r="218" spans="1:11" x14ac:dyDescent="0.35">
      <c r="A218" s="22">
        <v>211</v>
      </c>
      <c r="B218" s="23" t="s">
        <v>498</v>
      </c>
      <c r="C218" s="24" t="s">
        <v>499</v>
      </c>
      <c r="D218" s="25" t="s">
        <v>31</v>
      </c>
      <c r="E218" s="26">
        <v>5000</v>
      </c>
      <c r="F218" s="26">
        <v>25200447</v>
      </c>
      <c r="G218" s="26">
        <v>550000</v>
      </c>
      <c r="H218" s="26">
        <v>2131892.5436173719</v>
      </c>
      <c r="I218" s="26">
        <v>0</v>
      </c>
      <c r="J218" s="20">
        <f t="shared" si="3"/>
        <v>27887339.543617371</v>
      </c>
      <c r="K218" s="21" t="str">
        <f>VLOOKUP(C218,'[1]SHU 2023'!C$9:K$719,9,0)</f>
        <v>AKTIF</v>
      </c>
    </row>
    <row r="219" spans="1:11" x14ac:dyDescent="0.35">
      <c r="A219" s="22">
        <v>212</v>
      </c>
      <c r="B219" s="23" t="s">
        <v>500</v>
      </c>
      <c r="C219" s="24" t="s">
        <v>501</v>
      </c>
      <c r="D219" s="25" t="s">
        <v>89</v>
      </c>
      <c r="E219" s="26">
        <v>5000</v>
      </c>
      <c r="F219" s="26">
        <v>29016000</v>
      </c>
      <c r="G219" s="26">
        <v>200000</v>
      </c>
      <c r="H219" s="26">
        <v>2030516.689282483</v>
      </c>
      <c r="I219" s="26">
        <v>0</v>
      </c>
      <c r="J219" s="20">
        <f t="shared" si="3"/>
        <v>31251516.689282484</v>
      </c>
      <c r="K219" s="21" t="str">
        <f>VLOOKUP(C219,'[1]SHU 2023'!C$9:K$719,9,0)</f>
        <v>AKTIF</v>
      </c>
    </row>
    <row r="220" spans="1:11" x14ac:dyDescent="0.35">
      <c r="A220" s="22">
        <v>213</v>
      </c>
      <c r="B220" s="23" t="s">
        <v>502</v>
      </c>
      <c r="C220" s="24" t="s">
        <v>503</v>
      </c>
      <c r="D220" s="25" t="s">
        <v>298</v>
      </c>
      <c r="E220" s="26">
        <v>5000</v>
      </c>
      <c r="F220" s="26">
        <v>12425457</v>
      </c>
      <c r="G220" s="26">
        <v>0</v>
      </c>
      <c r="H220" s="26">
        <v>12177051.670437146</v>
      </c>
      <c r="I220" s="26">
        <v>0</v>
      </c>
      <c r="J220" s="20">
        <f t="shared" si="3"/>
        <v>24607508.670437146</v>
      </c>
      <c r="K220" s="21" t="str">
        <f>VLOOKUP(C220,'[1]SHU 2023'!C$9:K$719,9,0)</f>
        <v>PASIF</v>
      </c>
    </row>
    <row r="221" spans="1:11" x14ac:dyDescent="0.35">
      <c r="A221" s="22">
        <v>214</v>
      </c>
      <c r="B221" s="23" t="s">
        <v>504</v>
      </c>
      <c r="C221" s="24" t="s">
        <v>505</v>
      </c>
      <c r="D221" s="25" t="s">
        <v>59</v>
      </c>
      <c r="E221" s="26">
        <v>0</v>
      </c>
      <c r="F221" s="26">
        <v>0</v>
      </c>
      <c r="G221" s="26">
        <v>0</v>
      </c>
      <c r="H221" s="26">
        <v>432962.66477469262</v>
      </c>
      <c r="I221" s="26">
        <v>0</v>
      </c>
      <c r="J221" s="20">
        <f t="shared" si="3"/>
        <v>432962.66477469262</v>
      </c>
      <c r="K221" s="21" t="str">
        <f>VLOOKUP(C221,'[1]SHU 2023'!C$9:K$719,9,0)</f>
        <v>BUKAN ANGGOTA</v>
      </c>
    </row>
    <row r="222" spans="1:11" x14ac:dyDescent="0.35">
      <c r="A222" s="22">
        <v>215</v>
      </c>
      <c r="B222" s="23" t="s">
        <v>506</v>
      </c>
      <c r="C222" s="24" t="s">
        <v>507</v>
      </c>
      <c r="D222" s="25" t="s">
        <v>401</v>
      </c>
      <c r="E222" s="26">
        <v>5000</v>
      </c>
      <c r="F222" s="26">
        <v>41972107</v>
      </c>
      <c r="G222" s="26">
        <v>30000</v>
      </c>
      <c r="H222" s="26">
        <v>5675768.2735547889</v>
      </c>
      <c r="I222" s="26">
        <v>0</v>
      </c>
      <c r="J222" s="20">
        <f t="shared" si="3"/>
        <v>47682875.273554787</v>
      </c>
      <c r="K222" s="21" t="str">
        <f>VLOOKUP(C222,'[1]SHU 2023'!C$9:K$719,9,0)</f>
        <v>AKTIF</v>
      </c>
    </row>
    <row r="223" spans="1:11" x14ac:dyDescent="0.35">
      <c r="A223" s="22">
        <v>216</v>
      </c>
      <c r="B223" s="23" t="s">
        <v>508</v>
      </c>
      <c r="C223" s="24" t="s">
        <v>509</v>
      </c>
      <c r="D223" s="25" t="s">
        <v>54</v>
      </c>
      <c r="E223" s="26">
        <v>5000</v>
      </c>
      <c r="F223" s="26">
        <v>21502980</v>
      </c>
      <c r="G223" s="26">
        <v>0</v>
      </c>
      <c r="H223" s="26">
        <v>3714498.8404314043</v>
      </c>
      <c r="I223" s="26">
        <v>0</v>
      </c>
      <c r="J223" s="20">
        <f t="shared" si="3"/>
        <v>25222478.840431403</v>
      </c>
      <c r="K223" s="21" t="str">
        <f>VLOOKUP(C223,'[1]SHU 2023'!C$9:K$719,9,0)</f>
        <v>AKTIF</v>
      </c>
    </row>
    <row r="224" spans="1:11" x14ac:dyDescent="0.35">
      <c r="A224" s="22">
        <v>217</v>
      </c>
      <c r="B224" s="23" t="s">
        <v>510</v>
      </c>
      <c r="C224" s="24" t="s">
        <v>511</v>
      </c>
      <c r="D224" s="25" t="s">
        <v>248</v>
      </c>
      <c r="E224" s="26">
        <v>0</v>
      </c>
      <c r="F224" s="26">
        <v>950000</v>
      </c>
      <c r="G224" s="26">
        <v>0</v>
      </c>
      <c r="H224" s="26">
        <v>38978.623871706426</v>
      </c>
      <c r="I224" s="26">
        <v>0</v>
      </c>
      <c r="J224" s="20">
        <f t="shared" si="3"/>
        <v>988978.62387170643</v>
      </c>
      <c r="K224" s="21" t="str">
        <f>VLOOKUP(C224,'[1]SHU 2023'!C$9:K$719,9,0)</f>
        <v>PASIF</v>
      </c>
    </row>
    <row r="225" spans="1:11" x14ac:dyDescent="0.35">
      <c r="A225" s="22">
        <v>218</v>
      </c>
      <c r="B225" s="23" t="s">
        <v>512</v>
      </c>
      <c r="C225" s="24" t="s">
        <v>513</v>
      </c>
      <c r="D225" s="25" t="s">
        <v>514</v>
      </c>
      <c r="E225" s="26">
        <v>0</v>
      </c>
      <c r="F225" s="26">
        <v>1550000</v>
      </c>
      <c r="G225" s="26">
        <v>0</v>
      </c>
      <c r="H225" s="26">
        <v>63598.268001618795</v>
      </c>
      <c r="I225" s="26">
        <v>0</v>
      </c>
      <c r="J225" s="20">
        <f t="shared" si="3"/>
        <v>1613598.2680016188</v>
      </c>
      <c r="K225" s="21" t="str">
        <f>VLOOKUP(C225,'[1]SHU 2023'!C$9:K$719,9,0)</f>
        <v>PASIF</v>
      </c>
    </row>
    <row r="226" spans="1:11" x14ac:dyDescent="0.35">
      <c r="A226" s="22">
        <v>219</v>
      </c>
      <c r="B226" s="23" t="s">
        <v>515</v>
      </c>
      <c r="C226" s="24" t="s">
        <v>516</v>
      </c>
      <c r="D226" s="25" t="s">
        <v>161</v>
      </c>
      <c r="E226" s="26">
        <v>0</v>
      </c>
      <c r="F226" s="26">
        <v>0</v>
      </c>
      <c r="G226" s="26">
        <v>0</v>
      </c>
      <c r="H226" s="26">
        <v>282933.31913226144</v>
      </c>
      <c r="I226" s="26">
        <v>0</v>
      </c>
      <c r="J226" s="20">
        <f t="shared" si="3"/>
        <v>282933.31913226144</v>
      </c>
      <c r="K226" s="21" t="str">
        <f>VLOOKUP(C226,'[1]SHU 2023'!C$9:K$719,9,0)</f>
        <v>PASIF</v>
      </c>
    </row>
    <row r="227" spans="1:11" x14ac:dyDescent="0.35">
      <c r="A227" s="22">
        <v>220</v>
      </c>
      <c r="B227" s="23" t="s">
        <v>517</v>
      </c>
      <c r="C227" s="24" t="s">
        <v>518</v>
      </c>
      <c r="D227" s="25" t="s">
        <v>519</v>
      </c>
      <c r="E227" s="26">
        <v>0</v>
      </c>
      <c r="F227" s="26">
        <v>1000000</v>
      </c>
      <c r="G227" s="26">
        <v>0</v>
      </c>
      <c r="H227" s="26">
        <v>967619.3411661908</v>
      </c>
      <c r="I227" s="26">
        <v>0</v>
      </c>
      <c r="J227" s="20">
        <f t="shared" si="3"/>
        <v>1967619.3411661908</v>
      </c>
      <c r="K227" s="21" t="str">
        <f>VLOOKUP(C227,'[1]SHU 2023'!C$9:K$719,9,0)</f>
        <v>BUKAN ANGGOTA</v>
      </c>
    </row>
    <row r="228" spans="1:11" x14ac:dyDescent="0.35">
      <c r="A228" s="22">
        <v>221</v>
      </c>
      <c r="B228" s="23" t="s">
        <v>520</v>
      </c>
      <c r="C228" s="24" t="s">
        <v>521</v>
      </c>
      <c r="D228" s="25" t="s">
        <v>92</v>
      </c>
      <c r="E228" s="26">
        <v>0</v>
      </c>
      <c r="F228" s="26">
        <v>0</v>
      </c>
      <c r="G228" s="26">
        <v>0</v>
      </c>
      <c r="H228" s="26">
        <v>-0.2748413048684597</v>
      </c>
      <c r="I228" s="26">
        <v>0</v>
      </c>
      <c r="J228" s="20">
        <f t="shared" si="3"/>
        <v>-0.2748413048684597</v>
      </c>
      <c r="K228" s="21" t="s">
        <v>49</v>
      </c>
    </row>
    <row r="229" spans="1:11" x14ac:dyDescent="0.35">
      <c r="A229" s="22">
        <v>222</v>
      </c>
      <c r="B229" s="23" t="s">
        <v>522</v>
      </c>
      <c r="C229" s="24" t="s">
        <v>523</v>
      </c>
      <c r="D229" s="25" t="s">
        <v>89</v>
      </c>
      <c r="E229" s="26">
        <v>5000</v>
      </c>
      <c r="F229" s="26">
        <v>53986636</v>
      </c>
      <c r="G229" s="26">
        <v>360000</v>
      </c>
      <c r="H229" s="26">
        <v>5343888.8400201313</v>
      </c>
      <c r="I229" s="26">
        <v>0</v>
      </c>
      <c r="J229" s="20">
        <f t="shared" si="3"/>
        <v>59695524.840020135</v>
      </c>
      <c r="K229" s="21" t="str">
        <f>VLOOKUP(C229,'[1]SHU 2023'!C$9:K$719,9,0)</f>
        <v>AKTIF</v>
      </c>
    </row>
    <row r="230" spans="1:11" x14ac:dyDescent="0.35">
      <c r="A230" s="22">
        <v>223</v>
      </c>
      <c r="B230" s="23" t="s">
        <v>524</v>
      </c>
      <c r="C230" s="24" t="s">
        <v>525</v>
      </c>
      <c r="D230" s="25" t="s">
        <v>349</v>
      </c>
      <c r="E230" s="26">
        <v>5000</v>
      </c>
      <c r="F230" s="26">
        <v>33306004</v>
      </c>
      <c r="G230" s="26">
        <v>0</v>
      </c>
      <c r="H230" s="26">
        <v>9825385.3501900658</v>
      </c>
      <c r="I230" s="26">
        <v>0</v>
      </c>
      <c r="J230" s="20">
        <f t="shared" si="3"/>
        <v>43136389.350190066</v>
      </c>
      <c r="K230" s="21" t="str">
        <f>VLOOKUP(C230,'[1]SHU 2023'!C$9:K$719,9,0)</f>
        <v>AKTIF</v>
      </c>
    </row>
    <row r="231" spans="1:11" x14ac:dyDescent="0.35">
      <c r="A231" s="22">
        <v>224</v>
      </c>
      <c r="B231" s="23" t="s">
        <v>526</v>
      </c>
      <c r="C231" s="24" t="s">
        <v>527</v>
      </c>
      <c r="D231" s="25" t="s">
        <v>92</v>
      </c>
      <c r="E231" s="26">
        <v>5000</v>
      </c>
      <c r="F231" s="26">
        <v>16720845</v>
      </c>
      <c r="G231" s="26">
        <v>0</v>
      </c>
      <c r="H231" s="26">
        <v>623064.30015594547</v>
      </c>
      <c r="I231" s="26">
        <v>0</v>
      </c>
      <c r="J231" s="20">
        <f t="shared" si="3"/>
        <v>17348909.300155945</v>
      </c>
      <c r="K231" s="21" t="str">
        <f>VLOOKUP(C231,'[1]SHU 2023'!C$9:K$719,9,0)</f>
        <v>AKTIF</v>
      </c>
    </row>
    <row r="232" spans="1:11" x14ac:dyDescent="0.35">
      <c r="A232" s="22">
        <v>225</v>
      </c>
      <c r="B232" s="23" t="s">
        <v>528</v>
      </c>
      <c r="C232" s="24" t="s">
        <v>529</v>
      </c>
      <c r="D232" s="25" t="s">
        <v>17</v>
      </c>
      <c r="E232" s="26">
        <v>5000</v>
      </c>
      <c r="F232" s="26">
        <v>18009933</v>
      </c>
      <c r="G232" s="26">
        <v>0</v>
      </c>
      <c r="H232" s="26">
        <v>1777789.1582600363</v>
      </c>
      <c r="I232" s="26">
        <v>0</v>
      </c>
      <c r="J232" s="20">
        <f t="shared" si="3"/>
        <v>19792722.158260036</v>
      </c>
      <c r="K232" s="21" t="str">
        <f>VLOOKUP(C232,'[1]SHU 2023'!C$9:K$719,9,0)</f>
        <v>AKTIF</v>
      </c>
    </row>
    <row r="233" spans="1:11" x14ac:dyDescent="0.35">
      <c r="A233" s="22">
        <v>226</v>
      </c>
      <c r="B233" s="23" t="s">
        <v>530</v>
      </c>
      <c r="C233" s="24" t="s">
        <v>531</v>
      </c>
      <c r="D233" s="25" t="s">
        <v>42</v>
      </c>
      <c r="E233" s="26">
        <v>5000</v>
      </c>
      <c r="F233" s="26">
        <v>345000</v>
      </c>
      <c r="G233" s="26">
        <v>0</v>
      </c>
      <c r="H233" s="26">
        <v>640254.16746635945</v>
      </c>
      <c r="I233" s="26">
        <v>0</v>
      </c>
      <c r="J233" s="20">
        <f t="shared" si="3"/>
        <v>990254.16746635945</v>
      </c>
      <c r="K233" s="21" t="str">
        <f>VLOOKUP(C233,'[1]SHU 2023'!C$9:K$719,9,0)</f>
        <v>PASIF</v>
      </c>
    </row>
    <row r="234" spans="1:11" x14ac:dyDescent="0.35">
      <c r="A234" s="22">
        <v>227</v>
      </c>
      <c r="B234" s="23" t="s">
        <v>532</v>
      </c>
      <c r="C234" s="24" t="s">
        <v>533</v>
      </c>
      <c r="D234" s="25" t="s">
        <v>31</v>
      </c>
      <c r="E234" s="26">
        <v>5000</v>
      </c>
      <c r="F234" s="26">
        <v>47592141</v>
      </c>
      <c r="G234" s="26">
        <v>0</v>
      </c>
      <c r="H234" s="26">
        <v>4438329.7859327029</v>
      </c>
      <c r="I234" s="26">
        <v>0</v>
      </c>
      <c r="J234" s="20">
        <f t="shared" si="3"/>
        <v>52035470.785932705</v>
      </c>
      <c r="K234" s="21" t="str">
        <f>VLOOKUP(C234,'[1]SHU 2023'!C$9:K$719,9,0)</f>
        <v>AKTIF</v>
      </c>
    </row>
    <row r="235" spans="1:11" x14ac:dyDescent="0.35">
      <c r="A235" s="22">
        <v>228</v>
      </c>
      <c r="B235" s="23" t="s">
        <v>534</v>
      </c>
      <c r="C235" s="24" t="s">
        <v>535</v>
      </c>
      <c r="D235" s="25" t="s">
        <v>401</v>
      </c>
      <c r="E235" s="26">
        <v>5000</v>
      </c>
      <c r="F235" s="26">
        <v>34342879</v>
      </c>
      <c r="G235" s="26">
        <v>0</v>
      </c>
      <c r="H235" s="26">
        <v>3019774.9627567045</v>
      </c>
      <c r="I235" s="26">
        <v>0</v>
      </c>
      <c r="J235" s="20">
        <f t="shared" si="3"/>
        <v>37367653.962756708</v>
      </c>
      <c r="K235" s="21" t="str">
        <f>VLOOKUP(C235,'[1]SHU 2023'!C$9:K$719,9,0)</f>
        <v>AKTIF</v>
      </c>
    </row>
    <row r="236" spans="1:11" x14ac:dyDescent="0.35">
      <c r="A236" s="22">
        <v>229</v>
      </c>
      <c r="B236" s="23" t="s">
        <v>536</v>
      </c>
      <c r="C236" s="24" t="s">
        <v>537</v>
      </c>
      <c r="D236" s="25" t="s">
        <v>39</v>
      </c>
      <c r="E236" s="26">
        <v>0</v>
      </c>
      <c r="F236" s="26">
        <v>0</v>
      </c>
      <c r="G236" s="26">
        <v>0</v>
      </c>
      <c r="H236" s="26">
        <v>1621361</v>
      </c>
      <c r="I236" s="26">
        <v>0</v>
      </c>
      <c r="J236" s="20">
        <f t="shared" si="3"/>
        <v>1621361</v>
      </c>
      <c r="K236" s="21" t="str">
        <f>VLOOKUP(C236,'[1]SHU 2023'!C$9:K$719,9,0)</f>
        <v>PASIF</v>
      </c>
    </row>
    <row r="237" spans="1:11" x14ac:dyDescent="0.35">
      <c r="A237" s="22">
        <v>230</v>
      </c>
      <c r="B237" s="23" t="s">
        <v>538</v>
      </c>
      <c r="C237" s="24" t="s">
        <v>539</v>
      </c>
      <c r="D237" s="25" t="s">
        <v>313</v>
      </c>
      <c r="E237" s="26">
        <v>0</v>
      </c>
      <c r="F237" s="26">
        <v>0</v>
      </c>
      <c r="G237" s="26">
        <v>0</v>
      </c>
      <c r="H237" s="26">
        <v>-3.9875306654721498E-2</v>
      </c>
      <c r="I237" s="26">
        <v>0</v>
      </c>
      <c r="J237" s="20">
        <f t="shared" si="3"/>
        <v>-3.9875306654721498E-2</v>
      </c>
      <c r="K237" s="21" t="s">
        <v>49</v>
      </c>
    </row>
    <row r="238" spans="1:11" x14ac:dyDescent="0.35">
      <c r="A238" s="22">
        <v>231</v>
      </c>
      <c r="B238" s="23" t="s">
        <v>540</v>
      </c>
      <c r="C238" s="24" t="s">
        <v>541</v>
      </c>
      <c r="D238" s="25" t="s">
        <v>71</v>
      </c>
      <c r="E238" s="26">
        <v>0</v>
      </c>
      <c r="F238" s="26">
        <v>750000</v>
      </c>
      <c r="G238" s="26">
        <v>0</v>
      </c>
      <c r="H238" s="26">
        <v>30773.447163384408</v>
      </c>
      <c r="I238" s="26">
        <v>0</v>
      </c>
      <c r="J238" s="20">
        <f t="shared" si="3"/>
        <v>780773.44716338441</v>
      </c>
      <c r="K238" s="21" t="str">
        <f>VLOOKUP(C238,'[1]SHU 2023'!C$9:K$719,9,0)</f>
        <v>PASIF</v>
      </c>
    </row>
    <row r="239" spans="1:11" x14ac:dyDescent="0.35">
      <c r="A239" s="22">
        <v>232</v>
      </c>
      <c r="B239" s="23" t="s">
        <v>542</v>
      </c>
      <c r="C239" s="24" t="s">
        <v>543</v>
      </c>
      <c r="D239" s="25" t="s">
        <v>118</v>
      </c>
      <c r="E239" s="26">
        <v>0</v>
      </c>
      <c r="F239" s="26">
        <v>550000</v>
      </c>
      <c r="G239" s="26">
        <v>0</v>
      </c>
      <c r="H239" s="26">
        <v>12309</v>
      </c>
      <c r="I239" s="26">
        <v>0</v>
      </c>
      <c r="J239" s="20">
        <f t="shared" si="3"/>
        <v>562309</v>
      </c>
      <c r="K239" s="21" t="str">
        <f>VLOOKUP(C239,'[1]SHU 2023'!C$9:K$719,9,0)</f>
        <v>PASIF</v>
      </c>
    </row>
    <row r="240" spans="1:11" x14ac:dyDescent="0.35">
      <c r="A240" s="22">
        <v>233</v>
      </c>
      <c r="B240" s="23" t="s">
        <v>544</v>
      </c>
      <c r="C240" s="24" t="s">
        <v>545</v>
      </c>
      <c r="D240" s="25" t="s">
        <v>546</v>
      </c>
      <c r="E240" s="26">
        <v>0</v>
      </c>
      <c r="F240" s="26">
        <v>0</v>
      </c>
      <c r="G240" s="26">
        <v>0</v>
      </c>
      <c r="H240" s="26">
        <v>275367.87378344825</v>
      </c>
      <c r="I240" s="26">
        <v>0</v>
      </c>
      <c r="J240" s="20">
        <f t="shared" si="3"/>
        <v>275367.87378344825</v>
      </c>
      <c r="K240" s="21" t="str">
        <f>VLOOKUP(C240,'[1]SHU 2023'!C$9:K$719,9,0)</f>
        <v>PASIF</v>
      </c>
    </row>
    <row r="241" spans="1:11" x14ac:dyDescent="0.35">
      <c r="A241" s="22">
        <v>234</v>
      </c>
      <c r="B241" s="23" t="s">
        <v>547</v>
      </c>
      <c r="C241" s="24" t="s">
        <v>548</v>
      </c>
      <c r="D241" s="25" t="s">
        <v>193</v>
      </c>
      <c r="E241" s="26">
        <v>5000</v>
      </c>
      <c r="F241" s="26">
        <v>25999750</v>
      </c>
      <c r="G241" s="26">
        <v>70000</v>
      </c>
      <c r="H241" s="26">
        <v>13802713.885782793</v>
      </c>
      <c r="I241" s="26">
        <v>0</v>
      </c>
      <c r="J241" s="20">
        <f t="shared" si="3"/>
        <v>39877463.885782793</v>
      </c>
      <c r="K241" s="21" t="str">
        <f>VLOOKUP(C241,'[1]SHU 2023'!C$9:K$719,9,0)</f>
        <v>AKTIF</v>
      </c>
    </row>
    <row r="242" spans="1:11" x14ac:dyDescent="0.35">
      <c r="A242" s="22">
        <v>235</v>
      </c>
      <c r="B242" s="23" t="s">
        <v>549</v>
      </c>
      <c r="C242" s="24" t="s">
        <v>550</v>
      </c>
      <c r="D242" s="25" t="s">
        <v>39</v>
      </c>
      <c r="E242" s="26">
        <v>5000</v>
      </c>
      <c r="F242" s="26">
        <v>4942309</v>
      </c>
      <c r="G242" s="26">
        <v>0</v>
      </c>
      <c r="H242" s="26">
        <v>5525666.0486421082</v>
      </c>
      <c r="I242" s="26">
        <v>0</v>
      </c>
      <c r="J242" s="20">
        <f t="shared" si="3"/>
        <v>10472975.048642108</v>
      </c>
      <c r="K242" s="21" t="str">
        <f>VLOOKUP(C242,'[1]SHU 2023'!C$9:K$719,9,0)</f>
        <v>PASIF</v>
      </c>
    </row>
    <row r="243" spans="1:11" x14ac:dyDescent="0.35">
      <c r="A243" s="22">
        <v>236</v>
      </c>
      <c r="B243" s="23" t="s">
        <v>551</v>
      </c>
      <c r="C243" s="24" t="s">
        <v>552</v>
      </c>
      <c r="D243" s="25" t="s">
        <v>265</v>
      </c>
      <c r="E243" s="26">
        <v>5000</v>
      </c>
      <c r="F243" s="26">
        <v>22825000</v>
      </c>
      <c r="G243" s="26">
        <v>0</v>
      </c>
      <c r="H243" s="26">
        <v>2370200.4168902971</v>
      </c>
      <c r="I243" s="26">
        <v>0</v>
      </c>
      <c r="J243" s="20">
        <f t="shared" si="3"/>
        <v>25200200.416890297</v>
      </c>
      <c r="K243" s="21" t="str">
        <f>VLOOKUP(C243,'[1]SHU 2023'!C$9:K$719,9,0)</f>
        <v>AKTIF</v>
      </c>
    </row>
    <row r="244" spans="1:11" x14ac:dyDescent="0.35">
      <c r="A244" s="22">
        <v>237</v>
      </c>
      <c r="B244" s="23" t="s">
        <v>553</v>
      </c>
      <c r="C244" s="24" t="s">
        <v>554</v>
      </c>
      <c r="D244" s="25" t="s">
        <v>42</v>
      </c>
      <c r="E244" s="26">
        <v>0</v>
      </c>
      <c r="F244" s="26">
        <v>0</v>
      </c>
      <c r="G244" s="26">
        <v>0</v>
      </c>
      <c r="H244" s="26">
        <v>363077</v>
      </c>
      <c r="I244" s="26">
        <v>0</v>
      </c>
      <c r="J244" s="20">
        <f t="shared" si="3"/>
        <v>363077</v>
      </c>
      <c r="K244" s="21" t="str">
        <f>VLOOKUP(C244,'[1]SHU 2023'!C$9:K$719,9,0)</f>
        <v>PASIF</v>
      </c>
    </row>
    <row r="245" spans="1:11" x14ac:dyDescent="0.35">
      <c r="A245" s="22">
        <v>238</v>
      </c>
      <c r="B245" s="23" t="s">
        <v>555</v>
      </c>
      <c r="C245" s="24" t="s">
        <v>556</v>
      </c>
      <c r="D245" s="25" t="s">
        <v>17</v>
      </c>
      <c r="E245" s="26">
        <v>0</v>
      </c>
      <c r="F245" s="26">
        <v>0</v>
      </c>
      <c r="G245" s="26">
        <v>0</v>
      </c>
      <c r="H245" s="26">
        <v>489208.89512369456</v>
      </c>
      <c r="I245" s="26">
        <v>0</v>
      </c>
      <c r="J245" s="20">
        <f t="shared" si="3"/>
        <v>489208.89512369456</v>
      </c>
      <c r="K245" s="21" t="str">
        <f>VLOOKUP(C245,'[1]SHU 2023'!C$9:K$719,9,0)</f>
        <v>BUKAN ANGGOTA</v>
      </c>
    </row>
    <row r="246" spans="1:11" x14ac:dyDescent="0.35">
      <c r="A246" s="22">
        <v>239</v>
      </c>
      <c r="B246" s="23" t="s">
        <v>557</v>
      </c>
      <c r="C246" s="24" t="s">
        <v>558</v>
      </c>
      <c r="D246" s="25" t="s">
        <v>25</v>
      </c>
      <c r="E246" s="26">
        <v>5000</v>
      </c>
      <c r="F246" s="26">
        <v>7828200</v>
      </c>
      <c r="G246" s="26">
        <v>60000</v>
      </c>
      <c r="H246" s="26">
        <v>2253267.7703546742</v>
      </c>
      <c r="I246" s="26">
        <v>0</v>
      </c>
      <c r="J246" s="20">
        <f t="shared" si="3"/>
        <v>10146467.770354673</v>
      </c>
      <c r="K246" s="21" t="str">
        <f>VLOOKUP(C246,'[1]SHU 2023'!C$9:K$719,9,0)</f>
        <v>PASIF</v>
      </c>
    </row>
    <row r="247" spans="1:11" x14ac:dyDescent="0.35">
      <c r="A247" s="22">
        <v>240</v>
      </c>
      <c r="B247" s="23" t="s">
        <v>559</v>
      </c>
      <c r="C247" s="24" t="s">
        <v>560</v>
      </c>
      <c r="D247" s="25" t="s">
        <v>92</v>
      </c>
      <c r="E247" s="26">
        <v>5000</v>
      </c>
      <c r="F247" s="26">
        <v>19675000</v>
      </c>
      <c r="G247" s="26">
        <v>0</v>
      </c>
      <c r="H247" s="26">
        <v>1853460.1779220146</v>
      </c>
      <c r="I247" s="26">
        <v>0</v>
      </c>
      <c r="J247" s="20">
        <f t="shared" si="3"/>
        <v>21533460.177922014</v>
      </c>
      <c r="K247" s="21" t="str">
        <f>VLOOKUP(C247,'[1]SHU 2023'!C$9:K$719,9,0)</f>
        <v>AKTIF</v>
      </c>
    </row>
    <row r="248" spans="1:11" x14ac:dyDescent="0.35">
      <c r="A248" s="22">
        <v>241</v>
      </c>
      <c r="B248" s="23" t="s">
        <v>561</v>
      </c>
      <c r="C248" s="24" t="s">
        <v>562</v>
      </c>
      <c r="D248" s="25" t="s">
        <v>28</v>
      </c>
      <c r="E248" s="26">
        <v>5000</v>
      </c>
      <c r="F248" s="26">
        <v>77857727</v>
      </c>
      <c r="G248" s="26">
        <v>796000</v>
      </c>
      <c r="H248" s="26">
        <v>14068477.855697315</v>
      </c>
      <c r="I248" s="26">
        <v>0</v>
      </c>
      <c r="J248" s="20">
        <f t="shared" si="3"/>
        <v>92727204.855697319</v>
      </c>
      <c r="K248" s="21" t="str">
        <f>VLOOKUP(C248,'[1]SHU 2023'!C$9:K$719,9,0)</f>
        <v>AKTIF</v>
      </c>
    </row>
    <row r="249" spans="1:11" x14ac:dyDescent="0.35">
      <c r="A249" s="22">
        <v>242</v>
      </c>
      <c r="B249" s="23" t="s">
        <v>563</v>
      </c>
      <c r="C249" s="24" t="s">
        <v>564</v>
      </c>
      <c r="D249" s="25" t="s">
        <v>123</v>
      </c>
      <c r="E249" s="26">
        <v>5000</v>
      </c>
      <c r="F249" s="26">
        <v>38094022</v>
      </c>
      <c r="G249" s="26">
        <v>25000</v>
      </c>
      <c r="H249" s="26">
        <v>5371053.7933312291</v>
      </c>
      <c r="I249" s="26">
        <v>0</v>
      </c>
      <c r="J249" s="20">
        <f t="shared" si="3"/>
        <v>43495075.793331228</v>
      </c>
      <c r="K249" s="21" t="str">
        <f>VLOOKUP(C249,'[1]SHU 2023'!C$9:K$719,9,0)</f>
        <v>AKTIF</v>
      </c>
    </row>
    <row r="250" spans="1:11" x14ac:dyDescent="0.35">
      <c r="A250" s="22">
        <v>243</v>
      </c>
      <c r="B250" s="23" t="s">
        <v>565</v>
      </c>
      <c r="C250" s="24" t="s">
        <v>566</v>
      </c>
      <c r="D250" s="25" t="s">
        <v>136</v>
      </c>
      <c r="E250" s="26">
        <v>5000</v>
      </c>
      <c r="F250" s="26">
        <v>22650255</v>
      </c>
      <c r="G250" s="26">
        <v>0</v>
      </c>
      <c r="H250" s="26">
        <v>5193689.0303288726</v>
      </c>
      <c r="I250" s="26">
        <v>0</v>
      </c>
      <c r="J250" s="20">
        <f t="shared" si="3"/>
        <v>27848944.030328874</v>
      </c>
      <c r="K250" s="21" t="str">
        <f>VLOOKUP(C250,'[1]SHU 2023'!C$9:K$719,9,0)</f>
        <v>AKTIF</v>
      </c>
    </row>
    <row r="251" spans="1:11" x14ac:dyDescent="0.35">
      <c r="A251" s="22">
        <v>244</v>
      </c>
      <c r="B251" s="23" t="s">
        <v>567</v>
      </c>
      <c r="C251" s="24" t="s">
        <v>568</v>
      </c>
      <c r="D251" s="25" t="s">
        <v>569</v>
      </c>
      <c r="E251" s="26">
        <v>5000</v>
      </c>
      <c r="F251" s="26">
        <v>16709933</v>
      </c>
      <c r="G251" s="26">
        <v>150000</v>
      </c>
      <c r="H251" s="26">
        <v>3162948.301268904</v>
      </c>
      <c r="I251" s="26">
        <v>0</v>
      </c>
      <c r="J251" s="20">
        <f t="shared" si="3"/>
        <v>20027881.301268905</v>
      </c>
      <c r="K251" s="21" t="str">
        <f>VLOOKUP(C251,'[1]SHU 2023'!C$9:K$719,9,0)</f>
        <v>AKTIF</v>
      </c>
    </row>
    <row r="252" spans="1:11" x14ac:dyDescent="0.35">
      <c r="A252" s="22">
        <v>245</v>
      </c>
      <c r="B252" s="23" t="s">
        <v>570</v>
      </c>
      <c r="C252" s="24" t="s">
        <v>571</v>
      </c>
      <c r="D252" s="25" t="s">
        <v>285</v>
      </c>
      <c r="E252" s="26">
        <v>5000</v>
      </c>
      <c r="F252" s="26">
        <v>34799256</v>
      </c>
      <c r="G252" s="26">
        <v>3425000</v>
      </c>
      <c r="H252" s="26">
        <v>1279147.1117088324</v>
      </c>
      <c r="I252" s="26">
        <v>0</v>
      </c>
      <c r="J252" s="20">
        <f t="shared" si="3"/>
        <v>39508403.111708835</v>
      </c>
      <c r="K252" s="21" t="str">
        <f>VLOOKUP(C252,'[1]SHU 2023'!C$9:K$719,9,0)</f>
        <v>AKTIF</v>
      </c>
    </row>
    <row r="253" spans="1:11" x14ac:dyDescent="0.35">
      <c r="A253" s="22">
        <v>246</v>
      </c>
      <c r="B253" s="23" t="s">
        <v>572</v>
      </c>
      <c r="C253" s="24" t="s">
        <v>573</v>
      </c>
      <c r="D253" s="25" t="s">
        <v>298</v>
      </c>
      <c r="E253" s="26">
        <v>5000</v>
      </c>
      <c r="F253" s="26">
        <v>22313505</v>
      </c>
      <c r="G253" s="26">
        <v>250000</v>
      </c>
      <c r="H253" s="26">
        <v>2763340.5484420783</v>
      </c>
      <c r="I253" s="26">
        <v>0</v>
      </c>
      <c r="J253" s="20">
        <f t="shared" si="3"/>
        <v>25331845.548442077</v>
      </c>
      <c r="K253" s="21" t="str">
        <f>VLOOKUP(C253,'[1]SHU 2023'!C$9:K$719,9,0)</f>
        <v>AKTIF</v>
      </c>
    </row>
    <row r="254" spans="1:11" x14ac:dyDescent="0.35">
      <c r="A254" s="22">
        <v>247</v>
      </c>
      <c r="B254" s="23" t="s">
        <v>574</v>
      </c>
      <c r="C254" s="24" t="s">
        <v>575</v>
      </c>
      <c r="D254" s="25" t="s">
        <v>193</v>
      </c>
      <c r="E254" s="26">
        <v>5000</v>
      </c>
      <c r="F254" s="26">
        <v>15389498</v>
      </c>
      <c r="G254" s="26">
        <v>0</v>
      </c>
      <c r="H254" s="26">
        <v>7495297.8287773058</v>
      </c>
      <c r="I254" s="26">
        <v>0</v>
      </c>
      <c r="J254" s="20">
        <f t="shared" si="3"/>
        <v>22889795.828777306</v>
      </c>
      <c r="K254" s="21" t="str">
        <f>VLOOKUP(C254,'[1]SHU 2023'!C$9:K$719,9,0)</f>
        <v>PASIF</v>
      </c>
    </row>
    <row r="255" spans="1:11" x14ac:dyDescent="0.35">
      <c r="A255" s="22">
        <v>248</v>
      </c>
      <c r="B255" s="23" t="s">
        <v>576</v>
      </c>
      <c r="C255" s="24" t="s">
        <v>577</v>
      </c>
      <c r="D255" s="25" t="s">
        <v>92</v>
      </c>
      <c r="E255" s="26">
        <v>5000</v>
      </c>
      <c r="F255" s="26">
        <v>25550000</v>
      </c>
      <c r="G255" s="26">
        <v>0</v>
      </c>
      <c r="H255" s="26">
        <v>2343699.1531714392</v>
      </c>
      <c r="I255" s="26">
        <v>0</v>
      </c>
      <c r="J255" s="20">
        <f t="shared" si="3"/>
        <v>27898699.153171439</v>
      </c>
      <c r="K255" s="21" t="str">
        <f>VLOOKUP(C255,'[1]SHU 2023'!C$9:K$719,9,0)</f>
        <v>AKTIF</v>
      </c>
    </row>
    <row r="256" spans="1:11" x14ac:dyDescent="0.35">
      <c r="A256" s="22">
        <v>249</v>
      </c>
      <c r="B256" s="23" t="s">
        <v>578</v>
      </c>
      <c r="C256" s="24" t="s">
        <v>579</v>
      </c>
      <c r="D256" s="25" t="s">
        <v>42</v>
      </c>
      <c r="E256" s="26">
        <v>0</v>
      </c>
      <c r="F256" s="26">
        <v>0</v>
      </c>
      <c r="G256" s="26">
        <v>0</v>
      </c>
      <c r="H256" s="26">
        <v>1442610</v>
      </c>
      <c r="I256" s="26">
        <v>0</v>
      </c>
      <c r="J256" s="20">
        <f t="shared" si="3"/>
        <v>1442610</v>
      </c>
      <c r="K256" s="21" t="str">
        <f>VLOOKUP(C256,'[1]SHU 2023'!C$9:K$719,9,0)</f>
        <v>PASIF</v>
      </c>
    </row>
    <row r="257" spans="1:11" x14ac:dyDescent="0.35">
      <c r="A257" s="22">
        <v>250</v>
      </c>
      <c r="B257" s="23" t="s">
        <v>580</v>
      </c>
      <c r="C257" s="24" t="s">
        <v>581</v>
      </c>
      <c r="D257" s="25" t="s">
        <v>161</v>
      </c>
      <c r="E257" s="26">
        <v>5000</v>
      </c>
      <c r="F257" s="26">
        <v>0</v>
      </c>
      <c r="G257" s="26">
        <v>0</v>
      </c>
      <c r="H257" s="26">
        <v>0.3799637989141047</v>
      </c>
      <c r="I257" s="26">
        <v>0</v>
      </c>
      <c r="J257" s="20">
        <f t="shared" si="3"/>
        <v>5000.3799637989141</v>
      </c>
      <c r="K257" s="21" t="str">
        <f>VLOOKUP(C257,'[1]SHU 2023'!C$9:K$719,9,0)</f>
        <v>BUKAN ANGGOTA</v>
      </c>
    </row>
    <row r="258" spans="1:11" x14ac:dyDescent="0.35">
      <c r="A258" s="22">
        <v>251</v>
      </c>
      <c r="B258" s="23" t="s">
        <v>582</v>
      </c>
      <c r="C258" s="24" t="s">
        <v>583</v>
      </c>
      <c r="D258" s="25" t="s">
        <v>25</v>
      </c>
      <c r="E258" s="26">
        <v>5000</v>
      </c>
      <c r="F258" s="26">
        <v>9750000</v>
      </c>
      <c r="G258" s="26">
        <v>0</v>
      </c>
      <c r="H258" s="26">
        <v>838269.13911519654</v>
      </c>
      <c r="I258" s="26">
        <v>0</v>
      </c>
      <c r="J258" s="20">
        <f t="shared" si="3"/>
        <v>10593269.139115196</v>
      </c>
      <c r="K258" s="21" t="str">
        <f>VLOOKUP(C258,'[1]SHU 2023'!C$9:K$719,9,0)</f>
        <v>PASIF</v>
      </c>
    </row>
    <row r="259" spans="1:11" x14ac:dyDescent="0.35">
      <c r="A259" s="22">
        <v>252</v>
      </c>
      <c r="B259" s="23" t="s">
        <v>584</v>
      </c>
      <c r="C259" s="24" t="s">
        <v>585</v>
      </c>
      <c r="D259" s="25" t="s">
        <v>66</v>
      </c>
      <c r="E259" s="26">
        <v>0</v>
      </c>
      <c r="F259" s="26">
        <v>0</v>
      </c>
      <c r="G259" s="26">
        <v>0</v>
      </c>
      <c r="H259" s="26">
        <v>0.37200840190052986</v>
      </c>
      <c r="I259" s="26">
        <v>0</v>
      </c>
      <c r="J259" s="20">
        <f t="shared" si="3"/>
        <v>0.37200840190052986</v>
      </c>
      <c r="K259" s="21" t="s">
        <v>49</v>
      </c>
    </row>
    <row r="260" spans="1:11" x14ac:dyDescent="0.35">
      <c r="A260" s="22">
        <v>253</v>
      </c>
      <c r="B260" s="23" t="s">
        <v>586</v>
      </c>
      <c r="C260" s="24" t="s">
        <v>587</v>
      </c>
      <c r="D260" s="25" t="s">
        <v>92</v>
      </c>
      <c r="E260" s="26">
        <v>0</v>
      </c>
      <c r="F260" s="26">
        <v>0</v>
      </c>
      <c r="G260" s="26">
        <v>0</v>
      </c>
      <c r="H260" s="26">
        <v>-0.20049358555115759</v>
      </c>
      <c r="I260" s="26">
        <v>0</v>
      </c>
      <c r="J260" s="20">
        <f t="shared" si="3"/>
        <v>-0.20049358555115759</v>
      </c>
      <c r="K260" s="21" t="s">
        <v>49</v>
      </c>
    </row>
    <row r="261" spans="1:11" x14ac:dyDescent="0.35">
      <c r="A261" s="22">
        <v>254</v>
      </c>
      <c r="B261" s="23" t="s">
        <v>588</v>
      </c>
      <c r="C261" s="24" t="s">
        <v>589</v>
      </c>
      <c r="D261" s="25" t="s">
        <v>113</v>
      </c>
      <c r="E261" s="26">
        <v>0</v>
      </c>
      <c r="F261" s="26">
        <v>0</v>
      </c>
      <c r="G261" s="26">
        <v>0</v>
      </c>
      <c r="H261" s="26">
        <v>146800.93275397271</v>
      </c>
      <c r="I261" s="26">
        <v>0</v>
      </c>
      <c r="J261" s="20">
        <f t="shared" si="3"/>
        <v>146800.93275397271</v>
      </c>
      <c r="K261" s="21" t="str">
        <f>VLOOKUP(C261,'[1]SHU 2023'!C$9:K$719,9,0)</f>
        <v>PASIF</v>
      </c>
    </row>
    <row r="262" spans="1:11" x14ac:dyDescent="0.35">
      <c r="A262" s="22">
        <v>255</v>
      </c>
      <c r="B262" s="23" t="s">
        <v>590</v>
      </c>
      <c r="C262" s="24" t="s">
        <v>591</v>
      </c>
      <c r="D262" s="25" t="s">
        <v>196</v>
      </c>
      <c r="E262" s="26">
        <v>5000</v>
      </c>
      <c r="F262" s="26">
        <v>55000</v>
      </c>
      <c r="G262" s="26">
        <v>0</v>
      </c>
      <c r="H262" s="26">
        <v>341563.78286582767</v>
      </c>
      <c r="I262" s="26">
        <v>0</v>
      </c>
      <c r="J262" s="20">
        <f t="shared" si="3"/>
        <v>401563.78286582767</v>
      </c>
      <c r="K262" s="21" t="str">
        <f>VLOOKUP(C262,'[1]SHU 2023'!C$9:K$719,9,0)</f>
        <v>PASIF</v>
      </c>
    </row>
    <row r="263" spans="1:11" x14ac:dyDescent="0.35">
      <c r="A263" s="22">
        <v>256</v>
      </c>
      <c r="B263" s="23" t="s">
        <v>592</v>
      </c>
      <c r="C263" s="24" t="s">
        <v>593</v>
      </c>
      <c r="D263" s="25" t="s">
        <v>92</v>
      </c>
      <c r="E263" s="26">
        <v>0</v>
      </c>
      <c r="F263" s="26">
        <v>0</v>
      </c>
      <c r="G263" s="26">
        <v>0</v>
      </c>
      <c r="H263" s="26">
        <v>155664.77599200606</v>
      </c>
      <c r="I263" s="26">
        <v>0</v>
      </c>
      <c r="J263" s="20">
        <f t="shared" si="3"/>
        <v>155664.77599200606</v>
      </c>
      <c r="K263" s="21" t="str">
        <f>VLOOKUP(C263,'[1]SHU 2023'!C$9:K$719,9,0)</f>
        <v>PASIF</v>
      </c>
    </row>
    <row r="264" spans="1:11" x14ac:dyDescent="0.35">
      <c r="A264" s="22">
        <v>257</v>
      </c>
      <c r="B264" s="23" t="s">
        <v>594</v>
      </c>
      <c r="C264" s="24" t="s">
        <v>595</v>
      </c>
      <c r="D264" s="25" t="s">
        <v>92</v>
      </c>
      <c r="E264" s="26">
        <v>0</v>
      </c>
      <c r="F264" s="26">
        <v>0</v>
      </c>
      <c r="G264" s="26">
        <v>0</v>
      </c>
      <c r="H264" s="26">
        <v>3466839</v>
      </c>
      <c r="I264" s="26">
        <v>0</v>
      </c>
      <c r="J264" s="20">
        <f t="shared" si="3"/>
        <v>3466839</v>
      </c>
      <c r="K264" s="21" t="str">
        <f>VLOOKUP(C264,'[1]SHU 2023'!C$9:K$719,9,0)</f>
        <v>PASIF</v>
      </c>
    </row>
    <row r="265" spans="1:11" x14ac:dyDescent="0.35">
      <c r="A265" s="22">
        <v>258</v>
      </c>
      <c r="B265" s="23" t="s">
        <v>596</v>
      </c>
      <c r="C265" s="24" t="s">
        <v>597</v>
      </c>
      <c r="D265" s="25" t="s">
        <v>31</v>
      </c>
      <c r="E265" s="26">
        <v>5000</v>
      </c>
      <c r="F265" s="26">
        <v>16704146</v>
      </c>
      <c r="G265" s="26">
        <v>1300000</v>
      </c>
      <c r="H265" s="26">
        <v>411238.18948501477</v>
      </c>
      <c r="I265" s="26">
        <v>0</v>
      </c>
      <c r="J265" s="20">
        <f t="shared" ref="J265:J328" si="4">E265+F265+G265+H265</f>
        <v>18420384.189485013</v>
      </c>
      <c r="K265" s="21" t="str">
        <f>VLOOKUP(C265,'[1]SHU 2023'!C$9:K$719,9,0)</f>
        <v>AKTIF</v>
      </c>
    </row>
    <row r="266" spans="1:11" x14ac:dyDescent="0.35">
      <c r="A266" s="22">
        <v>259</v>
      </c>
      <c r="B266" s="23" t="s">
        <v>598</v>
      </c>
      <c r="C266" s="24" t="s">
        <v>599</v>
      </c>
      <c r="D266" s="25" t="s">
        <v>126</v>
      </c>
      <c r="E266" s="26">
        <v>5000</v>
      </c>
      <c r="F266" s="26">
        <v>41104126</v>
      </c>
      <c r="G266" s="26">
        <v>1490000</v>
      </c>
      <c r="H266" s="26">
        <v>10472140.176209964</v>
      </c>
      <c r="I266" s="26">
        <v>0</v>
      </c>
      <c r="J266" s="20">
        <f t="shared" si="4"/>
        <v>53071266.176209964</v>
      </c>
      <c r="K266" s="21" t="str">
        <f>VLOOKUP(C266,'[1]SHU 2023'!C$9:K$719,9,0)</f>
        <v>AKTIF</v>
      </c>
    </row>
    <row r="267" spans="1:11" x14ac:dyDescent="0.35">
      <c r="A267" s="22">
        <v>260</v>
      </c>
      <c r="B267" s="23" t="s">
        <v>600</v>
      </c>
      <c r="C267" s="24" t="s">
        <v>601</v>
      </c>
      <c r="D267" s="25" t="s">
        <v>54</v>
      </c>
      <c r="E267" s="26">
        <v>0</v>
      </c>
      <c r="F267" s="26">
        <v>0</v>
      </c>
      <c r="G267" s="26">
        <v>0</v>
      </c>
      <c r="H267" s="26">
        <v>110201.95735645248</v>
      </c>
      <c r="I267" s="26">
        <v>0</v>
      </c>
      <c r="J267" s="20">
        <f t="shared" si="4"/>
        <v>110201.95735645248</v>
      </c>
      <c r="K267" s="21" t="str">
        <f>VLOOKUP(C267,'[1]SHU 2023'!C$9:K$719,9,0)</f>
        <v>PASIF</v>
      </c>
    </row>
    <row r="268" spans="1:11" x14ac:dyDescent="0.35">
      <c r="A268" s="22">
        <v>261</v>
      </c>
      <c r="B268" s="23" t="s">
        <v>602</v>
      </c>
      <c r="C268" s="24" t="s">
        <v>603</v>
      </c>
      <c r="D268" s="25" t="s">
        <v>233</v>
      </c>
      <c r="E268" s="26">
        <v>5000</v>
      </c>
      <c r="F268" s="26">
        <v>24786773</v>
      </c>
      <c r="G268" s="26">
        <v>2115000</v>
      </c>
      <c r="H268" s="26">
        <v>3728976.830113872</v>
      </c>
      <c r="I268" s="26">
        <v>0</v>
      </c>
      <c r="J268" s="20">
        <f t="shared" si="4"/>
        <v>30635749.830113873</v>
      </c>
      <c r="K268" s="21" t="str">
        <f>VLOOKUP(C268,'[1]SHU 2023'!C$9:K$719,9,0)</f>
        <v>AKTIF</v>
      </c>
    </row>
    <row r="269" spans="1:11" x14ac:dyDescent="0.35">
      <c r="A269" s="22">
        <v>262</v>
      </c>
      <c r="B269" s="23" t="s">
        <v>604</v>
      </c>
      <c r="C269" s="24" t="s">
        <v>605</v>
      </c>
      <c r="D269" s="25" t="s">
        <v>20</v>
      </c>
      <c r="E269" s="26">
        <v>5000</v>
      </c>
      <c r="F269" s="26">
        <v>62397002</v>
      </c>
      <c r="G269" s="26">
        <v>535000</v>
      </c>
      <c r="H269" s="26">
        <v>5889519.9959423821</v>
      </c>
      <c r="I269" s="26">
        <v>0</v>
      </c>
      <c r="J269" s="20">
        <f t="shared" si="4"/>
        <v>68826521.995942384</v>
      </c>
      <c r="K269" s="21" t="str">
        <f>VLOOKUP(C269,'[1]SHU 2023'!C$9:K$719,9,0)</f>
        <v>AKTIF</v>
      </c>
    </row>
    <row r="270" spans="1:11" x14ac:dyDescent="0.35">
      <c r="A270" s="22">
        <v>263</v>
      </c>
      <c r="B270" s="23" t="s">
        <v>606</v>
      </c>
      <c r="C270" s="24" t="s">
        <v>607</v>
      </c>
      <c r="D270" s="25" t="s">
        <v>131</v>
      </c>
      <c r="E270" s="26">
        <v>5000</v>
      </c>
      <c r="F270" s="26">
        <v>46347002</v>
      </c>
      <c r="G270" s="26">
        <v>0</v>
      </c>
      <c r="H270" s="26">
        <v>4839277.2119274819</v>
      </c>
      <c r="I270" s="26">
        <v>0</v>
      </c>
      <c r="J270" s="20">
        <f t="shared" si="4"/>
        <v>51191279.211927481</v>
      </c>
      <c r="K270" s="21" t="str">
        <f>VLOOKUP(C270,'[1]SHU 2023'!C$9:K$719,9,0)</f>
        <v>AKTIF</v>
      </c>
    </row>
    <row r="271" spans="1:11" x14ac:dyDescent="0.35">
      <c r="A271" s="22">
        <v>264</v>
      </c>
      <c r="B271" s="23" t="s">
        <v>608</v>
      </c>
      <c r="C271" s="24" t="s">
        <v>609</v>
      </c>
      <c r="D271" s="25" t="s">
        <v>92</v>
      </c>
      <c r="E271" s="26">
        <v>5000</v>
      </c>
      <c r="F271" s="26">
        <v>25665346</v>
      </c>
      <c r="G271" s="26">
        <v>595000</v>
      </c>
      <c r="H271" s="26">
        <v>2652424.7196600609</v>
      </c>
      <c r="I271" s="26">
        <v>0</v>
      </c>
      <c r="J271" s="20">
        <f t="shared" si="4"/>
        <v>28917770.719660062</v>
      </c>
      <c r="K271" s="21" t="str">
        <f>VLOOKUP(C271,'[1]SHU 2023'!C$9:K$719,9,0)</f>
        <v>AKTIF</v>
      </c>
    </row>
    <row r="272" spans="1:11" x14ac:dyDescent="0.35">
      <c r="A272" s="22">
        <v>265</v>
      </c>
      <c r="B272" s="23" t="s">
        <v>610</v>
      </c>
      <c r="C272" s="24" t="s">
        <v>611</v>
      </c>
      <c r="D272" s="25" t="s">
        <v>113</v>
      </c>
      <c r="E272" s="26">
        <v>0</v>
      </c>
      <c r="F272" s="26">
        <v>0</v>
      </c>
      <c r="G272" s="26">
        <v>0</v>
      </c>
      <c r="H272" s="26">
        <v>-0.48566586896777153</v>
      </c>
      <c r="I272" s="26">
        <v>0</v>
      </c>
      <c r="J272" s="20">
        <f t="shared" si="4"/>
        <v>-0.48566586896777153</v>
      </c>
      <c r="K272" s="21" t="s">
        <v>49</v>
      </c>
    </row>
    <row r="273" spans="1:11" x14ac:dyDescent="0.35">
      <c r="A273" s="22">
        <v>266</v>
      </c>
      <c r="B273" s="23" t="s">
        <v>612</v>
      </c>
      <c r="C273" s="24" t="s">
        <v>613</v>
      </c>
      <c r="D273" s="25" t="s">
        <v>31</v>
      </c>
      <c r="E273" s="26">
        <v>5000</v>
      </c>
      <c r="F273" s="26">
        <v>25923960</v>
      </c>
      <c r="G273" s="26">
        <v>1285000</v>
      </c>
      <c r="H273" s="26">
        <v>2412305.8097722665</v>
      </c>
      <c r="I273" s="26">
        <v>0</v>
      </c>
      <c r="J273" s="20">
        <f t="shared" si="4"/>
        <v>29626265.809772268</v>
      </c>
      <c r="K273" s="21" t="str">
        <f>VLOOKUP(C273,'[1]SHU 2023'!C$9:K$719,9,0)</f>
        <v>AKTIF</v>
      </c>
    </row>
    <row r="274" spans="1:11" x14ac:dyDescent="0.35">
      <c r="A274" s="22">
        <v>267</v>
      </c>
      <c r="B274" s="23" t="s">
        <v>614</v>
      </c>
      <c r="C274" s="24" t="s">
        <v>615</v>
      </c>
      <c r="D274" s="25" t="s">
        <v>59</v>
      </c>
      <c r="E274" s="26">
        <v>0</v>
      </c>
      <c r="F274" s="26">
        <v>150000</v>
      </c>
      <c r="G274" s="26">
        <v>0</v>
      </c>
      <c r="H274" s="26">
        <v>472798.51769596152</v>
      </c>
      <c r="I274" s="26">
        <v>0</v>
      </c>
      <c r="J274" s="20">
        <f t="shared" si="4"/>
        <v>622798.51769596152</v>
      </c>
      <c r="K274" s="21" t="str">
        <f>VLOOKUP(C274,'[1]SHU 2023'!C$9:K$719,9,0)</f>
        <v>BUKAN ANGGOTA</v>
      </c>
    </row>
    <row r="275" spans="1:11" x14ac:dyDescent="0.35">
      <c r="A275" s="22">
        <v>268</v>
      </c>
      <c r="B275" s="23" t="s">
        <v>616</v>
      </c>
      <c r="C275" s="24" t="s">
        <v>617</v>
      </c>
      <c r="D275" s="25" t="s">
        <v>161</v>
      </c>
      <c r="E275" s="26">
        <v>0</v>
      </c>
      <c r="F275" s="26">
        <v>0</v>
      </c>
      <c r="G275" s="26">
        <v>0</v>
      </c>
      <c r="H275" s="26">
        <v>-599999.93490521424</v>
      </c>
      <c r="I275" s="26">
        <v>0</v>
      </c>
      <c r="J275" s="20">
        <f t="shared" si="4"/>
        <v>-599999.93490521424</v>
      </c>
      <c r="K275" s="21" t="str">
        <f>VLOOKUP(C275,'[1]SHU 2023'!C$9:K$719,9,0)</f>
        <v>PASIF</v>
      </c>
    </row>
    <row r="276" spans="1:11" x14ac:dyDescent="0.35">
      <c r="A276" s="22">
        <v>269</v>
      </c>
      <c r="B276" s="23" t="s">
        <v>618</v>
      </c>
      <c r="C276" s="24" t="s">
        <v>619</v>
      </c>
      <c r="D276" s="25" t="s">
        <v>131</v>
      </c>
      <c r="E276" s="26">
        <v>5000</v>
      </c>
      <c r="F276" s="26">
        <v>21920858</v>
      </c>
      <c r="G276" s="26">
        <v>60000</v>
      </c>
      <c r="H276" s="26">
        <v>2353773.8933159802</v>
      </c>
      <c r="I276" s="26">
        <v>0</v>
      </c>
      <c r="J276" s="20">
        <f t="shared" si="4"/>
        <v>24339631.893315978</v>
      </c>
      <c r="K276" s="21" t="str">
        <f>VLOOKUP(C276,'[1]SHU 2023'!C$9:K$719,9,0)</f>
        <v>AKTIF</v>
      </c>
    </row>
    <row r="277" spans="1:11" x14ac:dyDescent="0.35">
      <c r="A277" s="22">
        <v>270</v>
      </c>
      <c r="B277" s="23" t="s">
        <v>620</v>
      </c>
      <c r="C277" s="24" t="s">
        <v>621</v>
      </c>
      <c r="D277" s="25" t="s">
        <v>424</v>
      </c>
      <c r="E277" s="26">
        <v>0</v>
      </c>
      <c r="F277" s="26">
        <v>250000</v>
      </c>
      <c r="G277" s="26">
        <v>0</v>
      </c>
      <c r="H277" s="26">
        <v>10257.509960345924</v>
      </c>
      <c r="I277" s="26">
        <v>0</v>
      </c>
      <c r="J277" s="20">
        <f t="shared" si="4"/>
        <v>260257.50996034592</v>
      </c>
      <c r="K277" s="21" t="str">
        <f>VLOOKUP(C277,'[1]SHU 2023'!C$9:K$719,9,0)</f>
        <v>PASIF</v>
      </c>
    </row>
    <row r="278" spans="1:11" x14ac:dyDescent="0.35">
      <c r="A278" s="22">
        <v>271</v>
      </c>
      <c r="B278" s="23" t="s">
        <v>622</v>
      </c>
      <c r="C278" s="24" t="s">
        <v>623</v>
      </c>
      <c r="D278" s="25" t="s">
        <v>113</v>
      </c>
      <c r="E278" s="26">
        <v>5000</v>
      </c>
      <c r="F278" s="26">
        <v>34522362</v>
      </c>
      <c r="G278" s="26">
        <v>15000</v>
      </c>
      <c r="H278" s="26">
        <v>5852647.897788181</v>
      </c>
      <c r="I278" s="26">
        <v>0</v>
      </c>
      <c r="J278" s="20">
        <f t="shared" si="4"/>
        <v>40395009.897788182</v>
      </c>
      <c r="K278" s="21" t="str">
        <f>VLOOKUP(C278,'[1]SHU 2023'!C$9:K$719,9,0)</f>
        <v>AKTIF</v>
      </c>
    </row>
    <row r="279" spans="1:11" x14ac:dyDescent="0.35">
      <c r="A279" s="22">
        <v>272</v>
      </c>
      <c r="B279" s="23" t="s">
        <v>624</v>
      </c>
      <c r="C279" s="24" t="s">
        <v>625</v>
      </c>
      <c r="D279" s="25" t="s">
        <v>233</v>
      </c>
      <c r="E279" s="26">
        <v>5000</v>
      </c>
      <c r="F279" s="26">
        <v>22145858</v>
      </c>
      <c r="G279" s="26">
        <v>400000</v>
      </c>
      <c r="H279" s="26">
        <v>746055.98232935974</v>
      </c>
      <c r="I279" s="26">
        <v>0</v>
      </c>
      <c r="J279" s="20">
        <f t="shared" si="4"/>
        <v>23296913.982329361</v>
      </c>
      <c r="K279" s="21" t="str">
        <f>VLOOKUP(C279,'[1]SHU 2023'!C$9:K$719,9,0)</f>
        <v>AKTIF</v>
      </c>
    </row>
    <row r="280" spans="1:11" x14ac:dyDescent="0.35">
      <c r="A280" s="22">
        <v>273</v>
      </c>
      <c r="B280" s="23" t="s">
        <v>626</v>
      </c>
      <c r="C280" s="24" t="s">
        <v>627</v>
      </c>
      <c r="D280" s="25" t="s">
        <v>59</v>
      </c>
      <c r="E280" s="26">
        <v>0</v>
      </c>
      <c r="F280" s="26">
        <v>0</v>
      </c>
      <c r="G280" s="26">
        <v>0</v>
      </c>
      <c r="H280" s="26">
        <v>0.48286052979528904</v>
      </c>
      <c r="I280" s="26">
        <v>0</v>
      </c>
      <c r="J280" s="20">
        <f t="shared" si="4"/>
        <v>0.48286052979528904</v>
      </c>
      <c r="K280" s="21" t="s">
        <v>49</v>
      </c>
    </row>
    <row r="281" spans="1:11" x14ac:dyDescent="0.35">
      <c r="A281" s="22">
        <v>274</v>
      </c>
      <c r="B281" s="23" t="s">
        <v>628</v>
      </c>
      <c r="C281" s="24" t="s">
        <v>629</v>
      </c>
      <c r="D281" s="25" t="s">
        <v>113</v>
      </c>
      <c r="E281" s="26">
        <v>0</v>
      </c>
      <c r="F281" s="26">
        <v>0</v>
      </c>
      <c r="G281" s="26">
        <v>0</v>
      </c>
      <c r="H281" s="26">
        <v>-0.11918564978986979</v>
      </c>
      <c r="I281" s="26">
        <v>0</v>
      </c>
      <c r="J281" s="20">
        <f t="shared" si="4"/>
        <v>-0.11918564978986979</v>
      </c>
      <c r="K281" s="21" t="s">
        <v>49</v>
      </c>
    </row>
    <row r="282" spans="1:11" x14ac:dyDescent="0.35">
      <c r="A282" s="22">
        <v>275</v>
      </c>
      <c r="B282" s="23" t="s">
        <v>630</v>
      </c>
      <c r="C282" s="24" t="s">
        <v>631</v>
      </c>
      <c r="D282" s="25" t="s">
        <v>131</v>
      </c>
      <c r="E282" s="26">
        <v>0</v>
      </c>
      <c r="F282" s="26">
        <v>270000</v>
      </c>
      <c r="G282" s="26">
        <v>0</v>
      </c>
      <c r="H282" s="26">
        <v>121012.31125485525</v>
      </c>
      <c r="I282" s="26">
        <v>0</v>
      </c>
      <c r="J282" s="20">
        <f t="shared" si="4"/>
        <v>391012.31125485525</v>
      </c>
      <c r="K282" s="21" t="str">
        <f>VLOOKUP(C282,'[1]SHU 2023'!C$9:K$719,9,0)</f>
        <v>PASIF</v>
      </c>
    </row>
    <row r="283" spans="1:11" x14ac:dyDescent="0.35">
      <c r="A283" s="22">
        <v>276</v>
      </c>
      <c r="B283" s="23" t="s">
        <v>632</v>
      </c>
      <c r="C283" s="24" t="s">
        <v>633</v>
      </c>
      <c r="D283" s="25" t="s">
        <v>42</v>
      </c>
      <c r="E283" s="26">
        <v>0</v>
      </c>
      <c r="F283" s="26">
        <v>0</v>
      </c>
      <c r="G283" s="26">
        <v>0</v>
      </c>
      <c r="H283" s="26">
        <v>143401.1356755679</v>
      </c>
      <c r="I283" s="26">
        <v>0</v>
      </c>
      <c r="J283" s="20">
        <f t="shared" si="4"/>
        <v>143401.1356755679</v>
      </c>
      <c r="K283" s="21" t="str">
        <f>VLOOKUP(C283,'[1]SHU 2023'!C$9:K$719,9,0)</f>
        <v>PASIF</v>
      </c>
    </row>
    <row r="284" spans="1:11" x14ac:dyDescent="0.35">
      <c r="A284" s="22">
        <v>277</v>
      </c>
      <c r="B284" s="23" t="s">
        <v>634</v>
      </c>
      <c r="C284" s="24" t="s">
        <v>635</v>
      </c>
      <c r="D284" s="25" t="s">
        <v>31</v>
      </c>
      <c r="E284" s="26">
        <v>5000</v>
      </c>
      <c r="F284" s="26">
        <v>37345858</v>
      </c>
      <c r="G284" s="26">
        <v>0</v>
      </c>
      <c r="H284" s="26">
        <v>3137721.5997355329</v>
      </c>
      <c r="I284" s="26">
        <v>0</v>
      </c>
      <c r="J284" s="20">
        <f t="shared" si="4"/>
        <v>40488579.599735536</v>
      </c>
      <c r="K284" s="21" t="str">
        <f>VLOOKUP(C284,'[1]SHU 2023'!C$9:K$719,9,0)</f>
        <v>AKTIF</v>
      </c>
    </row>
    <row r="285" spans="1:11" x14ac:dyDescent="0.35">
      <c r="A285" s="22">
        <v>278</v>
      </c>
      <c r="B285" s="23" t="s">
        <v>636</v>
      </c>
      <c r="C285" s="24" t="s">
        <v>637</v>
      </c>
      <c r="D285" s="25" t="s">
        <v>25</v>
      </c>
      <c r="E285" s="26">
        <v>0</v>
      </c>
      <c r="F285" s="26">
        <v>0</v>
      </c>
      <c r="G285" s="26">
        <v>0</v>
      </c>
      <c r="H285" s="26">
        <v>0.3426983505487442</v>
      </c>
      <c r="I285" s="26">
        <v>0</v>
      </c>
      <c r="J285" s="20">
        <f t="shared" si="4"/>
        <v>0.3426983505487442</v>
      </c>
      <c r="K285" s="21" t="s">
        <v>49</v>
      </c>
    </row>
    <row r="286" spans="1:11" x14ac:dyDescent="0.35">
      <c r="A286" s="22">
        <v>279</v>
      </c>
      <c r="B286" s="23" t="s">
        <v>638</v>
      </c>
      <c r="C286" s="24" t="s">
        <v>639</v>
      </c>
      <c r="D286" s="25" t="s">
        <v>313</v>
      </c>
      <c r="E286" s="26">
        <v>5000</v>
      </c>
      <c r="F286" s="26">
        <v>63164163</v>
      </c>
      <c r="G286" s="26">
        <v>760000</v>
      </c>
      <c r="H286" s="26">
        <v>14346179.20098453</v>
      </c>
      <c r="I286" s="26">
        <v>0</v>
      </c>
      <c r="J286" s="20">
        <f t="shared" si="4"/>
        <v>78275342.200984538</v>
      </c>
      <c r="K286" s="21" t="str">
        <f>VLOOKUP(C286,'[1]SHU 2023'!C$9:K$719,9,0)</f>
        <v>AKTIF</v>
      </c>
    </row>
    <row r="287" spans="1:11" x14ac:dyDescent="0.35">
      <c r="A287" s="22">
        <v>280</v>
      </c>
      <c r="B287" s="23" t="s">
        <v>640</v>
      </c>
      <c r="C287" s="24" t="s">
        <v>641</v>
      </c>
      <c r="D287" s="25" t="s">
        <v>295</v>
      </c>
      <c r="E287" s="26">
        <v>0</v>
      </c>
      <c r="F287" s="26">
        <v>0</v>
      </c>
      <c r="G287" s="26">
        <v>0</v>
      </c>
      <c r="H287" s="26">
        <v>489102.90569574898</v>
      </c>
      <c r="I287" s="26">
        <v>0</v>
      </c>
      <c r="J287" s="20">
        <f t="shared" si="4"/>
        <v>489102.90569574898</v>
      </c>
      <c r="K287" s="21" t="str">
        <f>VLOOKUP(C287,'[1]SHU 2023'!C$9:K$719,9,0)</f>
        <v>PASIF</v>
      </c>
    </row>
    <row r="288" spans="1:11" x14ac:dyDescent="0.35">
      <c r="A288" s="22">
        <v>281</v>
      </c>
      <c r="B288" s="23" t="s">
        <v>642</v>
      </c>
      <c r="C288" s="24" t="s">
        <v>643</v>
      </c>
      <c r="D288" s="25" t="s">
        <v>644</v>
      </c>
      <c r="E288" s="26">
        <v>0</v>
      </c>
      <c r="F288" s="26">
        <v>0</v>
      </c>
      <c r="G288" s="26">
        <v>0</v>
      </c>
      <c r="H288" s="26">
        <v>-0.90938890539109707</v>
      </c>
      <c r="I288" s="26">
        <v>0</v>
      </c>
      <c r="J288" s="20">
        <f t="shared" si="4"/>
        <v>-0.90938890539109707</v>
      </c>
      <c r="K288" s="21" t="s">
        <v>49</v>
      </c>
    </row>
    <row r="289" spans="1:11" x14ac:dyDescent="0.35">
      <c r="A289" s="22">
        <v>282</v>
      </c>
      <c r="B289" s="23" t="s">
        <v>645</v>
      </c>
      <c r="C289" s="24" t="s">
        <v>646</v>
      </c>
      <c r="D289" s="25" t="s">
        <v>66</v>
      </c>
      <c r="E289" s="26">
        <v>5000</v>
      </c>
      <c r="F289" s="26">
        <v>22350424</v>
      </c>
      <c r="G289" s="26">
        <v>30000</v>
      </c>
      <c r="H289" s="26">
        <v>2602680.4913221458</v>
      </c>
      <c r="I289" s="26">
        <v>0</v>
      </c>
      <c r="J289" s="20">
        <f t="shared" si="4"/>
        <v>24988104.491322145</v>
      </c>
      <c r="K289" s="21" t="str">
        <f>VLOOKUP(C289,'[1]SHU 2023'!C$9:K$719,9,0)</f>
        <v>AKTIF</v>
      </c>
    </row>
    <row r="290" spans="1:11" x14ac:dyDescent="0.35">
      <c r="A290" s="22">
        <v>283</v>
      </c>
      <c r="B290" s="23" t="s">
        <v>647</v>
      </c>
      <c r="C290" s="24" t="s">
        <v>648</v>
      </c>
      <c r="D290" s="25" t="s">
        <v>66</v>
      </c>
      <c r="E290" s="26">
        <v>5000</v>
      </c>
      <c r="F290" s="26">
        <v>18700000</v>
      </c>
      <c r="G290" s="26">
        <v>1560000</v>
      </c>
      <c r="H290" s="26">
        <v>1527669.47433627</v>
      </c>
      <c r="I290" s="26">
        <v>0</v>
      </c>
      <c r="J290" s="20">
        <f t="shared" si="4"/>
        <v>21792669.47433627</v>
      </c>
      <c r="K290" s="21" t="str">
        <f>VLOOKUP(C290,'[1]SHU 2023'!C$9:K$719,9,0)</f>
        <v>AKTIF</v>
      </c>
    </row>
    <row r="291" spans="1:11" x14ac:dyDescent="0.35">
      <c r="A291" s="22">
        <v>284</v>
      </c>
      <c r="B291" s="23" t="s">
        <v>649</v>
      </c>
      <c r="C291" s="24" t="s">
        <v>650</v>
      </c>
      <c r="D291" s="25" t="s">
        <v>20</v>
      </c>
      <c r="E291" s="26">
        <v>5000</v>
      </c>
      <c r="F291" s="26">
        <v>30252410</v>
      </c>
      <c r="G291" s="26">
        <v>2670000</v>
      </c>
      <c r="H291" s="26">
        <v>1006873.5788341522</v>
      </c>
      <c r="I291" s="26">
        <v>0</v>
      </c>
      <c r="J291" s="20">
        <f t="shared" si="4"/>
        <v>33934283.578834154</v>
      </c>
      <c r="K291" s="21" t="str">
        <f>VLOOKUP(C291,'[1]SHU 2023'!C$9:K$719,9,0)</f>
        <v>AKTIF</v>
      </c>
    </row>
    <row r="292" spans="1:11" x14ac:dyDescent="0.35">
      <c r="A292" s="22">
        <v>285</v>
      </c>
      <c r="B292" s="23" t="s">
        <v>651</v>
      </c>
      <c r="C292" s="24" t="s">
        <v>652</v>
      </c>
      <c r="D292" s="25" t="s">
        <v>31</v>
      </c>
      <c r="E292" s="26">
        <v>5000</v>
      </c>
      <c r="F292" s="26">
        <v>31425000</v>
      </c>
      <c r="G292" s="26">
        <v>100000</v>
      </c>
      <c r="H292" s="26">
        <v>2192346.4278181945</v>
      </c>
      <c r="I292" s="26">
        <v>0</v>
      </c>
      <c r="J292" s="20">
        <f t="shared" si="4"/>
        <v>33722346.427818194</v>
      </c>
      <c r="K292" s="21" t="str">
        <f>VLOOKUP(C292,'[1]SHU 2023'!C$9:K$719,9,0)</f>
        <v>AKTIF</v>
      </c>
    </row>
    <row r="293" spans="1:11" x14ac:dyDescent="0.35">
      <c r="A293" s="22">
        <v>286</v>
      </c>
      <c r="B293" s="23" t="s">
        <v>653</v>
      </c>
      <c r="C293" s="24" t="s">
        <v>654</v>
      </c>
      <c r="D293" s="25" t="s">
        <v>131</v>
      </c>
      <c r="E293" s="26">
        <v>0</v>
      </c>
      <c r="F293" s="26">
        <v>200000</v>
      </c>
      <c r="G293" s="26">
        <v>0</v>
      </c>
      <c r="H293" s="26">
        <v>20710</v>
      </c>
      <c r="I293" s="26">
        <v>0</v>
      </c>
      <c r="J293" s="20">
        <f t="shared" si="4"/>
        <v>220710</v>
      </c>
      <c r="K293" s="21" t="str">
        <f>VLOOKUP(C293,'[1]SHU 2023'!C$9:K$719,9,0)</f>
        <v>PASIF</v>
      </c>
    </row>
    <row r="294" spans="1:11" x14ac:dyDescent="0.35">
      <c r="A294" s="22">
        <v>287</v>
      </c>
      <c r="B294" s="23" t="s">
        <v>655</v>
      </c>
      <c r="C294" s="24" t="s">
        <v>656</v>
      </c>
      <c r="D294" s="25" t="s">
        <v>31</v>
      </c>
      <c r="E294" s="26">
        <v>5000</v>
      </c>
      <c r="F294" s="26">
        <v>56009170</v>
      </c>
      <c r="G294" s="26">
        <v>930000</v>
      </c>
      <c r="H294" s="26">
        <v>20651531.806228638</v>
      </c>
      <c r="I294" s="26">
        <v>0</v>
      </c>
      <c r="J294" s="20">
        <f t="shared" si="4"/>
        <v>77595701.806228638</v>
      </c>
      <c r="K294" s="21" t="str">
        <f>VLOOKUP(C294,'[1]SHU 2023'!C$9:K$719,9,0)</f>
        <v>AKTIF</v>
      </c>
    </row>
    <row r="295" spans="1:11" x14ac:dyDescent="0.35">
      <c r="A295" s="22">
        <v>288</v>
      </c>
      <c r="B295" s="23" t="s">
        <v>657</v>
      </c>
      <c r="C295" s="24" t="s">
        <v>658</v>
      </c>
      <c r="D295" s="25" t="s">
        <v>20</v>
      </c>
      <c r="E295" s="26">
        <v>0</v>
      </c>
      <c r="F295" s="26">
        <v>0</v>
      </c>
      <c r="G295" s="26">
        <v>0</v>
      </c>
      <c r="H295" s="26">
        <v>756243.6931713894</v>
      </c>
      <c r="I295" s="26">
        <v>0</v>
      </c>
      <c r="J295" s="20">
        <f t="shared" si="4"/>
        <v>756243.6931713894</v>
      </c>
      <c r="K295" s="21" t="str">
        <f>VLOOKUP(C295,'[1]SHU 2023'!C$9:K$719,9,0)</f>
        <v>BUKAN ANGGOTA</v>
      </c>
    </row>
    <row r="296" spans="1:11" x14ac:dyDescent="0.35">
      <c r="A296" s="22">
        <v>289</v>
      </c>
      <c r="B296" s="23" t="s">
        <v>659</v>
      </c>
      <c r="C296" s="35" t="s">
        <v>660</v>
      </c>
      <c r="D296" s="25" t="s">
        <v>89</v>
      </c>
      <c r="E296" s="26">
        <v>5000</v>
      </c>
      <c r="F296" s="26">
        <v>22656215</v>
      </c>
      <c r="G296" s="26">
        <v>680000</v>
      </c>
      <c r="H296" s="26">
        <v>3002667.3174152728</v>
      </c>
      <c r="I296" s="26">
        <v>0</v>
      </c>
      <c r="J296" s="20">
        <f t="shared" si="4"/>
        <v>26343882.317415275</v>
      </c>
      <c r="K296" s="21" t="str">
        <f>VLOOKUP(C296,'[1]SHU 2023'!C$9:K$719,9,0)</f>
        <v>AKTIF</v>
      </c>
    </row>
    <row r="297" spans="1:11" x14ac:dyDescent="0.35">
      <c r="A297" s="22">
        <v>290</v>
      </c>
      <c r="B297" s="23" t="s">
        <v>661</v>
      </c>
      <c r="C297" s="24" t="s">
        <v>662</v>
      </c>
      <c r="D297" s="25" t="s">
        <v>369</v>
      </c>
      <c r="E297" s="26">
        <v>5000</v>
      </c>
      <c r="F297" s="26">
        <v>17378868</v>
      </c>
      <c r="G297" s="26">
        <v>0</v>
      </c>
      <c r="H297" s="26">
        <v>3414681.1692260643</v>
      </c>
      <c r="I297" s="26">
        <v>0</v>
      </c>
      <c r="J297" s="20">
        <f t="shared" si="4"/>
        <v>20798549.169226065</v>
      </c>
      <c r="K297" s="21" t="str">
        <f>VLOOKUP(C297,'[1]SHU 2023'!C$9:K$719,9,0)</f>
        <v>AKTIF</v>
      </c>
    </row>
    <row r="298" spans="1:11" x14ac:dyDescent="0.35">
      <c r="A298" s="22">
        <v>291</v>
      </c>
      <c r="B298" s="23" t="s">
        <v>663</v>
      </c>
      <c r="C298" s="24" t="s">
        <v>664</v>
      </c>
      <c r="D298" s="25" t="s">
        <v>139</v>
      </c>
      <c r="E298" s="26">
        <v>205000</v>
      </c>
      <c r="F298" s="26">
        <v>43920000</v>
      </c>
      <c r="G298" s="26">
        <v>250000</v>
      </c>
      <c r="H298" s="26">
        <v>4128513.4315498308</v>
      </c>
      <c r="I298" s="26">
        <v>0</v>
      </c>
      <c r="J298" s="20">
        <f t="shared" si="4"/>
        <v>48503513.431549832</v>
      </c>
      <c r="K298" s="21" t="str">
        <f>VLOOKUP(C298,'[1]SHU 2023'!C$9:K$719,9,0)</f>
        <v>AKTIF</v>
      </c>
    </row>
    <row r="299" spans="1:11" x14ac:dyDescent="0.35">
      <c r="A299" s="22">
        <v>292</v>
      </c>
      <c r="B299" s="23" t="s">
        <v>665</v>
      </c>
      <c r="C299" s="24" t="s">
        <v>666</v>
      </c>
      <c r="D299" s="25" t="s">
        <v>248</v>
      </c>
      <c r="E299" s="26">
        <v>0</v>
      </c>
      <c r="F299" s="26">
        <v>100000</v>
      </c>
      <c r="G299" s="26">
        <v>0</v>
      </c>
      <c r="H299" s="26">
        <v>4102.9262832216918</v>
      </c>
      <c r="I299" s="26">
        <v>0</v>
      </c>
      <c r="J299" s="20">
        <f t="shared" si="4"/>
        <v>104102.92628322169</v>
      </c>
      <c r="K299" s="21" t="str">
        <f>VLOOKUP(C299,'[1]SHU 2023'!C$9:K$719,9,0)</f>
        <v>PASIF</v>
      </c>
    </row>
    <row r="300" spans="1:11" x14ac:dyDescent="0.35">
      <c r="A300" s="22">
        <v>293</v>
      </c>
      <c r="B300" s="23" t="s">
        <v>667</v>
      </c>
      <c r="C300" s="24" t="s">
        <v>668</v>
      </c>
      <c r="D300" s="25" t="s">
        <v>42</v>
      </c>
      <c r="E300" s="26">
        <v>5000</v>
      </c>
      <c r="F300" s="26">
        <v>295000</v>
      </c>
      <c r="G300" s="26">
        <v>0</v>
      </c>
      <c r="H300" s="26">
        <v>526766.16635558452</v>
      </c>
      <c r="I300" s="26">
        <v>0</v>
      </c>
      <c r="J300" s="20">
        <f t="shared" si="4"/>
        <v>826766.16635558452</v>
      </c>
      <c r="K300" s="21" t="str">
        <f>VLOOKUP(C300,'[1]SHU 2023'!C$9:K$719,9,0)</f>
        <v>PASIF</v>
      </c>
    </row>
    <row r="301" spans="1:11" x14ac:dyDescent="0.35">
      <c r="A301" s="22">
        <v>294</v>
      </c>
      <c r="B301" s="23" t="s">
        <v>669</v>
      </c>
      <c r="C301" s="24" t="s">
        <v>670</v>
      </c>
      <c r="D301" s="25" t="s">
        <v>126</v>
      </c>
      <c r="E301" s="26">
        <v>0</v>
      </c>
      <c r="F301" s="26">
        <v>0</v>
      </c>
      <c r="G301" s="26">
        <v>-190000</v>
      </c>
      <c r="H301" s="26">
        <v>-185128.4596754536</v>
      </c>
      <c r="I301" s="26">
        <v>0</v>
      </c>
      <c r="J301" s="20">
        <f t="shared" si="4"/>
        <v>-375128.4596754536</v>
      </c>
      <c r="K301" s="21" t="str">
        <f>VLOOKUP(C301,'[1]SHU 2023'!C$9:K$719,9,0)</f>
        <v>PASIF</v>
      </c>
    </row>
    <row r="302" spans="1:11" x14ac:dyDescent="0.35">
      <c r="A302" s="22">
        <v>295</v>
      </c>
      <c r="B302" s="23" t="s">
        <v>671</v>
      </c>
      <c r="C302" s="24" t="s">
        <v>672</v>
      </c>
      <c r="D302" s="25" t="s">
        <v>89</v>
      </c>
      <c r="E302" s="26">
        <v>0</v>
      </c>
      <c r="F302" s="26">
        <v>100000</v>
      </c>
      <c r="G302" s="26">
        <v>0</v>
      </c>
      <c r="H302" s="26">
        <v>10354</v>
      </c>
      <c r="I302" s="26">
        <v>0</v>
      </c>
      <c r="J302" s="20">
        <f t="shared" si="4"/>
        <v>110354</v>
      </c>
      <c r="K302" s="21" t="str">
        <f>VLOOKUP(C302,'[1]SHU 2023'!C$9:K$719,9,0)</f>
        <v>PASIF</v>
      </c>
    </row>
    <row r="303" spans="1:11" x14ac:dyDescent="0.35">
      <c r="A303" s="22">
        <v>296</v>
      </c>
      <c r="B303" s="23" t="s">
        <v>673</v>
      </c>
      <c r="C303" s="24" t="s">
        <v>674</v>
      </c>
      <c r="D303" s="25" t="s">
        <v>131</v>
      </c>
      <c r="E303" s="26">
        <v>5000</v>
      </c>
      <c r="F303" s="26">
        <v>20413906</v>
      </c>
      <c r="G303" s="26">
        <v>2395000</v>
      </c>
      <c r="H303" s="26">
        <v>1849297.113252949</v>
      </c>
      <c r="I303" s="26">
        <v>0</v>
      </c>
      <c r="J303" s="20">
        <f t="shared" si="4"/>
        <v>24663203.113252949</v>
      </c>
      <c r="K303" s="21" t="str">
        <f>VLOOKUP(C303,'[1]SHU 2023'!C$9:K$719,9,0)</f>
        <v>AKTIF</v>
      </c>
    </row>
    <row r="304" spans="1:11" x14ac:dyDescent="0.35">
      <c r="A304" s="22">
        <v>297</v>
      </c>
      <c r="B304" s="23" t="s">
        <v>675</v>
      </c>
      <c r="C304" s="24" t="s">
        <v>676</v>
      </c>
      <c r="D304" s="25" t="s">
        <v>161</v>
      </c>
      <c r="E304" s="26">
        <v>5000</v>
      </c>
      <c r="F304" s="26">
        <v>5845353</v>
      </c>
      <c r="G304" s="26">
        <v>0</v>
      </c>
      <c r="H304" s="26">
        <v>7276039.1835132306</v>
      </c>
      <c r="I304" s="26">
        <v>0</v>
      </c>
      <c r="J304" s="20">
        <f t="shared" si="4"/>
        <v>13126392.183513232</v>
      </c>
      <c r="K304" s="21" t="str">
        <f>VLOOKUP(C304,'[1]SHU 2023'!C$9:K$719,9,0)</f>
        <v>PASIF</v>
      </c>
    </row>
    <row r="305" spans="1:11" x14ac:dyDescent="0.35">
      <c r="A305" s="22">
        <v>298</v>
      </c>
      <c r="B305" s="23" t="s">
        <v>677</v>
      </c>
      <c r="C305" s="24" t="s">
        <v>678</v>
      </c>
      <c r="D305" s="25" t="s">
        <v>519</v>
      </c>
      <c r="E305" s="26">
        <v>0</v>
      </c>
      <c r="F305" s="26">
        <v>0</v>
      </c>
      <c r="G305" s="26">
        <v>0</v>
      </c>
      <c r="H305" s="26">
        <v>10443.984527468681</v>
      </c>
      <c r="I305" s="26">
        <v>0</v>
      </c>
      <c r="J305" s="20">
        <f t="shared" si="4"/>
        <v>10443.984527468681</v>
      </c>
      <c r="K305" s="21" t="str">
        <f>VLOOKUP(C305,'[1]SHU 2023'!C$9:K$719,9,0)</f>
        <v>PASIF</v>
      </c>
    </row>
    <row r="306" spans="1:11" x14ac:dyDescent="0.35">
      <c r="A306" s="22">
        <v>299</v>
      </c>
      <c r="B306" s="23" t="s">
        <v>679</v>
      </c>
      <c r="C306" s="24" t="s">
        <v>680</v>
      </c>
      <c r="D306" s="25" t="s">
        <v>362</v>
      </c>
      <c r="E306" s="26">
        <v>5000</v>
      </c>
      <c r="F306" s="26">
        <v>28817111</v>
      </c>
      <c r="G306" s="26">
        <v>10000</v>
      </c>
      <c r="H306" s="26">
        <v>8764071.1292624213</v>
      </c>
      <c r="I306" s="26">
        <v>0</v>
      </c>
      <c r="J306" s="20">
        <f t="shared" si="4"/>
        <v>37596182.129262418</v>
      </c>
      <c r="K306" s="21" t="str">
        <f>VLOOKUP(C306,'[1]SHU 2023'!C$9:K$719,9,0)</f>
        <v>PASIF</v>
      </c>
    </row>
    <row r="307" spans="1:11" x14ac:dyDescent="0.35">
      <c r="A307" s="22">
        <v>300</v>
      </c>
      <c r="B307" s="23" t="s">
        <v>681</v>
      </c>
      <c r="C307" s="24" t="s">
        <v>682</v>
      </c>
      <c r="D307" s="25" t="s">
        <v>136</v>
      </c>
      <c r="E307" s="26">
        <v>0</v>
      </c>
      <c r="F307" s="26">
        <v>0</v>
      </c>
      <c r="G307" s="26">
        <v>0</v>
      </c>
      <c r="H307" s="26">
        <v>3988.813247019425</v>
      </c>
      <c r="I307" s="26">
        <v>0</v>
      </c>
      <c r="J307" s="20">
        <f t="shared" si="4"/>
        <v>3988.813247019425</v>
      </c>
      <c r="K307" s="21" t="str">
        <f>VLOOKUP(C307,'[1]SHU 2023'!C$9:K$719,9,0)</f>
        <v>PASIF</v>
      </c>
    </row>
    <row r="308" spans="1:11" x14ac:dyDescent="0.35">
      <c r="A308" s="22">
        <v>301</v>
      </c>
      <c r="B308" s="23" t="s">
        <v>683</v>
      </c>
      <c r="C308" s="24" t="s">
        <v>684</v>
      </c>
      <c r="D308" s="25" t="s">
        <v>164</v>
      </c>
      <c r="E308" s="26">
        <v>0</v>
      </c>
      <c r="F308" s="26">
        <v>0</v>
      </c>
      <c r="G308" s="26">
        <v>0</v>
      </c>
      <c r="H308" s="26">
        <v>37483</v>
      </c>
      <c r="I308" s="26">
        <v>0</v>
      </c>
      <c r="J308" s="20">
        <f t="shared" si="4"/>
        <v>37483</v>
      </c>
      <c r="K308" s="21" t="str">
        <f>VLOOKUP(C308,'[1]SHU 2023'!C$9:K$719,9,0)</f>
        <v>PASIF</v>
      </c>
    </row>
    <row r="309" spans="1:11" x14ac:dyDescent="0.35">
      <c r="A309" s="22">
        <v>302</v>
      </c>
      <c r="B309" s="23" t="s">
        <v>685</v>
      </c>
      <c r="C309" s="24" t="s">
        <v>686</v>
      </c>
      <c r="D309" s="25" t="s">
        <v>45</v>
      </c>
      <c r="E309" s="26">
        <v>0</v>
      </c>
      <c r="F309" s="26">
        <v>100000</v>
      </c>
      <c r="G309" s="26">
        <v>0</v>
      </c>
      <c r="H309" s="26">
        <v>4103</v>
      </c>
      <c r="I309" s="26">
        <v>0</v>
      </c>
      <c r="J309" s="20">
        <f t="shared" si="4"/>
        <v>104103</v>
      </c>
      <c r="K309" s="21" t="str">
        <f>VLOOKUP(C309,'[1]SHU 2023'!C$9:K$719,9,0)</f>
        <v>PASIF</v>
      </c>
    </row>
    <row r="310" spans="1:11" x14ac:dyDescent="0.35">
      <c r="A310" s="22">
        <v>303</v>
      </c>
      <c r="B310" s="23" t="s">
        <v>687</v>
      </c>
      <c r="C310" s="24" t="s">
        <v>688</v>
      </c>
      <c r="D310" s="25" t="s">
        <v>28</v>
      </c>
      <c r="E310" s="26">
        <v>5000</v>
      </c>
      <c r="F310" s="26">
        <v>21269063</v>
      </c>
      <c r="G310" s="26">
        <v>1230000</v>
      </c>
      <c r="H310" s="26">
        <v>2755095.7853850303</v>
      </c>
      <c r="I310" s="26">
        <v>0</v>
      </c>
      <c r="J310" s="20">
        <f t="shared" si="4"/>
        <v>25259158.785385031</v>
      </c>
      <c r="K310" s="21" t="str">
        <f>VLOOKUP(C310,'[1]SHU 2023'!C$9:K$719,9,0)</f>
        <v>AKTIF</v>
      </c>
    </row>
    <row r="311" spans="1:11" x14ac:dyDescent="0.35">
      <c r="A311" s="22">
        <v>304</v>
      </c>
      <c r="B311" s="23" t="s">
        <v>689</v>
      </c>
      <c r="C311" s="24" t="s">
        <v>690</v>
      </c>
      <c r="D311" s="25" t="s">
        <v>66</v>
      </c>
      <c r="E311" s="26">
        <v>5000</v>
      </c>
      <c r="F311" s="26">
        <v>34723838</v>
      </c>
      <c r="G311" s="26">
        <v>0</v>
      </c>
      <c r="H311" s="26">
        <v>3099397.2864425262</v>
      </c>
      <c r="I311" s="26">
        <v>0</v>
      </c>
      <c r="J311" s="20">
        <f t="shared" si="4"/>
        <v>37828235.286442526</v>
      </c>
      <c r="K311" s="21" t="str">
        <f>VLOOKUP(C311,'[1]SHU 2023'!C$9:K$719,9,0)</f>
        <v>AKTIF</v>
      </c>
    </row>
    <row r="312" spans="1:11" x14ac:dyDescent="0.35">
      <c r="A312" s="22">
        <v>305</v>
      </c>
      <c r="B312" s="23" t="s">
        <v>691</v>
      </c>
      <c r="C312" s="24" t="s">
        <v>692</v>
      </c>
      <c r="D312" s="25" t="s">
        <v>693</v>
      </c>
      <c r="E312" s="26">
        <v>0</v>
      </c>
      <c r="F312" s="26">
        <v>0</v>
      </c>
      <c r="G312" s="26">
        <v>0</v>
      </c>
      <c r="H312" s="26">
        <v>556645.51189318486</v>
      </c>
      <c r="I312" s="26">
        <v>0</v>
      </c>
      <c r="J312" s="20">
        <f t="shared" si="4"/>
        <v>556645.51189318486</v>
      </c>
      <c r="K312" s="21" t="str">
        <f>VLOOKUP(C312,'[1]SHU 2023'!C$9:K$719,9,0)</f>
        <v>PASIF</v>
      </c>
    </row>
    <row r="313" spans="1:11" x14ac:dyDescent="0.35">
      <c r="A313" s="22">
        <v>306</v>
      </c>
      <c r="B313" s="23" t="s">
        <v>694</v>
      </c>
      <c r="C313" s="24" t="s">
        <v>695</v>
      </c>
      <c r="D313" s="25" t="s">
        <v>54</v>
      </c>
      <c r="E313" s="26">
        <v>5000</v>
      </c>
      <c r="F313" s="26">
        <v>47548200</v>
      </c>
      <c r="G313" s="26">
        <v>60000</v>
      </c>
      <c r="H313" s="26">
        <v>5491723.4796980191</v>
      </c>
      <c r="I313" s="26">
        <v>0</v>
      </c>
      <c r="J313" s="20">
        <f t="shared" si="4"/>
        <v>53104923.479698017</v>
      </c>
      <c r="K313" s="21" t="str">
        <f>VLOOKUP(C313,'[1]SHU 2023'!C$9:K$719,9,0)</f>
        <v>AKTIF</v>
      </c>
    </row>
    <row r="314" spans="1:11" x14ac:dyDescent="0.35">
      <c r="A314" s="22">
        <v>307</v>
      </c>
      <c r="B314" s="23" t="s">
        <v>696</v>
      </c>
      <c r="C314" s="24" t="s">
        <v>697</v>
      </c>
      <c r="D314" s="25" t="s">
        <v>34</v>
      </c>
      <c r="E314" s="26">
        <v>0</v>
      </c>
      <c r="F314" s="26">
        <v>0</v>
      </c>
      <c r="G314" s="26">
        <v>0</v>
      </c>
      <c r="H314" s="26">
        <v>4707</v>
      </c>
      <c r="I314" s="26">
        <v>0</v>
      </c>
      <c r="J314" s="20">
        <f t="shared" si="4"/>
        <v>4707</v>
      </c>
      <c r="K314" s="21" t="str">
        <f>VLOOKUP(C314,'[1]SHU 2023'!C$9:K$719,9,0)</f>
        <v>PASIF</v>
      </c>
    </row>
    <row r="315" spans="1:11" x14ac:dyDescent="0.35">
      <c r="A315" s="22">
        <v>308</v>
      </c>
      <c r="B315" s="23" t="s">
        <v>698</v>
      </c>
      <c r="C315" s="24" t="s">
        <v>699</v>
      </c>
      <c r="D315" s="25" t="s">
        <v>34</v>
      </c>
      <c r="E315" s="26">
        <v>0</v>
      </c>
      <c r="F315" s="26">
        <v>0</v>
      </c>
      <c r="G315" s="26">
        <v>0</v>
      </c>
      <c r="H315" s="26">
        <v>3241</v>
      </c>
      <c r="I315" s="26">
        <v>0</v>
      </c>
      <c r="J315" s="20">
        <f t="shared" si="4"/>
        <v>3241</v>
      </c>
      <c r="K315" s="21" t="str">
        <f>VLOOKUP(C315,'[1]SHU 2023'!C$9:K$719,9,0)</f>
        <v>PASIF</v>
      </c>
    </row>
    <row r="316" spans="1:11" x14ac:dyDescent="0.35">
      <c r="A316" s="22">
        <v>309</v>
      </c>
      <c r="B316" s="23" t="s">
        <v>700</v>
      </c>
      <c r="C316" s="24" t="s">
        <v>701</v>
      </c>
      <c r="D316" s="25" t="s">
        <v>126</v>
      </c>
      <c r="E316" s="26">
        <v>0</v>
      </c>
      <c r="F316" s="26">
        <v>250000</v>
      </c>
      <c r="G316" s="26">
        <v>0</v>
      </c>
      <c r="H316" s="26">
        <v>10258</v>
      </c>
      <c r="I316" s="26">
        <v>0</v>
      </c>
      <c r="J316" s="20">
        <f t="shared" si="4"/>
        <v>260258</v>
      </c>
      <c r="K316" s="21" t="str">
        <f>VLOOKUP(C316,'[1]SHU 2023'!C$9:K$719,9,0)</f>
        <v>PASIF</v>
      </c>
    </row>
    <row r="317" spans="1:11" x14ac:dyDescent="0.35">
      <c r="A317" s="22">
        <v>310</v>
      </c>
      <c r="B317" s="23" t="s">
        <v>702</v>
      </c>
      <c r="C317" s="24" t="s">
        <v>703</v>
      </c>
      <c r="D317" s="25" t="s">
        <v>92</v>
      </c>
      <c r="E317" s="26">
        <v>5000</v>
      </c>
      <c r="F317" s="26">
        <v>26219336</v>
      </c>
      <c r="G317" s="26">
        <v>3057500</v>
      </c>
      <c r="H317" s="26">
        <v>3467644.329626061</v>
      </c>
      <c r="I317" s="26">
        <v>0</v>
      </c>
      <c r="J317" s="20">
        <f t="shared" si="4"/>
        <v>32749480.329626061</v>
      </c>
      <c r="K317" s="21" t="str">
        <f>VLOOKUP(C317,'[1]SHU 2023'!C$9:K$719,9,0)</f>
        <v>AKTIF</v>
      </c>
    </row>
    <row r="318" spans="1:11" x14ac:dyDescent="0.35">
      <c r="A318" s="22">
        <v>311</v>
      </c>
      <c r="B318" s="23" t="s">
        <v>704</v>
      </c>
      <c r="C318" s="24" t="s">
        <v>705</v>
      </c>
      <c r="D318" s="25" t="s">
        <v>42</v>
      </c>
      <c r="E318" s="26">
        <v>0</v>
      </c>
      <c r="F318" s="26">
        <v>0</v>
      </c>
      <c r="G318" s="26">
        <v>150000</v>
      </c>
      <c r="H318" s="26">
        <v>6155</v>
      </c>
      <c r="I318" s="26">
        <v>0</v>
      </c>
      <c r="J318" s="20">
        <f t="shared" si="4"/>
        <v>156155</v>
      </c>
      <c r="K318" s="21" t="str">
        <f>VLOOKUP(C318,'[1]SHU 2023'!C$9:K$719,9,0)</f>
        <v>PASIF</v>
      </c>
    </row>
    <row r="319" spans="1:11" x14ac:dyDescent="0.35">
      <c r="A319" s="22">
        <v>312</v>
      </c>
      <c r="B319" s="23" t="s">
        <v>706</v>
      </c>
      <c r="C319" s="24" t="s">
        <v>707</v>
      </c>
      <c r="D319" s="25" t="s">
        <v>45</v>
      </c>
      <c r="E319" s="26">
        <v>0</v>
      </c>
      <c r="F319" s="26">
        <v>700000</v>
      </c>
      <c r="G319" s="26">
        <v>0</v>
      </c>
      <c r="H319" s="26">
        <v>18689.946346541867</v>
      </c>
      <c r="I319" s="26">
        <v>0</v>
      </c>
      <c r="J319" s="20">
        <f t="shared" si="4"/>
        <v>718689.94634654187</v>
      </c>
      <c r="K319" s="21" t="str">
        <f>VLOOKUP(C319,'[1]SHU 2023'!C$9:K$719,9,0)</f>
        <v>PASIF</v>
      </c>
    </row>
    <row r="320" spans="1:11" x14ac:dyDescent="0.35">
      <c r="A320" s="22">
        <v>313</v>
      </c>
      <c r="B320" s="23" t="s">
        <v>708</v>
      </c>
      <c r="C320" s="24" t="s">
        <v>709</v>
      </c>
      <c r="D320" s="25" t="s">
        <v>54</v>
      </c>
      <c r="E320" s="26">
        <v>5000</v>
      </c>
      <c r="F320" s="26">
        <v>50012250</v>
      </c>
      <c r="G320" s="26">
        <v>10000</v>
      </c>
      <c r="H320" s="26">
        <v>12385541.12561968</v>
      </c>
      <c r="I320" s="26">
        <v>0</v>
      </c>
      <c r="J320" s="20">
        <f t="shared" si="4"/>
        <v>62412791.12561968</v>
      </c>
      <c r="K320" s="21" t="str">
        <f>VLOOKUP(C320,'[1]SHU 2023'!C$9:K$719,9,0)</f>
        <v>AKTIF</v>
      </c>
    </row>
    <row r="321" spans="1:11" x14ac:dyDescent="0.35">
      <c r="A321" s="22">
        <v>314</v>
      </c>
      <c r="B321" s="23" t="s">
        <v>710</v>
      </c>
      <c r="C321" s="24" t="s">
        <v>711</v>
      </c>
      <c r="D321" s="25" t="s">
        <v>28</v>
      </c>
      <c r="E321" s="26">
        <v>5000</v>
      </c>
      <c r="F321" s="26">
        <v>25623756</v>
      </c>
      <c r="G321" s="26">
        <v>595000</v>
      </c>
      <c r="H321" s="26">
        <v>4637557.4809621526</v>
      </c>
      <c r="I321" s="26">
        <v>0</v>
      </c>
      <c r="J321" s="20">
        <f t="shared" si="4"/>
        <v>30861313.480962154</v>
      </c>
      <c r="K321" s="21" t="str">
        <f>VLOOKUP(C321,'[1]SHU 2023'!C$9:K$719,9,0)</f>
        <v>AKTIF</v>
      </c>
    </row>
    <row r="322" spans="1:11" x14ac:dyDescent="0.35">
      <c r="A322" s="22">
        <v>315</v>
      </c>
      <c r="B322" s="23" t="s">
        <v>712</v>
      </c>
      <c r="C322" s="24" t="s">
        <v>713</v>
      </c>
      <c r="D322" s="25" t="s">
        <v>42</v>
      </c>
      <c r="E322" s="26">
        <v>0</v>
      </c>
      <c r="F322" s="26">
        <v>500000</v>
      </c>
      <c r="G322" s="26">
        <v>0</v>
      </c>
      <c r="H322" s="26">
        <v>1573475.4067935413</v>
      </c>
      <c r="I322" s="26">
        <v>0</v>
      </c>
      <c r="J322" s="20">
        <f t="shared" si="4"/>
        <v>2073475.4067935413</v>
      </c>
      <c r="K322" s="21" t="str">
        <f>VLOOKUP(C322,'[1]SHU 2023'!C$9:K$719,9,0)</f>
        <v>PASIF</v>
      </c>
    </row>
    <row r="323" spans="1:11" x14ac:dyDescent="0.35">
      <c r="A323" s="22">
        <v>316</v>
      </c>
      <c r="B323" s="23" t="s">
        <v>714</v>
      </c>
      <c r="C323" s="24" t="s">
        <v>715</v>
      </c>
      <c r="D323" s="25" t="s">
        <v>71</v>
      </c>
      <c r="E323" s="26">
        <v>5000</v>
      </c>
      <c r="F323" s="26">
        <v>2336518</v>
      </c>
      <c r="G323" s="26">
        <v>0</v>
      </c>
      <c r="H323" s="26">
        <v>2636111.4274615985</v>
      </c>
      <c r="I323" s="26">
        <v>0</v>
      </c>
      <c r="J323" s="20">
        <f t="shared" si="4"/>
        <v>4977629.4274615981</v>
      </c>
      <c r="K323" s="21" t="str">
        <f>VLOOKUP(C323,'[1]SHU 2023'!C$9:K$719,9,0)</f>
        <v>PASIF</v>
      </c>
    </row>
    <row r="324" spans="1:11" x14ac:dyDescent="0.35">
      <c r="A324" s="22">
        <v>317</v>
      </c>
      <c r="B324" s="23" t="s">
        <v>716</v>
      </c>
      <c r="C324" s="24" t="s">
        <v>717</v>
      </c>
      <c r="D324" s="25" t="s">
        <v>161</v>
      </c>
      <c r="E324" s="26">
        <v>5000</v>
      </c>
      <c r="F324" s="26">
        <v>19084520</v>
      </c>
      <c r="G324" s="26">
        <v>2810000</v>
      </c>
      <c r="H324" s="26">
        <v>5777277.8419457832</v>
      </c>
      <c r="I324" s="26">
        <v>0</v>
      </c>
      <c r="J324" s="20">
        <f t="shared" si="4"/>
        <v>27676797.841945782</v>
      </c>
      <c r="K324" s="21" t="str">
        <f>VLOOKUP(C324,'[1]SHU 2023'!C$9:K$719,9,0)</f>
        <v>PASIF</v>
      </c>
    </row>
    <row r="325" spans="1:11" x14ac:dyDescent="0.35">
      <c r="A325" s="22">
        <v>318</v>
      </c>
      <c r="B325" s="23" t="s">
        <v>718</v>
      </c>
      <c r="C325" s="24" t="s">
        <v>719</v>
      </c>
      <c r="D325" s="25" t="s">
        <v>66</v>
      </c>
      <c r="E325" s="26">
        <v>0</v>
      </c>
      <c r="F325" s="26">
        <v>0</v>
      </c>
      <c r="G325" s="26">
        <v>0</v>
      </c>
      <c r="H325" s="26">
        <v>215198.83973440249</v>
      </c>
      <c r="I325" s="26">
        <v>0</v>
      </c>
      <c r="J325" s="20">
        <f t="shared" si="4"/>
        <v>215198.83973440249</v>
      </c>
      <c r="K325" s="21" t="str">
        <f>VLOOKUP(C325,'[1]SHU 2023'!C$9:K$719,9,0)</f>
        <v>PASIF</v>
      </c>
    </row>
    <row r="326" spans="1:11" x14ac:dyDescent="0.35">
      <c r="A326" s="22">
        <v>319</v>
      </c>
      <c r="B326" s="23" t="s">
        <v>720</v>
      </c>
      <c r="C326" s="24" t="s">
        <v>721</v>
      </c>
      <c r="D326" s="25" t="s">
        <v>546</v>
      </c>
      <c r="E326" s="26">
        <v>0</v>
      </c>
      <c r="F326" s="26">
        <v>0</v>
      </c>
      <c r="G326" s="26">
        <v>0</v>
      </c>
      <c r="H326" s="26">
        <v>935.62767545320094</v>
      </c>
      <c r="I326" s="26">
        <v>0</v>
      </c>
      <c r="J326" s="20">
        <f t="shared" si="4"/>
        <v>935.62767545320094</v>
      </c>
      <c r="K326" s="21" t="str">
        <f>VLOOKUP(C326,'[1]SHU 2023'!C$9:K$719,9,0)</f>
        <v>PASIF</v>
      </c>
    </row>
    <row r="327" spans="1:11" x14ac:dyDescent="0.35">
      <c r="A327" s="22">
        <v>320</v>
      </c>
      <c r="B327" s="23" t="s">
        <v>722</v>
      </c>
      <c r="C327" s="24" t="s">
        <v>723</v>
      </c>
      <c r="D327" s="25" t="s">
        <v>131</v>
      </c>
      <c r="E327" s="26">
        <v>5000</v>
      </c>
      <c r="F327" s="26">
        <v>18995858</v>
      </c>
      <c r="G327" s="26">
        <v>50000</v>
      </c>
      <c r="H327" s="26">
        <v>1220176.6953814244</v>
      </c>
      <c r="I327" s="26">
        <v>0</v>
      </c>
      <c r="J327" s="20">
        <f t="shared" si="4"/>
        <v>20271034.695381425</v>
      </c>
      <c r="K327" s="21" t="str">
        <f>VLOOKUP(C327,'[1]SHU 2023'!C$9:K$719,9,0)</f>
        <v>AKTIF</v>
      </c>
    </row>
    <row r="328" spans="1:11" x14ac:dyDescent="0.35">
      <c r="A328" s="22">
        <v>321</v>
      </c>
      <c r="B328" s="23" t="s">
        <v>724</v>
      </c>
      <c r="C328" s="24" t="s">
        <v>725</v>
      </c>
      <c r="D328" s="25" t="s">
        <v>126</v>
      </c>
      <c r="E328" s="26">
        <v>5000</v>
      </c>
      <c r="F328" s="26">
        <v>75147982</v>
      </c>
      <c r="G328" s="26">
        <v>740000</v>
      </c>
      <c r="H328" s="26">
        <v>8930347.1706396155</v>
      </c>
      <c r="I328" s="26">
        <v>0</v>
      </c>
      <c r="J328" s="20">
        <f t="shared" si="4"/>
        <v>84823329.170639619</v>
      </c>
      <c r="K328" s="21" t="str">
        <f>VLOOKUP(C328,'[1]SHU 2023'!C$9:K$719,9,0)</f>
        <v>AKTIF</v>
      </c>
    </row>
    <row r="329" spans="1:11" x14ac:dyDescent="0.35">
      <c r="A329" s="22">
        <v>322</v>
      </c>
      <c r="B329" s="23" t="s">
        <v>726</v>
      </c>
      <c r="C329" s="24" t="s">
        <v>727</v>
      </c>
      <c r="D329" s="25" t="s">
        <v>193</v>
      </c>
      <c r="E329" s="26">
        <v>0</v>
      </c>
      <c r="F329" s="26">
        <v>1650000</v>
      </c>
      <c r="G329" s="26">
        <v>0</v>
      </c>
      <c r="H329" s="26">
        <v>36928.25561997667</v>
      </c>
      <c r="I329" s="26">
        <v>0</v>
      </c>
      <c r="J329" s="20">
        <f t="shared" ref="J329:J392" si="5">E329+F329+G329+H329</f>
        <v>1686928.2556199767</v>
      </c>
      <c r="K329" s="21" t="str">
        <f>VLOOKUP(C329,'[1]SHU 2023'!C$9:K$719,9,0)</f>
        <v>PASIF</v>
      </c>
    </row>
    <row r="330" spans="1:11" x14ac:dyDescent="0.35">
      <c r="A330" s="22">
        <v>323</v>
      </c>
      <c r="B330" s="23" t="s">
        <v>728</v>
      </c>
      <c r="C330" s="24" t="s">
        <v>729</v>
      </c>
      <c r="D330" s="25" t="s">
        <v>42</v>
      </c>
      <c r="E330" s="26">
        <v>0</v>
      </c>
      <c r="F330" s="26">
        <v>0</v>
      </c>
      <c r="G330" s="26">
        <v>0</v>
      </c>
      <c r="H330" s="26">
        <v>340843</v>
      </c>
      <c r="I330" s="26">
        <v>0</v>
      </c>
      <c r="J330" s="20">
        <f t="shared" si="5"/>
        <v>340843</v>
      </c>
      <c r="K330" s="21" t="str">
        <f>VLOOKUP(C330,'[1]SHU 2023'!C$9:K$719,9,0)</f>
        <v>PASIF</v>
      </c>
    </row>
    <row r="331" spans="1:11" x14ac:dyDescent="0.35">
      <c r="A331" s="22">
        <v>324</v>
      </c>
      <c r="B331" s="23" t="s">
        <v>730</v>
      </c>
      <c r="C331" s="24" t="s">
        <v>731</v>
      </c>
      <c r="D331" s="25" t="s">
        <v>17</v>
      </c>
      <c r="E331" s="26">
        <v>0</v>
      </c>
      <c r="F331" s="26">
        <v>0</v>
      </c>
      <c r="G331" s="26">
        <v>0</v>
      </c>
      <c r="H331" s="26">
        <v>95488.277816710761</v>
      </c>
      <c r="I331" s="26">
        <v>0</v>
      </c>
      <c r="J331" s="20">
        <f t="shared" si="5"/>
        <v>95488.277816710761</v>
      </c>
      <c r="K331" s="21" t="str">
        <f>VLOOKUP(C331,'[1]SHU 2023'!C$9:K$719,9,0)</f>
        <v>PASIF</v>
      </c>
    </row>
    <row r="332" spans="1:11" x14ac:dyDescent="0.35">
      <c r="A332" s="22">
        <v>325</v>
      </c>
      <c r="B332" s="23" t="s">
        <v>732</v>
      </c>
      <c r="C332" s="24" t="s">
        <v>733</v>
      </c>
      <c r="D332" s="25" t="s">
        <v>569</v>
      </c>
      <c r="E332" s="26">
        <v>0</v>
      </c>
      <c r="F332" s="26">
        <v>0</v>
      </c>
      <c r="G332" s="26">
        <v>0</v>
      </c>
      <c r="H332" s="26">
        <v>-4.826674610376358E-2</v>
      </c>
      <c r="I332" s="26">
        <v>0</v>
      </c>
      <c r="J332" s="20">
        <f t="shared" si="5"/>
        <v>-4.826674610376358E-2</v>
      </c>
      <c r="K332" s="21" t="s">
        <v>734</v>
      </c>
    </row>
    <row r="333" spans="1:11" x14ac:dyDescent="0.35">
      <c r="A333" s="22">
        <v>326</v>
      </c>
      <c r="B333" s="23" t="s">
        <v>735</v>
      </c>
      <c r="C333" s="24" t="s">
        <v>736</v>
      </c>
      <c r="D333" s="25" t="s">
        <v>66</v>
      </c>
      <c r="E333" s="26">
        <v>5000</v>
      </c>
      <c r="F333" s="26">
        <v>26544922</v>
      </c>
      <c r="G333" s="26">
        <v>786500</v>
      </c>
      <c r="H333" s="26">
        <v>2825162.7516410053</v>
      </c>
      <c r="I333" s="26">
        <v>0</v>
      </c>
      <c r="J333" s="20">
        <f t="shared" si="5"/>
        <v>30161584.751641005</v>
      </c>
      <c r="K333" s="21" t="str">
        <f>VLOOKUP(C333,'[1]SHU 2023'!C$9:K$719,9,0)</f>
        <v>AKTIF</v>
      </c>
    </row>
    <row r="334" spans="1:11" x14ac:dyDescent="0.35">
      <c r="A334" s="22">
        <v>327</v>
      </c>
      <c r="B334" s="23" t="s">
        <v>737</v>
      </c>
      <c r="C334" s="24" t="s">
        <v>738</v>
      </c>
      <c r="D334" s="25" t="s">
        <v>161</v>
      </c>
      <c r="E334" s="26">
        <v>0</v>
      </c>
      <c r="F334" s="26">
        <v>0</v>
      </c>
      <c r="G334" s="26">
        <v>0</v>
      </c>
      <c r="H334" s="26">
        <v>122791.89001115831</v>
      </c>
      <c r="I334" s="26">
        <v>0</v>
      </c>
      <c r="J334" s="20">
        <f t="shared" si="5"/>
        <v>122791.89001115831</v>
      </c>
      <c r="K334" s="21" t="str">
        <f>VLOOKUP(C334,'[1]SHU 2023'!C$9:K$719,9,0)</f>
        <v>PASIF</v>
      </c>
    </row>
    <row r="335" spans="1:11" x14ac:dyDescent="0.35">
      <c r="A335" s="22">
        <v>328</v>
      </c>
      <c r="B335" s="23" t="s">
        <v>739</v>
      </c>
      <c r="C335" s="24" t="s">
        <v>740</v>
      </c>
      <c r="D335" s="25" t="s">
        <v>45</v>
      </c>
      <c r="E335" s="26">
        <v>0</v>
      </c>
      <c r="F335" s="26">
        <v>0</v>
      </c>
      <c r="G335" s="26">
        <v>0</v>
      </c>
      <c r="H335" s="26">
        <v>129405.05652984395</v>
      </c>
      <c r="I335" s="26">
        <v>0</v>
      </c>
      <c r="J335" s="20">
        <f t="shared" si="5"/>
        <v>129405.05652984395</v>
      </c>
      <c r="K335" s="21" t="str">
        <f>VLOOKUP(C335,'[1]SHU 2023'!C$9:K$719,9,0)</f>
        <v>PASIF</v>
      </c>
    </row>
    <row r="336" spans="1:11" x14ac:dyDescent="0.35">
      <c r="A336" s="22">
        <v>329</v>
      </c>
      <c r="B336" s="23" t="s">
        <v>741</v>
      </c>
      <c r="C336" s="24" t="s">
        <v>742</v>
      </c>
      <c r="D336" s="25" t="s">
        <v>42</v>
      </c>
      <c r="E336" s="26">
        <v>0</v>
      </c>
      <c r="F336" s="26">
        <v>150000</v>
      </c>
      <c r="G336" s="26">
        <v>0</v>
      </c>
      <c r="H336" s="26">
        <v>278705.6808121248</v>
      </c>
      <c r="I336" s="26">
        <v>0</v>
      </c>
      <c r="J336" s="20">
        <f t="shared" si="5"/>
        <v>428705.6808121248</v>
      </c>
      <c r="K336" s="21" t="str">
        <f>VLOOKUP(C336,'[1]SHU 2023'!C$9:K$719,9,0)</f>
        <v>PASIF</v>
      </c>
    </row>
    <row r="337" spans="1:11" x14ac:dyDescent="0.35">
      <c r="A337" s="22">
        <v>330</v>
      </c>
      <c r="B337" s="23" t="s">
        <v>743</v>
      </c>
      <c r="C337" s="24" t="s">
        <v>744</v>
      </c>
      <c r="D337" s="25" t="s">
        <v>34</v>
      </c>
      <c r="E337" s="26">
        <v>0</v>
      </c>
      <c r="F337" s="26">
        <v>0</v>
      </c>
      <c r="G337" s="26">
        <v>0</v>
      </c>
      <c r="H337" s="26">
        <v>434355.52007637476</v>
      </c>
      <c r="I337" s="26">
        <v>0</v>
      </c>
      <c r="J337" s="20">
        <f t="shared" si="5"/>
        <v>434355.52007637476</v>
      </c>
      <c r="K337" s="21" t="str">
        <f>VLOOKUP(C337,'[1]SHU 2023'!C$9:K$719,9,0)</f>
        <v>PASIF</v>
      </c>
    </row>
    <row r="338" spans="1:11" x14ac:dyDescent="0.35">
      <c r="A338" s="22">
        <v>331</v>
      </c>
      <c r="B338" s="23" t="s">
        <v>745</v>
      </c>
      <c r="C338" s="24" t="s">
        <v>746</v>
      </c>
      <c r="D338" s="25" t="s">
        <v>747</v>
      </c>
      <c r="E338" s="26">
        <v>5000</v>
      </c>
      <c r="F338" s="26">
        <v>19071897</v>
      </c>
      <c r="G338" s="26">
        <v>2174000</v>
      </c>
      <c r="H338" s="26">
        <v>2550691.8198888334</v>
      </c>
      <c r="I338" s="26">
        <v>0</v>
      </c>
      <c r="J338" s="20">
        <f t="shared" si="5"/>
        <v>23801588.819888834</v>
      </c>
      <c r="K338" s="21" t="str">
        <f>VLOOKUP(C338,'[1]SHU 2023'!C$9:K$719,9,0)</f>
        <v>AKTIF</v>
      </c>
    </row>
    <row r="339" spans="1:11" x14ac:dyDescent="0.35">
      <c r="A339" s="22">
        <v>332</v>
      </c>
      <c r="B339" s="23" t="s">
        <v>748</v>
      </c>
      <c r="C339" s="24" t="s">
        <v>749</v>
      </c>
      <c r="D339" s="25" t="s">
        <v>154</v>
      </c>
      <c r="E339" s="26">
        <v>0</v>
      </c>
      <c r="F339" s="26">
        <v>0</v>
      </c>
      <c r="G339" s="26">
        <v>0</v>
      </c>
      <c r="H339" s="26">
        <v>0.30920632486231625</v>
      </c>
      <c r="I339" s="26">
        <v>0</v>
      </c>
      <c r="J339" s="20">
        <f t="shared" si="5"/>
        <v>0.30920632486231625</v>
      </c>
      <c r="K339" s="21" t="s">
        <v>49</v>
      </c>
    </row>
    <row r="340" spans="1:11" x14ac:dyDescent="0.35">
      <c r="A340" s="22">
        <v>333</v>
      </c>
      <c r="B340" s="23" t="s">
        <v>750</v>
      </c>
      <c r="C340" s="24" t="s">
        <v>751</v>
      </c>
      <c r="D340" s="25" t="s">
        <v>349</v>
      </c>
      <c r="E340" s="26">
        <v>5000</v>
      </c>
      <c r="F340" s="26">
        <v>34438168</v>
      </c>
      <c r="G340" s="26">
        <v>30000</v>
      </c>
      <c r="H340" s="26">
        <v>8817912.6841754355</v>
      </c>
      <c r="I340" s="26">
        <v>0</v>
      </c>
      <c r="J340" s="20">
        <f t="shared" si="5"/>
        <v>43291080.684175432</v>
      </c>
      <c r="K340" s="21" t="str">
        <f>VLOOKUP(C340,'[1]SHU 2023'!C$9:K$719,9,0)</f>
        <v>AKTIF</v>
      </c>
    </row>
    <row r="341" spans="1:11" x14ac:dyDescent="0.35">
      <c r="A341" s="22">
        <v>334</v>
      </c>
      <c r="B341" s="23" t="s">
        <v>752</v>
      </c>
      <c r="C341" s="24" t="s">
        <v>753</v>
      </c>
      <c r="D341" s="25" t="s">
        <v>161</v>
      </c>
      <c r="E341" s="26">
        <v>5000</v>
      </c>
      <c r="F341" s="26">
        <v>606500</v>
      </c>
      <c r="G341" s="26">
        <v>0</v>
      </c>
      <c r="H341" s="26">
        <v>2457660.9094880414</v>
      </c>
      <c r="I341" s="26">
        <v>0</v>
      </c>
      <c r="J341" s="20">
        <f t="shared" si="5"/>
        <v>3069160.9094880414</v>
      </c>
      <c r="K341" s="21" t="str">
        <f>VLOOKUP(C341,'[1]SHU 2023'!C$9:K$719,9,0)</f>
        <v>PASIF</v>
      </c>
    </row>
    <row r="342" spans="1:11" x14ac:dyDescent="0.35">
      <c r="A342" s="22">
        <v>335</v>
      </c>
      <c r="B342" s="23" t="s">
        <v>754</v>
      </c>
      <c r="C342" s="24" t="s">
        <v>755</v>
      </c>
      <c r="D342" s="25" t="s">
        <v>233</v>
      </c>
      <c r="E342" s="26">
        <v>5000</v>
      </c>
      <c r="F342" s="26">
        <v>38651521</v>
      </c>
      <c r="G342" s="26">
        <v>3710000</v>
      </c>
      <c r="H342" s="26">
        <v>1433550.238210272</v>
      </c>
      <c r="I342" s="26">
        <v>0</v>
      </c>
      <c r="J342" s="20">
        <f t="shared" si="5"/>
        <v>43800071.238210276</v>
      </c>
      <c r="K342" s="21" t="str">
        <f>VLOOKUP(C342,'[1]SHU 2023'!C$9:K$719,9,0)</f>
        <v>AKTIF</v>
      </c>
    </row>
    <row r="343" spans="1:11" x14ac:dyDescent="0.35">
      <c r="A343" s="22">
        <v>336</v>
      </c>
      <c r="B343" s="23" t="s">
        <v>756</v>
      </c>
      <c r="C343" s="24" t="s">
        <v>757</v>
      </c>
      <c r="D343" s="25" t="s">
        <v>66</v>
      </c>
      <c r="E343" s="26">
        <v>0</v>
      </c>
      <c r="F343" s="26">
        <v>0</v>
      </c>
      <c r="G343" s="26">
        <v>0</v>
      </c>
      <c r="H343" s="26">
        <v>0.25686462968587875</v>
      </c>
      <c r="I343" s="26">
        <v>0</v>
      </c>
      <c r="J343" s="20">
        <f t="shared" si="5"/>
        <v>0.25686462968587875</v>
      </c>
      <c r="K343" s="21" t="s">
        <v>49</v>
      </c>
    </row>
    <row r="344" spans="1:11" x14ac:dyDescent="0.35">
      <c r="A344" s="22">
        <v>337</v>
      </c>
      <c r="B344" s="23" t="s">
        <v>758</v>
      </c>
      <c r="C344" s="24" t="s">
        <v>759</v>
      </c>
      <c r="D344" s="25" t="s">
        <v>546</v>
      </c>
      <c r="E344" s="26">
        <v>0</v>
      </c>
      <c r="F344" s="26">
        <v>-350000</v>
      </c>
      <c r="G344" s="26">
        <v>0</v>
      </c>
      <c r="H344" s="26">
        <v>-0.12553131999447942</v>
      </c>
      <c r="I344" s="26">
        <v>0</v>
      </c>
      <c r="J344" s="20">
        <f t="shared" si="5"/>
        <v>-350000.12553131999</v>
      </c>
      <c r="K344" s="21" t="str">
        <f>VLOOKUP(C344,'[1]SHU 2023'!C$9:K$719,9,0)</f>
        <v>BUKAN ANGGOTA</v>
      </c>
    </row>
    <row r="345" spans="1:11" x14ac:dyDescent="0.35">
      <c r="A345" s="22">
        <v>338</v>
      </c>
      <c r="B345" s="23" t="s">
        <v>760</v>
      </c>
      <c r="C345" s="24" t="s">
        <v>761</v>
      </c>
      <c r="D345" s="25" t="s">
        <v>196</v>
      </c>
      <c r="E345" s="26">
        <v>5000</v>
      </c>
      <c r="F345" s="26">
        <v>135000</v>
      </c>
      <c r="G345" s="26">
        <v>0</v>
      </c>
      <c r="H345" s="26">
        <v>499532.49932751775</v>
      </c>
      <c r="I345" s="26">
        <v>0</v>
      </c>
      <c r="J345" s="20">
        <f t="shared" si="5"/>
        <v>639532.49932751781</v>
      </c>
      <c r="K345" s="21" t="str">
        <f>VLOOKUP(C345,'[1]SHU 2023'!C$9:K$719,9,0)</f>
        <v>PASIF</v>
      </c>
    </row>
    <row r="346" spans="1:11" x14ac:dyDescent="0.35">
      <c r="A346" s="22">
        <v>339</v>
      </c>
      <c r="B346" s="23" t="s">
        <v>762</v>
      </c>
      <c r="C346" s="24" t="s">
        <v>763</v>
      </c>
      <c r="D346" s="25" t="s">
        <v>28</v>
      </c>
      <c r="E346" s="26">
        <v>0</v>
      </c>
      <c r="F346" s="26">
        <v>3500000</v>
      </c>
      <c r="G346" s="26">
        <v>0</v>
      </c>
      <c r="H346" s="26">
        <v>0.43586597591638565</v>
      </c>
      <c r="I346" s="26">
        <v>0</v>
      </c>
      <c r="J346" s="20">
        <f t="shared" si="5"/>
        <v>3500000.4358659759</v>
      </c>
      <c r="K346" s="21" t="s">
        <v>49</v>
      </c>
    </row>
    <row r="347" spans="1:11" x14ac:dyDescent="0.35">
      <c r="A347" s="22">
        <v>340</v>
      </c>
      <c r="B347" s="23" t="s">
        <v>764</v>
      </c>
      <c r="C347" s="24" t="s">
        <v>765</v>
      </c>
      <c r="D347" s="25" t="s">
        <v>313</v>
      </c>
      <c r="E347" s="26">
        <v>5000</v>
      </c>
      <c r="F347" s="26">
        <v>41603235</v>
      </c>
      <c r="G347" s="26">
        <v>0</v>
      </c>
      <c r="H347" s="26">
        <v>4340984.9125824273</v>
      </c>
      <c r="I347" s="26">
        <v>0</v>
      </c>
      <c r="J347" s="20">
        <f t="shared" si="5"/>
        <v>45949219.912582427</v>
      </c>
      <c r="K347" s="21" t="str">
        <f>VLOOKUP(C347,'[1]SHU 2023'!C$9:K$719,9,0)</f>
        <v>AKTIF</v>
      </c>
    </row>
    <row r="348" spans="1:11" x14ac:dyDescent="0.35">
      <c r="A348" s="22">
        <v>341</v>
      </c>
      <c r="B348" s="23" t="s">
        <v>766</v>
      </c>
      <c r="C348" s="24" t="s">
        <v>767</v>
      </c>
      <c r="D348" s="25" t="s">
        <v>118</v>
      </c>
      <c r="E348" s="26">
        <v>5000</v>
      </c>
      <c r="F348" s="26">
        <v>23075911</v>
      </c>
      <c r="G348" s="26">
        <v>0</v>
      </c>
      <c r="H348" s="26">
        <v>9179806.7847845647</v>
      </c>
      <c r="I348" s="26">
        <v>0</v>
      </c>
      <c r="J348" s="20">
        <f t="shared" si="5"/>
        <v>32260717.784784563</v>
      </c>
      <c r="K348" s="21" t="str">
        <f>VLOOKUP(C348,'[1]SHU 2023'!C$9:K$719,9,0)</f>
        <v>AKTIF</v>
      </c>
    </row>
    <row r="349" spans="1:11" x14ac:dyDescent="0.35">
      <c r="A349" s="22">
        <v>342</v>
      </c>
      <c r="B349" s="23" t="s">
        <v>768</v>
      </c>
      <c r="C349" s="24" t="s">
        <v>769</v>
      </c>
      <c r="D349" s="25" t="s">
        <v>514</v>
      </c>
      <c r="E349" s="26">
        <v>0</v>
      </c>
      <c r="F349" s="26">
        <v>0</v>
      </c>
      <c r="G349" s="26">
        <v>0</v>
      </c>
      <c r="H349" s="26">
        <v>0.4179716007784009</v>
      </c>
      <c r="I349" s="26">
        <v>0</v>
      </c>
      <c r="J349" s="20">
        <f t="shared" si="5"/>
        <v>0.4179716007784009</v>
      </c>
      <c r="K349" s="21" t="str">
        <f>VLOOKUP(C349,'[1]SHU 2023'!C$9:K$719,9,0)</f>
        <v>BUKAN ANGGOTA</v>
      </c>
    </row>
    <row r="350" spans="1:11" x14ac:dyDescent="0.35">
      <c r="A350" s="22">
        <v>343</v>
      </c>
      <c r="B350" s="23" t="s">
        <v>770</v>
      </c>
      <c r="C350" s="24" t="s">
        <v>771</v>
      </c>
      <c r="D350" s="25" t="s">
        <v>210</v>
      </c>
      <c r="E350" s="26">
        <v>5000</v>
      </c>
      <c r="F350" s="26">
        <v>1095000</v>
      </c>
      <c r="G350" s="26">
        <v>0</v>
      </c>
      <c r="H350" s="26">
        <v>1960460.3923551524</v>
      </c>
      <c r="I350" s="26">
        <v>0</v>
      </c>
      <c r="J350" s="20">
        <f t="shared" si="5"/>
        <v>3060460.3923551524</v>
      </c>
      <c r="K350" s="21" t="str">
        <f>VLOOKUP(C350,'[1]SHU 2023'!C$9:K$719,9,0)</f>
        <v>PASIF</v>
      </c>
    </row>
    <row r="351" spans="1:11" x14ac:dyDescent="0.35">
      <c r="A351" s="22">
        <v>344</v>
      </c>
      <c r="B351" s="23" t="s">
        <v>772</v>
      </c>
      <c r="C351" s="24" t="s">
        <v>773</v>
      </c>
      <c r="D351" s="25" t="s">
        <v>131</v>
      </c>
      <c r="E351" s="26">
        <v>5000</v>
      </c>
      <c r="F351" s="26">
        <v>20413906</v>
      </c>
      <c r="G351" s="26">
        <v>20000</v>
      </c>
      <c r="H351" s="26">
        <v>701036.39775178407</v>
      </c>
      <c r="I351" s="26">
        <v>0</v>
      </c>
      <c r="J351" s="20">
        <f t="shared" si="5"/>
        <v>21139942.397751786</v>
      </c>
      <c r="K351" s="21" t="str">
        <f>VLOOKUP(C351,'[1]SHU 2023'!C$9:K$719,9,0)</f>
        <v>AKTIF</v>
      </c>
    </row>
    <row r="352" spans="1:11" x14ac:dyDescent="0.35">
      <c r="A352" s="22">
        <v>345</v>
      </c>
      <c r="B352" s="23" t="s">
        <v>774</v>
      </c>
      <c r="C352" s="24" t="s">
        <v>775</v>
      </c>
      <c r="D352" s="25" t="s">
        <v>131</v>
      </c>
      <c r="E352" s="26">
        <v>0</v>
      </c>
      <c r="F352" s="26">
        <v>0</v>
      </c>
      <c r="G352" s="26">
        <v>0</v>
      </c>
      <c r="H352" s="26">
        <v>43412.422275854973</v>
      </c>
      <c r="I352" s="26">
        <v>0</v>
      </c>
      <c r="J352" s="20">
        <f t="shared" si="5"/>
        <v>43412.422275854973</v>
      </c>
      <c r="K352" s="21" t="str">
        <f>VLOOKUP(C352,'[1]SHU 2023'!C$9:K$719,9,0)</f>
        <v>PASIF</v>
      </c>
    </row>
    <row r="353" spans="1:11" x14ac:dyDescent="0.35">
      <c r="A353" s="22">
        <v>346</v>
      </c>
      <c r="B353" s="23" t="s">
        <v>776</v>
      </c>
      <c r="C353" s="24" t="s">
        <v>777</v>
      </c>
      <c r="D353" s="25" t="s">
        <v>39</v>
      </c>
      <c r="E353" s="26">
        <v>0</v>
      </c>
      <c r="F353" s="26">
        <v>1000000</v>
      </c>
      <c r="G353" s="26">
        <v>0</v>
      </c>
      <c r="H353" s="26">
        <v>0.15511981584131718</v>
      </c>
      <c r="I353" s="26">
        <v>0</v>
      </c>
      <c r="J353" s="20">
        <f t="shared" si="5"/>
        <v>1000000.1551198158</v>
      </c>
      <c r="K353" s="21" t="s">
        <v>49</v>
      </c>
    </row>
    <row r="354" spans="1:11" x14ac:dyDescent="0.35">
      <c r="A354" s="22">
        <v>347</v>
      </c>
      <c r="B354" s="23" t="s">
        <v>778</v>
      </c>
      <c r="C354" s="24" t="s">
        <v>779</v>
      </c>
      <c r="D354" s="25" t="s">
        <v>136</v>
      </c>
      <c r="E354" s="26">
        <v>0</v>
      </c>
      <c r="F354" s="26">
        <v>-150000</v>
      </c>
      <c r="G354" s="26">
        <v>0</v>
      </c>
      <c r="H354" s="26">
        <v>-6154.5118164140731</v>
      </c>
      <c r="I354" s="26">
        <v>0</v>
      </c>
      <c r="J354" s="20">
        <f t="shared" si="5"/>
        <v>-156154.51181641407</v>
      </c>
      <c r="K354" s="21" t="str">
        <f>VLOOKUP(C354,'[1]SHU 2023'!C$9:K$719,9,0)</f>
        <v>PASIF</v>
      </c>
    </row>
    <row r="355" spans="1:11" x14ac:dyDescent="0.35">
      <c r="A355" s="22">
        <v>348</v>
      </c>
      <c r="B355" s="23" t="s">
        <v>780</v>
      </c>
      <c r="C355" s="24" t="s">
        <v>781</v>
      </c>
      <c r="D355" s="25" t="s">
        <v>54</v>
      </c>
      <c r="E355" s="26">
        <v>0</v>
      </c>
      <c r="F355" s="26">
        <v>1200000</v>
      </c>
      <c r="G355" s="26">
        <v>0</v>
      </c>
      <c r="H355" s="26">
        <v>1355822.2079556249</v>
      </c>
      <c r="I355" s="26">
        <v>0</v>
      </c>
      <c r="J355" s="20">
        <f t="shared" si="5"/>
        <v>2555822.2079556249</v>
      </c>
      <c r="K355" s="21" t="str">
        <f>VLOOKUP(C355,'[1]SHU 2023'!C$9:K$719,9,0)</f>
        <v xml:space="preserve">BUKAN ANGGOTA </v>
      </c>
    </row>
    <row r="356" spans="1:11" x14ac:dyDescent="0.35">
      <c r="A356" s="22">
        <v>349</v>
      </c>
      <c r="B356" s="23" t="s">
        <v>782</v>
      </c>
      <c r="C356" s="24" t="s">
        <v>783</v>
      </c>
      <c r="D356" s="25" t="s">
        <v>285</v>
      </c>
      <c r="E356" s="26">
        <v>5000</v>
      </c>
      <c r="F356" s="26">
        <v>39098998</v>
      </c>
      <c r="G356" s="26">
        <v>890000</v>
      </c>
      <c r="H356" s="26">
        <v>1337206.8189867046</v>
      </c>
      <c r="I356" s="26">
        <v>0</v>
      </c>
      <c r="J356" s="20">
        <f t="shared" si="5"/>
        <v>41331204.818986706</v>
      </c>
      <c r="K356" s="21" t="str">
        <f>VLOOKUP(C356,'[1]SHU 2023'!C$9:K$719,9,0)</f>
        <v>AKTIF</v>
      </c>
    </row>
    <row r="357" spans="1:11" x14ac:dyDescent="0.35">
      <c r="A357" s="22">
        <v>350</v>
      </c>
      <c r="B357" s="23" t="s">
        <v>784</v>
      </c>
      <c r="C357" s="24" t="s">
        <v>785</v>
      </c>
      <c r="D357" s="25" t="s">
        <v>39</v>
      </c>
      <c r="E357" s="26">
        <v>-195000</v>
      </c>
      <c r="F357" s="26">
        <v>0</v>
      </c>
      <c r="G357" s="26">
        <v>0</v>
      </c>
      <c r="H357" s="26">
        <v>1194500.5600755885</v>
      </c>
      <c r="I357" s="26">
        <v>0</v>
      </c>
      <c r="J357" s="20">
        <f t="shared" si="5"/>
        <v>999500.56007558852</v>
      </c>
      <c r="K357" s="21" t="s">
        <v>49</v>
      </c>
    </row>
    <row r="358" spans="1:11" x14ac:dyDescent="0.35">
      <c r="A358" s="22">
        <v>351</v>
      </c>
      <c r="B358" s="23" t="s">
        <v>786</v>
      </c>
      <c r="C358" s="24" t="s">
        <v>787</v>
      </c>
      <c r="D358" s="25" t="s">
        <v>34</v>
      </c>
      <c r="E358" s="26">
        <v>0</v>
      </c>
      <c r="F358" s="26">
        <v>3450000</v>
      </c>
      <c r="G358" s="26">
        <v>0</v>
      </c>
      <c r="H358" s="26">
        <v>-18.096808982547373</v>
      </c>
      <c r="I358" s="26">
        <v>0</v>
      </c>
      <c r="J358" s="20">
        <f t="shared" si="5"/>
        <v>3449981.9031910175</v>
      </c>
      <c r="K358" s="21" t="str">
        <f>VLOOKUP(C358,'[1]SHU 2023'!C$9:K$719,9,0)</f>
        <v>PASIF</v>
      </c>
    </row>
    <row r="359" spans="1:11" x14ac:dyDescent="0.35">
      <c r="A359" s="22">
        <v>352</v>
      </c>
      <c r="B359" s="23" t="s">
        <v>788</v>
      </c>
      <c r="C359" s="24" t="s">
        <v>789</v>
      </c>
      <c r="D359" s="25" t="s">
        <v>71</v>
      </c>
      <c r="E359" s="26">
        <v>0</v>
      </c>
      <c r="F359" s="26">
        <v>0</v>
      </c>
      <c r="G359" s="26">
        <v>-20000</v>
      </c>
      <c r="H359" s="26">
        <v>-821</v>
      </c>
      <c r="I359" s="26">
        <v>0</v>
      </c>
      <c r="J359" s="20">
        <f t="shared" si="5"/>
        <v>-20821</v>
      </c>
      <c r="K359" s="21" t="str">
        <f>VLOOKUP(C359,'[1]SHU 2023'!C$9:K$719,9,0)</f>
        <v>PASIF</v>
      </c>
    </row>
    <row r="360" spans="1:11" x14ac:dyDescent="0.35">
      <c r="A360" s="22">
        <v>353</v>
      </c>
      <c r="B360" s="23" t="s">
        <v>790</v>
      </c>
      <c r="C360" s="24" t="s">
        <v>791</v>
      </c>
      <c r="D360" s="25" t="s">
        <v>89</v>
      </c>
      <c r="E360" s="26">
        <v>5000</v>
      </c>
      <c r="F360" s="26">
        <v>51809920</v>
      </c>
      <c r="G360" s="26">
        <v>158000</v>
      </c>
      <c r="H360" s="26">
        <v>10483962.021638853</v>
      </c>
      <c r="I360" s="26">
        <v>0</v>
      </c>
      <c r="J360" s="20">
        <f t="shared" si="5"/>
        <v>62456882.021638855</v>
      </c>
      <c r="K360" s="21" t="str">
        <f>VLOOKUP(C360,'[1]SHU 2023'!C$9:K$719,9,0)</f>
        <v>AKTIF</v>
      </c>
    </row>
    <row r="361" spans="1:11" x14ac:dyDescent="0.35">
      <c r="A361" s="22">
        <v>354</v>
      </c>
      <c r="B361" s="23" t="s">
        <v>792</v>
      </c>
      <c r="C361" s="24" t="s">
        <v>793</v>
      </c>
      <c r="D361" s="25" t="s">
        <v>546</v>
      </c>
      <c r="E361" s="26">
        <v>5000</v>
      </c>
      <c r="F361" s="26">
        <v>73402694</v>
      </c>
      <c r="G361" s="26">
        <v>698500</v>
      </c>
      <c r="H361" s="26">
        <v>8258608.0577875078</v>
      </c>
      <c r="I361" s="26">
        <v>0</v>
      </c>
      <c r="J361" s="20">
        <f t="shared" si="5"/>
        <v>82364802.057787508</v>
      </c>
      <c r="K361" s="21" t="str">
        <f>VLOOKUP(C361,'[1]SHU 2023'!C$9:K$719,9,0)</f>
        <v>PASIF</v>
      </c>
    </row>
    <row r="362" spans="1:11" x14ac:dyDescent="0.35">
      <c r="A362" s="22">
        <v>355</v>
      </c>
      <c r="B362" s="23" t="s">
        <v>794</v>
      </c>
      <c r="C362" s="24" t="s">
        <v>795</v>
      </c>
      <c r="D362" s="25" t="s">
        <v>28</v>
      </c>
      <c r="E362" s="26">
        <v>5000</v>
      </c>
      <c r="F362" s="26">
        <v>37869319</v>
      </c>
      <c r="G362" s="26">
        <v>3500000</v>
      </c>
      <c r="H362" s="26">
        <v>1826205.8921132751</v>
      </c>
      <c r="I362" s="26">
        <v>0</v>
      </c>
      <c r="J362" s="20">
        <f t="shared" si="5"/>
        <v>43200524.892113276</v>
      </c>
      <c r="K362" s="21" t="str">
        <f>VLOOKUP(C362,'[1]SHU 2023'!C$9:K$719,9,0)</f>
        <v>AKTIF</v>
      </c>
    </row>
    <row r="363" spans="1:11" x14ac:dyDescent="0.35">
      <c r="A363" s="22">
        <v>356</v>
      </c>
      <c r="B363" s="23" t="s">
        <v>796</v>
      </c>
      <c r="C363" s="24" t="s">
        <v>797</v>
      </c>
      <c r="D363" s="25" t="s">
        <v>25</v>
      </c>
      <c r="E363" s="26">
        <v>5000</v>
      </c>
      <c r="F363" s="26">
        <v>36992947</v>
      </c>
      <c r="G363" s="26">
        <v>0</v>
      </c>
      <c r="H363" s="26">
        <v>6366583.7969416361</v>
      </c>
      <c r="I363" s="26">
        <v>0</v>
      </c>
      <c r="J363" s="20">
        <f t="shared" si="5"/>
        <v>43364530.796941638</v>
      </c>
      <c r="K363" s="21" t="str">
        <f>VLOOKUP(C363,'[1]SHU 2023'!C$9:K$719,9,0)</f>
        <v>AKTIF</v>
      </c>
    </row>
    <row r="364" spans="1:11" x14ac:dyDescent="0.35">
      <c r="A364" s="22">
        <v>357</v>
      </c>
      <c r="B364" s="23" t="s">
        <v>798</v>
      </c>
      <c r="C364" s="24" t="s">
        <v>799</v>
      </c>
      <c r="D364" s="25" t="s">
        <v>48</v>
      </c>
      <c r="E364" s="26">
        <v>0</v>
      </c>
      <c r="F364" s="26">
        <v>0</v>
      </c>
      <c r="G364" s="26">
        <v>0</v>
      </c>
      <c r="H364" s="26">
        <v>0.4108505342155695</v>
      </c>
      <c r="I364" s="26">
        <v>0</v>
      </c>
      <c r="J364" s="20">
        <f t="shared" si="5"/>
        <v>0.4108505342155695</v>
      </c>
      <c r="K364" s="21" t="s">
        <v>49</v>
      </c>
    </row>
    <row r="365" spans="1:11" x14ac:dyDescent="0.35">
      <c r="A365" s="22">
        <v>358</v>
      </c>
      <c r="B365" s="23" t="s">
        <v>800</v>
      </c>
      <c r="C365" s="24" t="s">
        <v>801</v>
      </c>
      <c r="D365" s="25" t="s">
        <v>20</v>
      </c>
      <c r="E365" s="26">
        <v>5000</v>
      </c>
      <c r="F365" s="26">
        <v>34672002</v>
      </c>
      <c r="G365" s="26">
        <v>25000</v>
      </c>
      <c r="H365" s="26">
        <v>4408086.0330514805</v>
      </c>
      <c r="I365" s="26">
        <v>0</v>
      </c>
      <c r="J365" s="20">
        <f t="shared" si="5"/>
        <v>39110088.033051483</v>
      </c>
      <c r="K365" s="21" t="str">
        <f>VLOOKUP(C365,'[1]SHU 2023'!C$9:K$719,9,0)</f>
        <v>AKTIF</v>
      </c>
    </row>
    <row r="366" spans="1:11" x14ac:dyDescent="0.35">
      <c r="A366" s="22">
        <v>359</v>
      </c>
      <c r="B366" s="23" t="s">
        <v>802</v>
      </c>
      <c r="C366" s="24" t="s">
        <v>803</v>
      </c>
      <c r="D366" s="25" t="s">
        <v>92</v>
      </c>
      <c r="E366" s="26">
        <v>5000</v>
      </c>
      <c r="F366" s="26">
        <v>21911919</v>
      </c>
      <c r="G366" s="26">
        <v>0</v>
      </c>
      <c r="H366" s="26">
        <v>2243490.4950282583</v>
      </c>
      <c r="I366" s="26">
        <v>0</v>
      </c>
      <c r="J366" s="20">
        <f t="shared" si="5"/>
        <v>24160409.495028257</v>
      </c>
      <c r="K366" s="21" t="str">
        <f>VLOOKUP(C366,'[1]SHU 2023'!C$9:K$719,9,0)</f>
        <v>AKTIF</v>
      </c>
    </row>
    <row r="367" spans="1:11" x14ac:dyDescent="0.35">
      <c r="A367" s="22">
        <v>360</v>
      </c>
      <c r="B367" s="23" t="s">
        <v>804</v>
      </c>
      <c r="C367" s="24" t="s">
        <v>805</v>
      </c>
      <c r="D367" s="25" t="s">
        <v>34</v>
      </c>
      <c r="E367" s="26">
        <v>0</v>
      </c>
      <c r="F367" s="26">
        <v>0</v>
      </c>
      <c r="G367" s="26">
        <v>0</v>
      </c>
      <c r="H367" s="26">
        <v>42</v>
      </c>
      <c r="I367" s="26">
        <v>0</v>
      </c>
      <c r="J367" s="20">
        <f t="shared" si="5"/>
        <v>42</v>
      </c>
      <c r="K367" s="21" t="s">
        <v>49</v>
      </c>
    </row>
    <row r="368" spans="1:11" x14ac:dyDescent="0.35">
      <c r="A368" s="22">
        <v>361</v>
      </c>
      <c r="B368" s="23" t="s">
        <v>806</v>
      </c>
      <c r="C368" s="24" t="s">
        <v>807</v>
      </c>
      <c r="D368" s="25" t="s">
        <v>126</v>
      </c>
      <c r="E368" s="26">
        <v>5000</v>
      </c>
      <c r="F368" s="26">
        <v>74835223</v>
      </c>
      <c r="G368" s="26">
        <v>250000</v>
      </c>
      <c r="H368" s="26">
        <v>12763558.32624935</v>
      </c>
      <c r="I368" s="26">
        <v>0</v>
      </c>
      <c r="J368" s="20">
        <f t="shared" si="5"/>
        <v>87853781.326249346</v>
      </c>
      <c r="K368" s="21" t="str">
        <f>VLOOKUP(C368,'[1]SHU 2023'!C$9:K$719,9,0)</f>
        <v>AKTIF</v>
      </c>
    </row>
    <row r="369" spans="1:11" x14ac:dyDescent="0.35">
      <c r="A369" s="22">
        <v>362</v>
      </c>
      <c r="B369" s="23" t="s">
        <v>808</v>
      </c>
      <c r="C369" s="24" t="s">
        <v>809</v>
      </c>
      <c r="D369" s="25" t="s">
        <v>54</v>
      </c>
      <c r="E369" s="26">
        <v>0</v>
      </c>
      <c r="F369" s="26">
        <v>0</v>
      </c>
      <c r="G369" s="26">
        <v>0</v>
      </c>
      <c r="H369" s="26">
        <v>49200.964434333146</v>
      </c>
      <c r="I369" s="26">
        <v>0</v>
      </c>
      <c r="J369" s="20">
        <f t="shared" si="5"/>
        <v>49200.964434333146</v>
      </c>
      <c r="K369" s="21" t="str">
        <f>VLOOKUP(C369,'[1]SHU 2023'!C$9:K$719,9,0)</f>
        <v>PASIF</v>
      </c>
    </row>
    <row r="370" spans="1:11" x14ac:dyDescent="0.35">
      <c r="A370" s="22">
        <v>363</v>
      </c>
      <c r="B370" s="23" t="s">
        <v>810</v>
      </c>
      <c r="C370" s="24" t="s">
        <v>811</v>
      </c>
      <c r="D370" s="25" t="s">
        <v>233</v>
      </c>
      <c r="E370" s="26">
        <v>5000</v>
      </c>
      <c r="F370" s="26">
        <v>20005960</v>
      </c>
      <c r="G370" s="26">
        <v>0</v>
      </c>
      <c r="H370" s="26">
        <v>1899338.7005493098</v>
      </c>
      <c r="I370" s="26">
        <v>0</v>
      </c>
      <c r="J370" s="20">
        <f t="shared" si="5"/>
        <v>21910298.700549308</v>
      </c>
      <c r="K370" s="21" t="str">
        <f>VLOOKUP(C370,'[1]SHU 2023'!C$9:K$719,9,0)</f>
        <v>AKTIF</v>
      </c>
    </row>
    <row r="371" spans="1:11" x14ac:dyDescent="0.35">
      <c r="A371" s="22">
        <v>364</v>
      </c>
      <c r="B371" s="23" t="s">
        <v>812</v>
      </c>
      <c r="C371" s="24" t="s">
        <v>813</v>
      </c>
      <c r="D371" s="25" t="s">
        <v>193</v>
      </c>
      <c r="E371" s="26">
        <v>5000</v>
      </c>
      <c r="F371" s="26">
        <v>40463348</v>
      </c>
      <c r="G371" s="26">
        <v>0</v>
      </c>
      <c r="H371" s="26">
        <v>11107986.289678235</v>
      </c>
      <c r="I371" s="26">
        <v>0</v>
      </c>
      <c r="J371" s="20">
        <f t="shared" si="5"/>
        <v>51576334.289678231</v>
      </c>
      <c r="K371" s="21" t="str">
        <f>VLOOKUP(C371,'[1]SHU 2023'!C$9:K$719,9,0)</f>
        <v>AKTIF</v>
      </c>
    </row>
    <row r="372" spans="1:11" x14ac:dyDescent="0.35">
      <c r="A372" s="22">
        <v>365</v>
      </c>
      <c r="B372" s="23" t="s">
        <v>814</v>
      </c>
      <c r="C372" s="24" t="s">
        <v>815</v>
      </c>
      <c r="D372" s="25" t="s">
        <v>86</v>
      </c>
      <c r="E372" s="26">
        <v>5000</v>
      </c>
      <c r="F372" s="26">
        <v>17777980</v>
      </c>
      <c r="G372" s="26">
        <v>0</v>
      </c>
      <c r="H372" s="26">
        <v>2388536.8030920876</v>
      </c>
      <c r="I372" s="26">
        <v>0</v>
      </c>
      <c r="J372" s="20">
        <f t="shared" si="5"/>
        <v>20171516.803092089</v>
      </c>
      <c r="K372" s="21" t="str">
        <f>VLOOKUP(C372,'[1]SHU 2023'!C$9:K$719,9,0)</f>
        <v>AKTIF</v>
      </c>
    </row>
    <row r="373" spans="1:11" x14ac:dyDescent="0.35">
      <c r="A373" s="22">
        <v>366</v>
      </c>
      <c r="B373" s="23" t="s">
        <v>816</v>
      </c>
      <c r="C373" s="24" t="s">
        <v>817</v>
      </c>
      <c r="D373" s="25" t="s">
        <v>28</v>
      </c>
      <c r="E373" s="26">
        <v>5000</v>
      </c>
      <c r="F373" s="26">
        <v>31888231</v>
      </c>
      <c r="G373" s="26">
        <v>395000</v>
      </c>
      <c r="H373" s="26">
        <v>4100405.4797031386</v>
      </c>
      <c r="I373" s="26">
        <v>0</v>
      </c>
      <c r="J373" s="20">
        <f t="shared" si="5"/>
        <v>36388636.479703136</v>
      </c>
      <c r="K373" s="21" t="str">
        <f>VLOOKUP(C373,'[1]SHU 2023'!C$9:K$719,9,0)</f>
        <v>AKTIF</v>
      </c>
    </row>
    <row r="374" spans="1:11" x14ac:dyDescent="0.35">
      <c r="A374" s="22">
        <v>367</v>
      </c>
      <c r="B374" s="23" t="s">
        <v>818</v>
      </c>
      <c r="C374" s="24" t="s">
        <v>819</v>
      </c>
      <c r="D374" s="25" t="s">
        <v>17</v>
      </c>
      <c r="E374" s="26">
        <v>5000</v>
      </c>
      <c r="F374" s="26">
        <v>1641653</v>
      </c>
      <c r="G374" s="26">
        <v>0</v>
      </c>
      <c r="H374" s="26">
        <v>1768476.7085807524</v>
      </c>
      <c r="I374" s="26">
        <v>0</v>
      </c>
      <c r="J374" s="20">
        <f t="shared" si="5"/>
        <v>3415129.7085807524</v>
      </c>
      <c r="K374" s="21" t="str">
        <f>VLOOKUP(C374,'[1]SHU 2023'!C$9:K$719,9,0)</f>
        <v>PASIF</v>
      </c>
    </row>
    <row r="375" spans="1:11" x14ac:dyDescent="0.35">
      <c r="A375" s="22">
        <v>368</v>
      </c>
      <c r="B375" s="23" t="s">
        <v>820</v>
      </c>
      <c r="C375" s="24" t="s">
        <v>821</v>
      </c>
      <c r="D375" s="25" t="s">
        <v>362</v>
      </c>
      <c r="E375" s="26">
        <v>5000</v>
      </c>
      <c r="F375" s="26">
        <v>25793093</v>
      </c>
      <c r="G375" s="26">
        <v>855000</v>
      </c>
      <c r="H375" s="26">
        <v>3262591.3472851645</v>
      </c>
      <c r="I375" s="26">
        <v>0</v>
      </c>
      <c r="J375" s="20">
        <f t="shared" si="5"/>
        <v>29915684.347285166</v>
      </c>
      <c r="K375" s="21" t="str">
        <f>VLOOKUP(C375,'[1]SHU 2023'!C$9:K$719,9,0)</f>
        <v>AKTIF</v>
      </c>
    </row>
    <row r="376" spans="1:11" x14ac:dyDescent="0.35">
      <c r="A376" s="22">
        <v>369</v>
      </c>
      <c r="B376" s="23" t="s">
        <v>822</v>
      </c>
      <c r="C376" s="24" t="s">
        <v>823</v>
      </c>
      <c r="D376" s="25" t="s">
        <v>824</v>
      </c>
      <c r="E376" s="26">
        <v>5000</v>
      </c>
      <c r="F376" s="26">
        <v>56734919</v>
      </c>
      <c r="G376" s="26">
        <v>165000</v>
      </c>
      <c r="H376" s="26">
        <v>14850975.926216375</v>
      </c>
      <c r="I376" s="26">
        <v>0</v>
      </c>
      <c r="J376" s="20">
        <f t="shared" si="5"/>
        <v>71755894.926216379</v>
      </c>
      <c r="K376" s="21" t="str">
        <f>VLOOKUP(C376,'[1]SHU 2023'!C$9:K$719,9,0)</f>
        <v>AKTIF</v>
      </c>
    </row>
    <row r="377" spans="1:11" x14ac:dyDescent="0.35">
      <c r="A377" s="22">
        <v>370</v>
      </c>
      <c r="B377" s="23" t="s">
        <v>825</v>
      </c>
      <c r="C377" s="24" t="s">
        <v>826</v>
      </c>
      <c r="D377" s="25" t="s">
        <v>131</v>
      </c>
      <c r="E377" s="26">
        <v>5000</v>
      </c>
      <c r="F377" s="26">
        <v>21652747</v>
      </c>
      <c r="G377" s="26">
        <v>0</v>
      </c>
      <c r="H377" s="26">
        <v>2432512.6216336777</v>
      </c>
      <c r="I377" s="26">
        <v>0</v>
      </c>
      <c r="J377" s="20">
        <f t="shared" si="5"/>
        <v>24090259.621633679</v>
      </c>
      <c r="K377" s="21" t="str">
        <f>VLOOKUP(C377,'[1]SHU 2023'!C$9:K$719,9,0)</f>
        <v>AKTIF</v>
      </c>
    </row>
    <row r="378" spans="1:11" x14ac:dyDescent="0.35">
      <c r="A378" s="22">
        <v>371</v>
      </c>
      <c r="B378" s="23" t="s">
        <v>827</v>
      </c>
      <c r="C378" s="24" t="s">
        <v>828</v>
      </c>
      <c r="D378" s="25" t="s">
        <v>54</v>
      </c>
      <c r="E378" s="26">
        <v>5000</v>
      </c>
      <c r="F378" s="26">
        <v>58045785</v>
      </c>
      <c r="G378" s="26">
        <v>160000</v>
      </c>
      <c r="H378" s="26">
        <v>2375448.2679400705</v>
      </c>
      <c r="I378" s="26">
        <v>0</v>
      </c>
      <c r="J378" s="20">
        <f t="shared" si="5"/>
        <v>60586233.267940074</v>
      </c>
      <c r="K378" s="21" t="str">
        <f>VLOOKUP(C378,'[1]SHU 2023'!C$9:K$719,9,0)</f>
        <v>AKTIF</v>
      </c>
    </row>
    <row r="379" spans="1:11" x14ac:dyDescent="0.35">
      <c r="A379" s="22">
        <v>372</v>
      </c>
      <c r="B379" s="23" t="s">
        <v>829</v>
      </c>
      <c r="C379" s="24" t="s">
        <v>830</v>
      </c>
      <c r="D379" s="25" t="s">
        <v>31</v>
      </c>
      <c r="E379" s="26">
        <v>5000</v>
      </c>
      <c r="F379" s="26">
        <v>34570840</v>
      </c>
      <c r="G379" s="26">
        <v>610000</v>
      </c>
      <c r="H379" s="26">
        <v>6003615.8413952291</v>
      </c>
      <c r="I379" s="26">
        <v>0</v>
      </c>
      <c r="J379" s="20">
        <f t="shared" si="5"/>
        <v>41189455.841395229</v>
      </c>
      <c r="K379" s="21" t="str">
        <f>VLOOKUP(C379,'[1]SHU 2023'!C$9:K$719,9,0)</f>
        <v>AKTIF</v>
      </c>
    </row>
    <row r="380" spans="1:11" x14ac:dyDescent="0.35">
      <c r="A380" s="22">
        <v>373</v>
      </c>
      <c r="B380" s="23" t="s">
        <v>831</v>
      </c>
      <c r="C380" s="24" t="s">
        <v>832</v>
      </c>
      <c r="D380" s="25" t="s">
        <v>59</v>
      </c>
      <c r="E380" s="26">
        <v>0</v>
      </c>
      <c r="F380" s="26">
        <v>0</v>
      </c>
      <c r="G380" s="26">
        <v>250000</v>
      </c>
      <c r="H380" s="26">
        <v>693042.001730063</v>
      </c>
      <c r="I380" s="26">
        <v>0</v>
      </c>
      <c r="J380" s="20">
        <f t="shared" si="5"/>
        <v>943042.001730063</v>
      </c>
      <c r="K380" s="21" t="s">
        <v>49</v>
      </c>
    </row>
    <row r="381" spans="1:11" x14ac:dyDescent="0.35">
      <c r="A381" s="22">
        <v>374</v>
      </c>
      <c r="B381" s="23" t="s">
        <v>833</v>
      </c>
      <c r="C381" s="24" t="s">
        <v>834</v>
      </c>
      <c r="D381" s="25" t="s">
        <v>161</v>
      </c>
      <c r="E381" s="26">
        <v>0</v>
      </c>
      <c r="F381" s="26">
        <v>0</v>
      </c>
      <c r="G381" s="26">
        <v>0</v>
      </c>
      <c r="H381" s="26">
        <v>412294</v>
      </c>
      <c r="I381" s="26">
        <v>0</v>
      </c>
      <c r="J381" s="20">
        <f t="shared" si="5"/>
        <v>412294</v>
      </c>
      <c r="K381" s="21" t="str">
        <f>VLOOKUP(C381,'[1]SHU 2023'!C$9:K$719,9,0)</f>
        <v>PASIF</v>
      </c>
    </row>
    <row r="382" spans="1:11" x14ac:dyDescent="0.35">
      <c r="A382" s="22">
        <v>375</v>
      </c>
      <c r="B382" s="23" t="s">
        <v>835</v>
      </c>
      <c r="C382" s="24" t="s">
        <v>836</v>
      </c>
      <c r="D382" s="25" t="s">
        <v>86</v>
      </c>
      <c r="E382" s="26">
        <v>5000</v>
      </c>
      <c r="F382" s="26">
        <v>25252117</v>
      </c>
      <c r="G382" s="26">
        <v>50000</v>
      </c>
      <c r="H382" s="26">
        <v>13048275.540794658</v>
      </c>
      <c r="I382" s="26">
        <v>0</v>
      </c>
      <c r="J382" s="20">
        <f t="shared" si="5"/>
        <v>38355392.540794656</v>
      </c>
      <c r="K382" s="21" t="str">
        <f>VLOOKUP(C382,'[1]SHU 2023'!C$9:K$719,9,0)</f>
        <v>AKTIF</v>
      </c>
    </row>
    <row r="383" spans="1:11" x14ac:dyDescent="0.35">
      <c r="A383" s="22">
        <v>376</v>
      </c>
      <c r="B383" s="23" t="s">
        <v>837</v>
      </c>
      <c r="C383" s="24" t="s">
        <v>838</v>
      </c>
      <c r="D383" s="25" t="s">
        <v>131</v>
      </c>
      <c r="E383" s="26">
        <v>5000</v>
      </c>
      <c r="F383" s="26">
        <v>30987174</v>
      </c>
      <c r="G383" s="26">
        <v>90000</v>
      </c>
      <c r="H383" s="26">
        <v>935356.06953557243</v>
      </c>
      <c r="I383" s="26">
        <v>0</v>
      </c>
      <c r="J383" s="20">
        <f t="shared" si="5"/>
        <v>32017530.069535572</v>
      </c>
      <c r="K383" s="21" t="str">
        <f>VLOOKUP(C383,'[1]SHU 2023'!C$9:K$719,9,0)</f>
        <v>AKTIF</v>
      </c>
    </row>
    <row r="384" spans="1:11" x14ac:dyDescent="0.35">
      <c r="A384" s="22">
        <v>377</v>
      </c>
      <c r="B384" s="23" t="s">
        <v>839</v>
      </c>
      <c r="C384" s="24" t="s">
        <v>840</v>
      </c>
      <c r="D384" s="25" t="s">
        <v>92</v>
      </c>
      <c r="E384" s="26">
        <v>0</v>
      </c>
      <c r="F384" s="26">
        <v>0</v>
      </c>
      <c r="G384" s="26">
        <v>0</v>
      </c>
      <c r="H384" s="26">
        <v>37264.422429669648</v>
      </c>
      <c r="I384" s="26">
        <v>0</v>
      </c>
      <c r="J384" s="20">
        <f t="shared" si="5"/>
        <v>37264.422429669648</v>
      </c>
      <c r="K384" s="21" t="str">
        <f>VLOOKUP(C384,'[1]SHU 2023'!C$9:K$719,9,0)</f>
        <v>PASIF</v>
      </c>
    </row>
    <row r="385" spans="1:11" x14ac:dyDescent="0.35">
      <c r="A385" s="22">
        <v>378</v>
      </c>
      <c r="B385" s="23" t="s">
        <v>841</v>
      </c>
      <c r="C385" s="24" t="s">
        <v>842</v>
      </c>
      <c r="D385" s="25" t="s">
        <v>45</v>
      </c>
      <c r="E385" s="26">
        <v>0</v>
      </c>
      <c r="F385" s="26">
        <v>500000</v>
      </c>
      <c r="G385" s="26">
        <v>0</v>
      </c>
      <c r="H385" s="26">
        <v>65055.473211323842</v>
      </c>
      <c r="I385" s="26">
        <v>0</v>
      </c>
      <c r="J385" s="20">
        <f t="shared" si="5"/>
        <v>565055.47321132384</v>
      </c>
      <c r="K385" s="21" t="str">
        <f>VLOOKUP(C385,'[1]SHU 2023'!C$9:K$719,9,0)</f>
        <v>PASIF</v>
      </c>
    </row>
    <row r="386" spans="1:11" x14ac:dyDescent="0.35">
      <c r="A386" s="22">
        <v>379</v>
      </c>
      <c r="B386" s="23" t="s">
        <v>843</v>
      </c>
      <c r="C386" s="24" t="s">
        <v>844</v>
      </c>
      <c r="D386" s="25" t="s">
        <v>31</v>
      </c>
      <c r="E386" s="26">
        <v>5000</v>
      </c>
      <c r="F386" s="26">
        <v>32914378</v>
      </c>
      <c r="G386" s="26">
        <v>1670000</v>
      </c>
      <c r="H386" s="26">
        <v>1141874.8689332209</v>
      </c>
      <c r="I386" s="26">
        <v>0</v>
      </c>
      <c r="J386" s="20">
        <f t="shared" si="5"/>
        <v>35731252.868933223</v>
      </c>
      <c r="K386" s="21" t="str">
        <f>VLOOKUP(C386,'[1]SHU 2023'!C$9:K$719,9,0)</f>
        <v>AKTIF</v>
      </c>
    </row>
    <row r="387" spans="1:11" x14ac:dyDescent="0.35">
      <c r="A387" s="22">
        <v>380</v>
      </c>
      <c r="B387" s="23" t="s">
        <v>845</v>
      </c>
      <c r="C387" s="24" t="s">
        <v>846</v>
      </c>
      <c r="D387" s="25" t="s">
        <v>847</v>
      </c>
      <c r="E387" s="26">
        <v>5000</v>
      </c>
      <c r="F387" s="26">
        <v>61400000</v>
      </c>
      <c r="G387" s="26">
        <v>0</v>
      </c>
      <c r="H387" s="26">
        <v>7272136.454006887</v>
      </c>
      <c r="I387" s="26">
        <v>0</v>
      </c>
      <c r="J387" s="20">
        <f t="shared" si="5"/>
        <v>68677136.454006881</v>
      </c>
      <c r="K387" s="21" t="s">
        <v>848</v>
      </c>
    </row>
    <row r="388" spans="1:11" x14ac:dyDescent="0.35">
      <c r="A388" s="22">
        <v>381</v>
      </c>
      <c r="B388" s="23" t="s">
        <v>849</v>
      </c>
      <c r="C388" s="24" t="s">
        <v>850</v>
      </c>
      <c r="D388" s="25" t="s">
        <v>25</v>
      </c>
      <c r="E388" s="26">
        <v>5000</v>
      </c>
      <c r="F388" s="26">
        <v>5835211</v>
      </c>
      <c r="G388" s="26">
        <v>25000</v>
      </c>
      <c r="H388" s="26">
        <v>1723221.6190037541</v>
      </c>
      <c r="I388" s="26">
        <v>0</v>
      </c>
      <c r="J388" s="20">
        <f t="shared" si="5"/>
        <v>7588432.6190037541</v>
      </c>
      <c r="K388" s="21" t="str">
        <f>VLOOKUP(C388,'[1]SHU 2023'!C$9:K$719,9,0)</f>
        <v>PASIF</v>
      </c>
    </row>
    <row r="389" spans="1:11" x14ac:dyDescent="0.35">
      <c r="A389" s="22">
        <v>382</v>
      </c>
      <c r="B389" s="23" t="s">
        <v>851</v>
      </c>
      <c r="C389" s="24" t="s">
        <v>852</v>
      </c>
      <c r="D389" s="25" t="s">
        <v>89</v>
      </c>
      <c r="E389" s="26">
        <v>0</v>
      </c>
      <c r="F389" s="26">
        <v>0</v>
      </c>
      <c r="G389" s="26">
        <v>0</v>
      </c>
      <c r="H389" s="26">
        <v>214089.82880702708</v>
      </c>
      <c r="I389" s="26">
        <v>0</v>
      </c>
      <c r="J389" s="20">
        <f t="shared" si="5"/>
        <v>214089.82880702708</v>
      </c>
      <c r="K389" s="21" t="str">
        <f>VLOOKUP(C389,'[1]SHU 2023'!C$9:K$719,9,0)</f>
        <v>PASIF</v>
      </c>
    </row>
    <row r="390" spans="1:11" x14ac:dyDescent="0.35">
      <c r="A390" s="22">
        <v>383</v>
      </c>
      <c r="B390" s="23" t="s">
        <v>853</v>
      </c>
      <c r="C390" s="24" t="s">
        <v>854</v>
      </c>
      <c r="D390" s="25" t="s">
        <v>31</v>
      </c>
      <c r="E390" s="26">
        <v>5000</v>
      </c>
      <c r="F390" s="26">
        <v>32464901</v>
      </c>
      <c r="G390" s="26">
        <v>1098000</v>
      </c>
      <c r="H390" s="26">
        <v>4109784.9480718221</v>
      </c>
      <c r="I390" s="26">
        <v>0</v>
      </c>
      <c r="J390" s="20">
        <f t="shared" si="5"/>
        <v>37677685.948071823</v>
      </c>
      <c r="K390" s="21" t="str">
        <f>VLOOKUP(C390,'[1]SHU 2023'!C$9:K$719,9,0)</f>
        <v>AKTIF</v>
      </c>
    </row>
    <row r="391" spans="1:11" x14ac:dyDescent="0.35">
      <c r="A391" s="22">
        <v>384</v>
      </c>
      <c r="B391" s="23" t="s">
        <v>855</v>
      </c>
      <c r="C391" s="24" t="s">
        <v>856</v>
      </c>
      <c r="D391" s="25" t="s">
        <v>693</v>
      </c>
      <c r="E391" s="26">
        <v>5000</v>
      </c>
      <c r="F391" s="26">
        <v>38953217</v>
      </c>
      <c r="G391" s="26">
        <v>40000</v>
      </c>
      <c r="H391" s="26">
        <v>12257010.141362693</v>
      </c>
      <c r="I391" s="26">
        <v>0</v>
      </c>
      <c r="J391" s="20">
        <f t="shared" si="5"/>
        <v>51255227.141362697</v>
      </c>
      <c r="K391" s="21" t="str">
        <f>VLOOKUP(C391,'[1]SHU 2023'!C$9:K$719,9,0)</f>
        <v>AKTIF</v>
      </c>
    </row>
    <row r="392" spans="1:11" x14ac:dyDescent="0.35">
      <c r="A392" s="22">
        <v>385</v>
      </c>
      <c r="B392" s="23" t="s">
        <v>857</v>
      </c>
      <c r="C392" s="24" t="s">
        <v>858</v>
      </c>
      <c r="D392" s="25" t="s">
        <v>71</v>
      </c>
      <c r="E392" s="26">
        <v>5000</v>
      </c>
      <c r="F392" s="26">
        <v>36880222</v>
      </c>
      <c r="G392" s="26">
        <v>0</v>
      </c>
      <c r="H392" s="26">
        <v>4846865.9824401606</v>
      </c>
      <c r="I392" s="26">
        <v>0</v>
      </c>
      <c r="J392" s="20">
        <f t="shared" si="5"/>
        <v>41732087.982440159</v>
      </c>
      <c r="K392" s="21" t="str">
        <f>VLOOKUP(C392,'[1]SHU 2023'!C$9:K$719,9,0)</f>
        <v>AKTIF</v>
      </c>
    </row>
    <row r="393" spans="1:11" x14ac:dyDescent="0.35">
      <c r="A393" s="22">
        <v>386</v>
      </c>
      <c r="B393" s="23" t="s">
        <v>859</v>
      </c>
      <c r="C393" s="24" t="s">
        <v>860</v>
      </c>
      <c r="D393" s="25" t="s">
        <v>31</v>
      </c>
      <c r="E393" s="26">
        <v>5000</v>
      </c>
      <c r="F393" s="26">
        <v>32270858</v>
      </c>
      <c r="G393" s="26">
        <v>300000</v>
      </c>
      <c r="H393" s="26">
        <v>2976770.7214895063</v>
      </c>
      <c r="I393" s="26">
        <v>0</v>
      </c>
      <c r="J393" s="20">
        <f t="shared" ref="J393:J456" si="6">E393+F393+G393+H393</f>
        <v>35552628.721489504</v>
      </c>
      <c r="K393" s="21" t="str">
        <f>VLOOKUP(C393,'[1]SHU 2023'!C$9:K$719,9,0)</f>
        <v>AKTIF</v>
      </c>
    </row>
    <row r="394" spans="1:11" x14ac:dyDescent="0.35">
      <c r="A394" s="22">
        <v>387</v>
      </c>
      <c r="B394" s="23" t="s">
        <v>861</v>
      </c>
      <c r="C394" s="24" t="s">
        <v>862</v>
      </c>
      <c r="D394" s="25" t="s">
        <v>42</v>
      </c>
      <c r="E394" s="26">
        <v>5000</v>
      </c>
      <c r="F394" s="26">
        <v>395000</v>
      </c>
      <c r="G394" s="26">
        <v>0</v>
      </c>
      <c r="H394" s="26">
        <v>662041.08690312982</v>
      </c>
      <c r="I394" s="26">
        <v>0</v>
      </c>
      <c r="J394" s="20">
        <f t="shared" si="6"/>
        <v>1062041.0869031297</v>
      </c>
      <c r="K394" s="21" t="str">
        <f>VLOOKUP(C394,'[1]SHU 2023'!C$9:K$719,9,0)</f>
        <v>PASIF</v>
      </c>
    </row>
    <row r="395" spans="1:11" x14ac:dyDescent="0.35">
      <c r="A395" s="22">
        <v>388</v>
      </c>
      <c r="B395" s="23" t="s">
        <v>863</v>
      </c>
      <c r="C395" s="24" t="s">
        <v>864</v>
      </c>
      <c r="D395" s="25" t="s">
        <v>362</v>
      </c>
      <c r="E395" s="26">
        <v>0</v>
      </c>
      <c r="F395" s="26">
        <v>9000000</v>
      </c>
      <c r="G395" s="26">
        <v>0</v>
      </c>
      <c r="H395" s="26">
        <v>0</v>
      </c>
      <c r="I395" s="26">
        <v>0</v>
      </c>
      <c r="J395" s="20">
        <f t="shared" si="6"/>
        <v>9000000</v>
      </c>
      <c r="K395" s="21" t="str">
        <f>VLOOKUP(C395,'[1]SHU 2023'!C$9:K$719,9,0)</f>
        <v>BUKAN ANGGOTA</v>
      </c>
    </row>
    <row r="396" spans="1:11" x14ac:dyDescent="0.35">
      <c r="A396" s="22">
        <v>389</v>
      </c>
      <c r="B396" s="23" t="s">
        <v>865</v>
      </c>
      <c r="C396" s="24" t="s">
        <v>866</v>
      </c>
      <c r="D396" s="25" t="s">
        <v>164</v>
      </c>
      <c r="E396" s="26">
        <v>0</v>
      </c>
      <c r="F396" s="26">
        <v>0</v>
      </c>
      <c r="G396" s="26">
        <v>0</v>
      </c>
      <c r="H396" s="26">
        <v>52730.846195780148</v>
      </c>
      <c r="I396" s="26">
        <v>0</v>
      </c>
      <c r="J396" s="20">
        <f t="shared" si="6"/>
        <v>52730.846195780148</v>
      </c>
      <c r="K396" s="21" t="str">
        <f>VLOOKUP(C396,'[1]SHU 2023'!C$9:K$719,9,0)</f>
        <v>PASIF</v>
      </c>
    </row>
    <row r="397" spans="1:11" x14ac:dyDescent="0.35">
      <c r="A397" s="22">
        <v>390</v>
      </c>
      <c r="B397" s="23" t="s">
        <v>867</v>
      </c>
      <c r="C397" s="24" t="s">
        <v>868</v>
      </c>
      <c r="D397" s="25" t="s">
        <v>74</v>
      </c>
      <c r="E397" s="26">
        <v>0</v>
      </c>
      <c r="F397" s="26">
        <v>0</v>
      </c>
      <c r="G397" s="26">
        <v>0</v>
      </c>
      <c r="H397" s="26">
        <v>-0.2510682821739465</v>
      </c>
      <c r="I397" s="26">
        <v>0</v>
      </c>
      <c r="J397" s="20">
        <f t="shared" si="6"/>
        <v>-0.2510682821739465</v>
      </c>
      <c r="K397" s="21" t="s">
        <v>49</v>
      </c>
    </row>
    <row r="398" spans="1:11" x14ac:dyDescent="0.35">
      <c r="A398" s="22">
        <v>391</v>
      </c>
      <c r="B398" s="23" t="s">
        <v>869</v>
      </c>
      <c r="C398" s="24" t="s">
        <v>870</v>
      </c>
      <c r="D398" s="25" t="s">
        <v>349</v>
      </c>
      <c r="E398" s="26">
        <v>5000</v>
      </c>
      <c r="F398" s="26">
        <v>3370000</v>
      </c>
      <c r="G398" s="26">
        <v>0</v>
      </c>
      <c r="H398" s="26">
        <v>-49690.169829299557</v>
      </c>
      <c r="I398" s="26">
        <v>0</v>
      </c>
      <c r="J398" s="20">
        <f t="shared" si="6"/>
        <v>3325309.8301707003</v>
      </c>
      <c r="K398" s="21" t="str">
        <f>VLOOKUP(C398,'[1]SHU 2023'!C$9:K$719,9,0)</f>
        <v>PASIF</v>
      </c>
    </row>
    <row r="399" spans="1:11" x14ac:dyDescent="0.35">
      <c r="A399" s="22">
        <v>392</v>
      </c>
      <c r="B399" s="23" t="s">
        <v>871</v>
      </c>
      <c r="C399" s="24" t="s">
        <v>872</v>
      </c>
      <c r="D399" s="25" t="s">
        <v>226</v>
      </c>
      <c r="E399" s="26">
        <v>0</v>
      </c>
      <c r="F399" s="26">
        <v>0</v>
      </c>
      <c r="G399" s="26">
        <v>200000</v>
      </c>
      <c r="H399" s="26">
        <v>43552.820287168637</v>
      </c>
      <c r="I399" s="26">
        <v>0</v>
      </c>
      <c r="J399" s="20">
        <f t="shared" si="6"/>
        <v>243552.82028716864</v>
      </c>
      <c r="K399" s="21" t="str">
        <f>VLOOKUP(C399,'[1]SHU 2023'!C$9:K$719,9,0)</f>
        <v>PASIF</v>
      </c>
    </row>
    <row r="400" spans="1:11" x14ac:dyDescent="0.35">
      <c r="A400" s="22">
        <v>393</v>
      </c>
      <c r="B400" s="23" t="s">
        <v>873</v>
      </c>
      <c r="C400" s="24" t="s">
        <v>874</v>
      </c>
      <c r="D400" s="25" t="s">
        <v>59</v>
      </c>
      <c r="E400" s="26">
        <v>5000</v>
      </c>
      <c r="F400" s="26">
        <v>0</v>
      </c>
      <c r="G400" s="26">
        <v>0</v>
      </c>
      <c r="H400" s="26">
        <v>199411.45983493421</v>
      </c>
      <c r="I400" s="26">
        <v>0</v>
      </c>
      <c r="J400" s="20">
        <f t="shared" si="6"/>
        <v>204411.45983493421</v>
      </c>
      <c r="K400" s="21" t="str">
        <f>VLOOKUP(C400,'[1]SHU 2023'!C$9:K$719,9,0)</f>
        <v>BUKAN ANGGOTA</v>
      </c>
    </row>
    <row r="401" spans="1:11" x14ac:dyDescent="0.35">
      <c r="A401" s="22">
        <v>394</v>
      </c>
      <c r="B401" s="23" t="s">
        <v>875</v>
      </c>
      <c r="C401" s="24" t="s">
        <v>876</v>
      </c>
      <c r="D401" s="25" t="s">
        <v>89</v>
      </c>
      <c r="E401" s="26">
        <v>5000</v>
      </c>
      <c r="F401" s="26">
        <v>19750000</v>
      </c>
      <c r="G401" s="26">
        <v>0</v>
      </c>
      <c r="H401" s="26">
        <v>2739502.4632955333</v>
      </c>
      <c r="I401" s="26">
        <v>0</v>
      </c>
      <c r="J401" s="20">
        <f t="shared" si="6"/>
        <v>22494502.463295534</v>
      </c>
      <c r="K401" s="21" t="str">
        <f>VLOOKUP(C401,'[1]SHU 2023'!C$9:K$719,9,0)</f>
        <v>AKTIF</v>
      </c>
    </row>
    <row r="402" spans="1:11" x14ac:dyDescent="0.35">
      <c r="A402" s="22">
        <v>395</v>
      </c>
      <c r="B402" s="23" t="s">
        <v>877</v>
      </c>
      <c r="C402" s="24" t="s">
        <v>878</v>
      </c>
      <c r="D402" s="25" t="s">
        <v>118</v>
      </c>
      <c r="E402" s="26">
        <v>5000</v>
      </c>
      <c r="F402" s="26">
        <v>17080000</v>
      </c>
      <c r="G402" s="26">
        <v>350000</v>
      </c>
      <c r="H402" s="26">
        <v>2595510.178792519</v>
      </c>
      <c r="I402" s="26">
        <v>0</v>
      </c>
      <c r="J402" s="20">
        <f t="shared" si="6"/>
        <v>20030510.178792518</v>
      </c>
      <c r="K402" s="21" t="str">
        <f>VLOOKUP(C402,'[1]SHU 2023'!C$9:K$719,9,0)</f>
        <v>AKTIF</v>
      </c>
    </row>
    <row r="403" spans="1:11" x14ac:dyDescent="0.35">
      <c r="A403" s="22">
        <v>396</v>
      </c>
      <c r="B403" s="23" t="s">
        <v>879</v>
      </c>
      <c r="C403" s="24" t="s">
        <v>880</v>
      </c>
      <c r="D403" s="25" t="s">
        <v>210</v>
      </c>
      <c r="E403" s="26">
        <v>5000</v>
      </c>
      <c r="F403" s="26">
        <v>39380000</v>
      </c>
      <c r="G403" s="26">
        <v>0</v>
      </c>
      <c r="H403" s="26">
        <v>5364677.6679381104</v>
      </c>
      <c r="I403" s="26">
        <v>0</v>
      </c>
      <c r="J403" s="20">
        <f t="shared" si="6"/>
        <v>44749677.667938113</v>
      </c>
      <c r="K403" s="21" t="str">
        <f>VLOOKUP(C403,'[1]SHU 2023'!C$9:K$719,9,0)</f>
        <v>AKTIF</v>
      </c>
    </row>
    <row r="404" spans="1:11" x14ac:dyDescent="0.35">
      <c r="A404" s="22">
        <v>397</v>
      </c>
      <c r="B404" s="23" t="s">
        <v>881</v>
      </c>
      <c r="C404" s="24" t="s">
        <v>882</v>
      </c>
      <c r="D404" s="25" t="s">
        <v>118</v>
      </c>
      <c r="E404" s="26">
        <v>5000</v>
      </c>
      <c r="F404" s="26">
        <v>2390000</v>
      </c>
      <c r="G404" s="26">
        <v>0</v>
      </c>
      <c r="H404" s="26">
        <v>1477524.9917339797</v>
      </c>
      <c r="I404" s="26">
        <v>0</v>
      </c>
      <c r="J404" s="20">
        <f t="shared" si="6"/>
        <v>3872524.9917339794</v>
      </c>
      <c r="K404" s="21" t="str">
        <f>VLOOKUP(C404,'[1]SHU 2023'!C$9:K$719,9,0)</f>
        <v>PASIF</v>
      </c>
    </row>
    <row r="405" spans="1:11" x14ac:dyDescent="0.35">
      <c r="A405" s="22">
        <v>398</v>
      </c>
      <c r="B405" s="23" t="s">
        <v>883</v>
      </c>
      <c r="C405" s="24" t="s">
        <v>884</v>
      </c>
      <c r="D405" s="25" t="s">
        <v>313</v>
      </c>
      <c r="E405" s="26">
        <v>5000</v>
      </c>
      <c r="F405" s="26">
        <v>20250000</v>
      </c>
      <c r="G405" s="26">
        <v>0</v>
      </c>
      <c r="H405" s="26">
        <v>1753114.4461274878</v>
      </c>
      <c r="I405" s="26">
        <v>0</v>
      </c>
      <c r="J405" s="20">
        <f t="shared" si="6"/>
        <v>22008114.446127489</v>
      </c>
      <c r="K405" s="21" t="str">
        <f>VLOOKUP(C405,'[1]SHU 2023'!C$9:K$719,9,0)</f>
        <v>AKTIF</v>
      </c>
    </row>
    <row r="406" spans="1:11" x14ac:dyDescent="0.35">
      <c r="A406" s="22">
        <v>399</v>
      </c>
      <c r="B406" s="23" t="s">
        <v>885</v>
      </c>
      <c r="C406" s="24" t="s">
        <v>886</v>
      </c>
      <c r="D406" s="25" t="s">
        <v>546</v>
      </c>
      <c r="E406" s="26">
        <v>0</v>
      </c>
      <c r="F406" s="26">
        <v>0</v>
      </c>
      <c r="G406" s="26">
        <v>0</v>
      </c>
      <c r="H406" s="26">
        <v>113023.38492858806</v>
      </c>
      <c r="I406" s="26">
        <v>0</v>
      </c>
      <c r="J406" s="20">
        <f t="shared" si="6"/>
        <v>113023.38492858806</v>
      </c>
      <c r="K406" s="21" t="str">
        <f>VLOOKUP(C406,'[1]SHU 2023'!C$9:K$719,9,0)</f>
        <v>PASIF</v>
      </c>
    </row>
    <row r="407" spans="1:11" x14ac:dyDescent="0.35">
      <c r="A407" s="22">
        <v>400</v>
      </c>
      <c r="B407" s="23" t="s">
        <v>887</v>
      </c>
      <c r="C407" s="24" t="s">
        <v>888</v>
      </c>
      <c r="D407" s="25" t="s">
        <v>89</v>
      </c>
      <c r="E407" s="26">
        <v>0</v>
      </c>
      <c r="F407" s="26">
        <v>500000</v>
      </c>
      <c r="G407" s="26">
        <v>0</v>
      </c>
      <c r="H407" s="26">
        <v>20515</v>
      </c>
      <c r="I407" s="26">
        <v>0</v>
      </c>
      <c r="J407" s="20">
        <f t="shared" si="6"/>
        <v>520515</v>
      </c>
      <c r="K407" s="21" t="str">
        <f>VLOOKUP(C407,'[1]SHU 2023'!C$9:K$719,9,0)</f>
        <v>PASIF</v>
      </c>
    </row>
    <row r="408" spans="1:11" x14ac:dyDescent="0.35">
      <c r="A408" s="22">
        <v>401</v>
      </c>
      <c r="B408" s="23" t="s">
        <v>889</v>
      </c>
      <c r="C408" s="24" t="s">
        <v>890</v>
      </c>
      <c r="D408" s="25" t="s">
        <v>89</v>
      </c>
      <c r="E408" s="26">
        <v>0</v>
      </c>
      <c r="F408" s="26">
        <v>8250000</v>
      </c>
      <c r="G408" s="26">
        <v>250000</v>
      </c>
      <c r="H408" s="26">
        <v>73733.34471268818</v>
      </c>
      <c r="I408" s="26">
        <v>0</v>
      </c>
      <c r="J408" s="20">
        <f t="shared" si="6"/>
        <v>8573733.3447126877</v>
      </c>
      <c r="K408" s="21" t="str">
        <f>VLOOKUP(C408,'[1]SHU 2023'!C$9:K$719,9,0)</f>
        <v>AKTIF</v>
      </c>
    </row>
    <row r="409" spans="1:11" x14ac:dyDescent="0.35">
      <c r="A409" s="22">
        <v>402</v>
      </c>
      <c r="B409" s="23" t="s">
        <v>891</v>
      </c>
      <c r="C409" s="27" t="s">
        <v>892</v>
      </c>
      <c r="D409" s="25" t="s">
        <v>25</v>
      </c>
      <c r="E409" s="26">
        <v>0</v>
      </c>
      <c r="F409" s="26">
        <v>0</v>
      </c>
      <c r="G409" s="26">
        <v>0</v>
      </c>
      <c r="H409" s="26">
        <v>-0.5206323426682502</v>
      </c>
      <c r="I409" s="26">
        <v>0</v>
      </c>
      <c r="J409" s="20">
        <f t="shared" si="6"/>
        <v>-0.5206323426682502</v>
      </c>
      <c r="K409" s="21" t="s">
        <v>49</v>
      </c>
    </row>
    <row r="410" spans="1:11" x14ac:dyDescent="0.35">
      <c r="A410" s="22">
        <v>403</v>
      </c>
      <c r="B410" s="23" t="s">
        <v>893</v>
      </c>
      <c r="C410" s="24" t="s">
        <v>894</v>
      </c>
      <c r="D410" s="25" t="s">
        <v>248</v>
      </c>
      <c r="E410" s="26">
        <v>0</v>
      </c>
      <c r="F410" s="26">
        <v>750000</v>
      </c>
      <c r="G410" s="26">
        <v>0</v>
      </c>
      <c r="H410" s="26">
        <v>30773.365020134486</v>
      </c>
      <c r="I410" s="26">
        <v>0</v>
      </c>
      <c r="J410" s="20">
        <f t="shared" si="6"/>
        <v>780773.36502013449</v>
      </c>
      <c r="K410" s="21" t="str">
        <f>VLOOKUP(C410,'[1]SHU 2023'!C$9:K$719,9,0)</f>
        <v>PASIF</v>
      </c>
    </row>
    <row r="411" spans="1:11" x14ac:dyDescent="0.35">
      <c r="A411" s="22">
        <v>404</v>
      </c>
      <c r="B411" s="23" t="s">
        <v>895</v>
      </c>
      <c r="C411" s="24" t="s">
        <v>896</v>
      </c>
      <c r="D411" s="25"/>
      <c r="E411" s="26">
        <v>0</v>
      </c>
      <c r="F411" s="26">
        <v>250000</v>
      </c>
      <c r="G411" s="26">
        <v>0</v>
      </c>
      <c r="H411" s="26">
        <v>10258</v>
      </c>
      <c r="I411" s="26">
        <v>0</v>
      </c>
      <c r="J411" s="20">
        <f t="shared" si="6"/>
        <v>260258</v>
      </c>
      <c r="K411" s="21" t="str">
        <f>VLOOKUP(C411,'[1]SHU 2023'!C$9:K$719,9,0)</f>
        <v>PASIF</v>
      </c>
    </row>
    <row r="412" spans="1:11" x14ac:dyDescent="0.35">
      <c r="A412" s="22">
        <v>405</v>
      </c>
      <c r="B412" s="23" t="s">
        <v>897</v>
      </c>
      <c r="C412" s="24" t="s">
        <v>898</v>
      </c>
      <c r="D412" s="25" t="s">
        <v>71</v>
      </c>
      <c r="E412" s="26">
        <v>0</v>
      </c>
      <c r="F412" s="26">
        <v>300000</v>
      </c>
      <c r="G412" s="26">
        <v>0</v>
      </c>
      <c r="H412" s="26">
        <v>96537.547672237968</v>
      </c>
      <c r="I412" s="26">
        <v>0</v>
      </c>
      <c r="J412" s="20">
        <f t="shared" si="6"/>
        <v>396537.54767223797</v>
      </c>
      <c r="K412" s="21" t="str">
        <f>VLOOKUP(C412,'[1]SHU 2023'!C$9:K$719,9,0)</f>
        <v>PASIF</v>
      </c>
    </row>
    <row r="413" spans="1:11" x14ac:dyDescent="0.35">
      <c r="A413" s="22">
        <v>406</v>
      </c>
      <c r="B413" s="23" t="s">
        <v>899</v>
      </c>
      <c r="C413" s="24" t="s">
        <v>900</v>
      </c>
      <c r="D413" s="25" t="s">
        <v>34</v>
      </c>
      <c r="E413" s="26">
        <v>0</v>
      </c>
      <c r="F413" s="26">
        <v>0</v>
      </c>
      <c r="G413" s="26">
        <v>0</v>
      </c>
      <c r="H413" s="26">
        <v>-0.27676260122098029</v>
      </c>
      <c r="I413" s="26">
        <v>0</v>
      </c>
      <c r="J413" s="20">
        <f t="shared" si="6"/>
        <v>-0.27676260122098029</v>
      </c>
      <c r="K413" s="21" t="s">
        <v>49</v>
      </c>
    </row>
    <row r="414" spans="1:11" x14ac:dyDescent="0.35">
      <c r="A414" s="22">
        <v>407</v>
      </c>
      <c r="B414" s="23" t="s">
        <v>901</v>
      </c>
      <c r="C414" s="24" t="s">
        <v>902</v>
      </c>
      <c r="D414" s="25" t="s">
        <v>903</v>
      </c>
      <c r="E414" s="26">
        <v>5000</v>
      </c>
      <c r="F414" s="26">
        <v>11395000</v>
      </c>
      <c r="G414" s="26">
        <v>0</v>
      </c>
      <c r="H414" s="26">
        <v>2421595.9588894835</v>
      </c>
      <c r="I414" s="26">
        <v>0</v>
      </c>
      <c r="J414" s="20">
        <f t="shared" si="6"/>
        <v>13821595.958889484</v>
      </c>
      <c r="K414" s="21" t="str">
        <f>VLOOKUP(C414,'[1]SHU 2023'!C$9:K$719,9,0)</f>
        <v>AKTIF</v>
      </c>
    </row>
    <row r="415" spans="1:11" x14ac:dyDescent="0.35">
      <c r="A415" s="22">
        <v>408</v>
      </c>
      <c r="B415" s="23" t="s">
        <v>904</v>
      </c>
      <c r="C415" s="24" t="s">
        <v>905</v>
      </c>
      <c r="D415" s="25" t="s">
        <v>126</v>
      </c>
      <c r="E415" s="26">
        <v>5000</v>
      </c>
      <c r="F415" s="26">
        <v>30970000</v>
      </c>
      <c r="G415" s="26">
        <v>1250000</v>
      </c>
      <c r="H415" s="26">
        <v>2078763.5985016525</v>
      </c>
      <c r="I415" s="26">
        <v>0</v>
      </c>
      <c r="J415" s="20">
        <f t="shared" si="6"/>
        <v>34303763.598501652</v>
      </c>
      <c r="K415" s="21" t="str">
        <f>VLOOKUP(C415,'[1]SHU 2023'!C$9:K$719,9,0)</f>
        <v>AKTIF</v>
      </c>
    </row>
    <row r="416" spans="1:11" x14ac:dyDescent="0.35">
      <c r="A416" s="22">
        <v>409</v>
      </c>
      <c r="B416" s="23" t="s">
        <v>906</v>
      </c>
      <c r="C416" s="24" t="s">
        <v>907</v>
      </c>
      <c r="D416" s="25" t="s">
        <v>223</v>
      </c>
      <c r="E416" s="26">
        <v>0</v>
      </c>
      <c r="F416" s="26">
        <v>31975000</v>
      </c>
      <c r="G416" s="26">
        <v>220000</v>
      </c>
      <c r="H416" s="26">
        <v>2239487.1616215408</v>
      </c>
      <c r="I416" s="26">
        <v>0</v>
      </c>
      <c r="J416" s="20">
        <f t="shared" si="6"/>
        <v>34434487.161621541</v>
      </c>
      <c r="K416" s="21" t="str">
        <f>VLOOKUP(C416,'[1]SHU 2023'!C$9:K$719,9,0)</f>
        <v>AKTIF</v>
      </c>
    </row>
    <row r="417" spans="1:11" x14ac:dyDescent="0.35">
      <c r="A417" s="22">
        <v>410</v>
      </c>
      <c r="B417" s="23" t="s">
        <v>908</v>
      </c>
      <c r="C417" s="24" t="s">
        <v>909</v>
      </c>
      <c r="D417" s="25" t="s">
        <v>285</v>
      </c>
      <c r="E417" s="26">
        <v>0</v>
      </c>
      <c r="F417" s="26">
        <v>32150000</v>
      </c>
      <c r="G417" s="26">
        <v>75000</v>
      </c>
      <c r="H417" s="26">
        <v>2216413.7188946363</v>
      </c>
      <c r="I417" s="26">
        <v>0</v>
      </c>
      <c r="J417" s="20">
        <f t="shared" si="6"/>
        <v>34441413.718894638</v>
      </c>
      <c r="K417" s="21" t="str">
        <f>VLOOKUP(C417,'[1]SHU 2023'!C$9:K$719,9,0)</f>
        <v>AKTIF</v>
      </c>
    </row>
    <row r="418" spans="1:11" x14ac:dyDescent="0.35">
      <c r="A418" s="22">
        <v>411</v>
      </c>
      <c r="B418" s="23" t="s">
        <v>910</v>
      </c>
      <c r="C418" s="24" t="s">
        <v>911</v>
      </c>
      <c r="D418" s="25" t="s">
        <v>86</v>
      </c>
      <c r="E418" s="26">
        <v>0</v>
      </c>
      <c r="F418" s="26">
        <v>250000</v>
      </c>
      <c r="G418" s="26">
        <v>0</v>
      </c>
      <c r="H418" s="26">
        <v>751324</v>
      </c>
      <c r="I418" s="26">
        <v>0</v>
      </c>
      <c r="J418" s="20">
        <f t="shared" si="6"/>
        <v>1001324</v>
      </c>
      <c r="K418" s="21" t="str">
        <f>VLOOKUP(C418,'[1]SHU 2023'!C$9:K$719,9,0)</f>
        <v>PASIF</v>
      </c>
    </row>
    <row r="419" spans="1:11" x14ac:dyDescent="0.35">
      <c r="A419" s="22">
        <v>412</v>
      </c>
      <c r="B419" s="23" t="s">
        <v>912</v>
      </c>
      <c r="C419" s="24" t="s">
        <v>913</v>
      </c>
      <c r="D419" s="25" t="s">
        <v>255</v>
      </c>
      <c r="E419" s="26">
        <v>5000</v>
      </c>
      <c r="F419" s="26">
        <v>23495000</v>
      </c>
      <c r="G419" s="26">
        <v>100000</v>
      </c>
      <c r="H419" s="26">
        <v>723632.28215870401</v>
      </c>
      <c r="I419" s="26">
        <v>0</v>
      </c>
      <c r="J419" s="20">
        <f t="shared" si="6"/>
        <v>24323632.282158703</v>
      </c>
      <c r="K419" s="21" t="str">
        <f>VLOOKUP(C419,'[1]SHU 2023'!C$9:K$719,9,0)</f>
        <v>AKTIF</v>
      </c>
    </row>
    <row r="420" spans="1:11" x14ac:dyDescent="0.35">
      <c r="A420" s="22">
        <v>413</v>
      </c>
      <c r="B420" s="23" t="s">
        <v>914</v>
      </c>
      <c r="C420" s="24" t="s">
        <v>915</v>
      </c>
      <c r="D420" s="25" t="s">
        <v>39</v>
      </c>
      <c r="E420" s="26">
        <v>5000</v>
      </c>
      <c r="F420" s="26">
        <v>1970000</v>
      </c>
      <c r="G420" s="26">
        <v>0</v>
      </c>
      <c r="H420" s="26">
        <v>1237384.1318850974</v>
      </c>
      <c r="I420" s="26">
        <v>0</v>
      </c>
      <c r="J420" s="20">
        <f t="shared" si="6"/>
        <v>3212384.1318850974</v>
      </c>
      <c r="K420" s="21" t="str">
        <f>VLOOKUP(C420,'[1]SHU 2023'!C$9:K$719,9,0)</f>
        <v>PASIF</v>
      </c>
    </row>
    <row r="421" spans="1:11" x14ac:dyDescent="0.35">
      <c r="A421" s="22">
        <v>414</v>
      </c>
      <c r="B421" s="23" t="s">
        <v>916</v>
      </c>
      <c r="C421" s="24" t="s">
        <v>917</v>
      </c>
      <c r="D421" s="25" t="s">
        <v>123</v>
      </c>
      <c r="E421" s="26">
        <v>0</v>
      </c>
      <c r="F421" s="26">
        <v>0</v>
      </c>
      <c r="G421" s="26">
        <v>0</v>
      </c>
      <c r="H421" s="26">
        <v>198289</v>
      </c>
      <c r="I421" s="26">
        <v>0</v>
      </c>
      <c r="J421" s="20">
        <f t="shared" si="6"/>
        <v>198289</v>
      </c>
      <c r="K421" s="21" t="str">
        <f>VLOOKUP(C421,'[1]SHU 2023'!C$9:K$719,9,0)</f>
        <v>PASIF</v>
      </c>
    </row>
    <row r="422" spans="1:11" x14ac:dyDescent="0.35">
      <c r="A422" s="22">
        <v>415</v>
      </c>
      <c r="B422" s="23" t="s">
        <v>918</v>
      </c>
      <c r="C422" s="24" t="s">
        <v>919</v>
      </c>
      <c r="D422" s="25" t="s">
        <v>66</v>
      </c>
      <c r="E422" s="26">
        <v>5000</v>
      </c>
      <c r="F422" s="26">
        <v>32095000</v>
      </c>
      <c r="G422" s="26">
        <v>0</v>
      </c>
      <c r="H422" s="26">
        <v>2978495.3861749545</v>
      </c>
      <c r="I422" s="26">
        <v>0</v>
      </c>
      <c r="J422" s="20">
        <f t="shared" si="6"/>
        <v>35078495.386174954</v>
      </c>
      <c r="K422" s="21" t="str">
        <f>VLOOKUP(C422,'[1]SHU 2023'!C$9:K$719,9,0)</f>
        <v>AKTIF</v>
      </c>
    </row>
    <row r="423" spans="1:11" x14ac:dyDescent="0.35">
      <c r="A423" s="22">
        <v>416</v>
      </c>
      <c r="B423" s="23" t="s">
        <v>920</v>
      </c>
      <c r="C423" s="24" t="s">
        <v>921</v>
      </c>
      <c r="D423" s="25" t="s">
        <v>34</v>
      </c>
      <c r="E423" s="26">
        <v>0</v>
      </c>
      <c r="F423" s="26">
        <v>0</v>
      </c>
      <c r="G423" s="26">
        <v>0</v>
      </c>
      <c r="H423" s="26">
        <v>-697821.40866634343</v>
      </c>
      <c r="I423" s="26">
        <v>0</v>
      </c>
      <c r="J423" s="20">
        <f t="shared" si="6"/>
        <v>-697821.40866634343</v>
      </c>
      <c r="K423" s="21" t="str">
        <f>VLOOKUP(C423,'[1]SHU 2023'!C$9:K$719,9,0)</f>
        <v>PASIF</v>
      </c>
    </row>
    <row r="424" spans="1:11" x14ac:dyDescent="0.35">
      <c r="A424" s="22">
        <v>417</v>
      </c>
      <c r="B424" s="23" t="s">
        <v>922</v>
      </c>
      <c r="C424" s="24" t="s">
        <v>923</v>
      </c>
      <c r="D424" s="25" t="s">
        <v>136</v>
      </c>
      <c r="E424" s="26">
        <v>0</v>
      </c>
      <c r="F424" s="26">
        <v>0</v>
      </c>
      <c r="G424" s="26">
        <v>0</v>
      </c>
      <c r="H424" s="26">
        <v>84388.351282002404</v>
      </c>
      <c r="I424" s="26">
        <v>0</v>
      </c>
      <c r="J424" s="20">
        <f t="shared" si="6"/>
        <v>84388.351282002404</v>
      </c>
      <c r="K424" s="21" t="str">
        <f>VLOOKUP(C424,'[1]SHU 2023'!C$9:K$719,9,0)</f>
        <v>PASIF</v>
      </c>
    </row>
    <row r="425" spans="1:11" x14ac:dyDescent="0.35">
      <c r="A425" s="22">
        <v>418</v>
      </c>
      <c r="B425" s="23" t="s">
        <v>924</v>
      </c>
      <c r="C425" s="24" t="s">
        <v>925</v>
      </c>
      <c r="D425" s="25" t="s">
        <v>71</v>
      </c>
      <c r="E425" s="26">
        <v>5000</v>
      </c>
      <c r="F425" s="26">
        <v>445000</v>
      </c>
      <c r="G425" s="26">
        <v>0</v>
      </c>
      <c r="H425" s="26">
        <v>395283.45205149928</v>
      </c>
      <c r="I425" s="26">
        <v>0</v>
      </c>
      <c r="J425" s="20">
        <f t="shared" si="6"/>
        <v>845283.45205149928</v>
      </c>
      <c r="K425" s="21" t="str">
        <f>VLOOKUP(C425,'[1]SHU 2023'!C$9:K$719,9,0)</f>
        <v>PASIF</v>
      </c>
    </row>
    <row r="426" spans="1:11" x14ac:dyDescent="0.35">
      <c r="A426" s="22">
        <v>419</v>
      </c>
      <c r="B426" s="23" t="s">
        <v>926</v>
      </c>
      <c r="C426" s="24" t="s">
        <v>927</v>
      </c>
      <c r="D426" s="25"/>
      <c r="E426" s="26">
        <v>0</v>
      </c>
      <c r="F426" s="26">
        <v>0</v>
      </c>
      <c r="G426" s="26">
        <v>0</v>
      </c>
      <c r="H426" s="26">
        <v>50040</v>
      </c>
      <c r="I426" s="26">
        <v>0</v>
      </c>
      <c r="J426" s="20">
        <f t="shared" si="6"/>
        <v>50040</v>
      </c>
      <c r="K426" s="21" t="str">
        <f>VLOOKUP(C426,'[1]SHU 2023'!C$9:K$719,9,0)</f>
        <v>PASIF</v>
      </c>
    </row>
    <row r="427" spans="1:11" x14ac:dyDescent="0.35">
      <c r="A427" s="22">
        <v>420</v>
      </c>
      <c r="B427" s="23" t="s">
        <v>928</v>
      </c>
      <c r="C427" s="24" t="s">
        <v>929</v>
      </c>
      <c r="D427" s="25" t="s">
        <v>77</v>
      </c>
      <c r="E427" s="26">
        <v>0</v>
      </c>
      <c r="F427" s="26">
        <v>750000</v>
      </c>
      <c r="G427" s="26">
        <v>0</v>
      </c>
      <c r="H427" s="26">
        <v>30772.527572895866</v>
      </c>
      <c r="I427" s="26">
        <v>0</v>
      </c>
      <c r="J427" s="20">
        <f t="shared" si="6"/>
        <v>780772.52757289587</v>
      </c>
      <c r="K427" s="21" t="str">
        <f>VLOOKUP(C427,'[1]SHU 2023'!C$9:K$719,9,0)</f>
        <v>PASIF</v>
      </c>
    </row>
    <row r="428" spans="1:11" x14ac:dyDescent="0.35">
      <c r="A428" s="22">
        <v>421</v>
      </c>
      <c r="B428" s="23" t="s">
        <v>930</v>
      </c>
      <c r="C428" s="24" t="s">
        <v>931</v>
      </c>
      <c r="D428" s="25" t="s">
        <v>86</v>
      </c>
      <c r="E428" s="26">
        <v>0</v>
      </c>
      <c r="F428" s="26">
        <v>100000</v>
      </c>
      <c r="G428" s="26">
        <v>0</v>
      </c>
      <c r="H428" s="26">
        <v>728081</v>
      </c>
      <c r="I428" s="26">
        <v>0</v>
      </c>
      <c r="J428" s="20">
        <f t="shared" si="6"/>
        <v>828081</v>
      </c>
      <c r="K428" s="21" t="str">
        <f>VLOOKUP(C428,'[1]SHU 2023'!C$9:K$719,9,0)</f>
        <v>PASIF</v>
      </c>
    </row>
    <row r="429" spans="1:11" x14ac:dyDescent="0.35">
      <c r="A429" s="22">
        <v>422</v>
      </c>
      <c r="B429" s="23" t="s">
        <v>932</v>
      </c>
      <c r="C429" s="24" t="s">
        <v>933</v>
      </c>
      <c r="D429" s="25" t="s">
        <v>934</v>
      </c>
      <c r="E429" s="26">
        <v>5000</v>
      </c>
      <c r="F429" s="26">
        <v>49695000</v>
      </c>
      <c r="G429" s="26">
        <v>0</v>
      </c>
      <c r="H429" s="26">
        <v>4136374.5569021441</v>
      </c>
      <c r="I429" s="26">
        <v>0</v>
      </c>
      <c r="J429" s="20">
        <f t="shared" si="6"/>
        <v>53836374.55690214</v>
      </c>
      <c r="K429" s="21" t="str">
        <f>VLOOKUP(C429,'[1]SHU 2023'!C$9:K$719,9,0)</f>
        <v>AKTIF</v>
      </c>
    </row>
    <row r="430" spans="1:11" x14ac:dyDescent="0.35">
      <c r="A430" s="22">
        <v>423</v>
      </c>
      <c r="B430" s="23" t="s">
        <v>935</v>
      </c>
      <c r="C430" s="24" t="s">
        <v>936</v>
      </c>
      <c r="D430" s="25" t="s">
        <v>86</v>
      </c>
      <c r="E430" s="26">
        <v>5000</v>
      </c>
      <c r="F430" s="26">
        <v>18095000</v>
      </c>
      <c r="G430" s="26">
        <v>0</v>
      </c>
      <c r="H430" s="26">
        <v>2984869.0941798859</v>
      </c>
      <c r="I430" s="26">
        <v>0</v>
      </c>
      <c r="J430" s="20">
        <f t="shared" si="6"/>
        <v>21084869.094179887</v>
      </c>
      <c r="K430" s="21" t="str">
        <f>VLOOKUP(C430,'[1]SHU 2023'!C$9:K$719,9,0)</f>
        <v>AKTIF</v>
      </c>
    </row>
    <row r="431" spans="1:11" x14ac:dyDescent="0.35">
      <c r="A431" s="22">
        <v>424</v>
      </c>
      <c r="B431" s="23" t="s">
        <v>937</v>
      </c>
      <c r="C431" s="24" t="s">
        <v>938</v>
      </c>
      <c r="D431" s="25" t="s">
        <v>193</v>
      </c>
      <c r="E431" s="26">
        <v>5000</v>
      </c>
      <c r="F431" s="26">
        <v>17370000</v>
      </c>
      <c r="G431" s="26">
        <v>0</v>
      </c>
      <c r="H431" s="26">
        <v>3427958.4676164007</v>
      </c>
      <c r="I431" s="26">
        <v>0</v>
      </c>
      <c r="J431" s="20">
        <f t="shared" si="6"/>
        <v>20802958.467616402</v>
      </c>
      <c r="K431" s="21" t="str">
        <f>VLOOKUP(C431,'[1]SHU 2023'!C$9:K$719,9,0)</f>
        <v>AKTIF</v>
      </c>
    </row>
    <row r="432" spans="1:11" x14ac:dyDescent="0.35">
      <c r="A432" s="22">
        <v>425</v>
      </c>
      <c r="B432" s="23" t="s">
        <v>939</v>
      </c>
      <c r="C432" s="24" t="s">
        <v>940</v>
      </c>
      <c r="D432" s="25" t="s">
        <v>401</v>
      </c>
      <c r="E432" s="26">
        <v>5000</v>
      </c>
      <c r="F432" s="26">
        <v>31595000</v>
      </c>
      <c r="G432" s="26">
        <v>100000</v>
      </c>
      <c r="H432" s="26">
        <v>1941354.1811262176</v>
      </c>
      <c r="I432" s="26">
        <v>0</v>
      </c>
      <c r="J432" s="20">
        <f t="shared" si="6"/>
        <v>33641354.181126215</v>
      </c>
      <c r="K432" s="21" t="str">
        <f>VLOOKUP(C432,'[1]SHU 2023'!C$9:K$719,9,0)</f>
        <v>AKTIF</v>
      </c>
    </row>
    <row r="433" spans="1:11" x14ac:dyDescent="0.35">
      <c r="A433" s="22">
        <v>426</v>
      </c>
      <c r="B433" s="23" t="s">
        <v>941</v>
      </c>
      <c r="C433" s="24" t="s">
        <v>942</v>
      </c>
      <c r="D433" s="25" t="s">
        <v>25</v>
      </c>
      <c r="E433" s="26">
        <v>5000</v>
      </c>
      <c r="F433" s="26">
        <v>27070000</v>
      </c>
      <c r="G433" s="26">
        <v>300000</v>
      </c>
      <c r="H433" s="26">
        <v>1640962.9772946225</v>
      </c>
      <c r="I433" s="26">
        <v>0</v>
      </c>
      <c r="J433" s="20">
        <f t="shared" si="6"/>
        <v>29015962.977294624</v>
      </c>
      <c r="K433" s="21" t="str">
        <f>VLOOKUP(C433,'[1]SHU 2023'!C$9:K$719,9,0)</f>
        <v>AKTIF</v>
      </c>
    </row>
    <row r="434" spans="1:11" x14ac:dyDescent="0.35">
      <c r="A434" s="22">
        <v>427</v>
      </c>
      <c r="B434" s="23" t="s">
        <v>943</v>
      </c>
      <c r="C434" s="24" t="s">
        <v>944</v>
      </c>
      <c r="D434" s="25" t="s">
        <v>349</v>
      </c>
      <c r="E434" s="26">
        <v>5000</v>
      </c>
      <c r="F434" s="26">
        <v>18295000</v>
      </c>
      <c r="G434" s="26">
        <v>0</v>
      </c>
      <c r="H434" s="26">
        <v>3104661.8749193717</v>
      </c>
      <c r="I434" s="26">
        <v>0</v>
      </c>
      <c r="J434" s="20">
        <f t="shared" si="6"/>
        <v>21404661.87491937</v>
      </c>
      <c r="K434" s="21" t="str">
        <f>VLOOKUP(C434,'[1]SHU 2023'!C$9:K$719,9,0)</f>
        <v>AKTIF</v>
      </c>
    </row>
    <row r="435" spans="1:11" x14ac:dyDescent="0.35">
      <c r="A435" s="22">
        <v>428</v>
      </c>
      <c r="B435" s="23" t="s">
        <v>945</v>
      </c>
      <c r="C435" s="24" t="s">
        <v>946</v>
      </c>
      <c r="D435" s="25" t="s">
        <v>34</v>
      </c>
      <c r="E435" s="26">
        <v>0</v>
      </c>
      <c r="F435" s="26">
        <v>0</v>
      </c>
      <c r="G435" s="26">
        <v>0</v>
      </c>
      <c r="H435" s="26">
        <v>398577</v>
      </c>
      <c r="I435" s="26">
        <v>0</v>
      </c>
      <c r="J435" s="20">
        <f t="shared" si="6"/>
        <v>398577</v>
      </c>
      <c r="K435" s="21" t="str">
        <f>VLOOKUP(C435,'[1]SHU 2023'!C$9:K$719,9,0)</f>
        <v>PASIF</v>
      </c>
    </row>
    <row r="436" spans="1:11" x14ac:dyDescent="0.35">
      <c r="A436" s="22">
        <v>429</v>
      </c>
      <c r="B436" s="23" t="s">
        <v>947</v>
      </c>
      <c r="C436" s="24" t="s">
        <v>948</v>
      </c>
      <c r="D436" s="25" t="s">
        <v>233</v>
      </c>
      <c r="E436" s="26">
        <v>5000</v>
      </c>
      <c r="F436" s="26">
        <v>17845000</v>
      </c>
      <c r="G436" s="26">
        <v>500000</v>
      </c>
      <c r="H436" s="26">
        <v>1735836.0330178393</v>
      </c>
      <c r="I436" s="26">
        <v>0</v>
      </c>
      <c r="J436" s="20">
        <f t="shared" si="6"/>
        <v>20085836.03301784</v>
      </c>
      <c r="K436" s="21" t="str">
        <f>VLOOKUP(C436,'[1]SHU 2023'!C$9:K$719,9,0)</f>
        <v>AKTIF</v>
      </c>
    </row>
    <row r="437" spans="1:11" x14ac:dyDescent="0.35">
      <c r="A437" s="22">
        <v>430</v>
      </c>
      <c r="B437" s="23" t="s">
        <v>949</v>
      </c>
      <c r="C437" s="24" t="s">
        <v>950</v>
      </c>
      <c r="D437" s="25" t="s">
        <v>66</v>
      </c>
      <c r="E437" s="26">
        <v>5000</v>
      </c>
      <c r="F437" s="26">
        <v>26820000</v>
      </c>
      <c r="G437" s="26">
        <v>0</v>
      </c>
      <c r="H437" s="26">
        <v>1836856.094024899</v>
      </c>
      <c r="I437" s="26">
        <v>0</v>
      </c>
      <c r="J437" s="20">
        <f t="shared" si="6"/>
        <v>28661856.0940249</v>
      </c>
      <c r="K437" s="21" t="str">
        <f>VLOOKUP(C437,'[1]SHU 2023'!C$9:K$719,9,0)</f>
        <v>AKTIF</v>
      </c>
    </row>
    <row r="438" spans="1:11" x14ac:dyDescent="0.35">
      <c r="A438" s="22">
        <v>431</v>
      </c>
      <c r="B438" s="23" t="s">
        <v>951</v>
      </c>
      <c r="C438" s="24" t="s">
        <v>952</v>
      </c>
      <c r="D438" s="25" t="s">
        <v>262</v>
      </c>
      <c r="E438" s="26">
        <v>5000</v>
      </c>
      <c r="F438" s="26">
        <v>27970000</v>
      </c>
      <c r="G438" s="26">
        <v>500000</v>
      </c>
      <c r="H438" s="26">
        <v>1983926.4094509978</v>
      </c>
      <c r="I438" s="26">
        <v>0</v>
      </c>
      <c r="J438" s="20">
        <f t="shared" si="6"/>
        <v>30458926.409450997</v>
      </c>
      <c r="K438" s="21" t="str">
        <f>VLOOKUP(C438,'[1]SHU 2023'!C$9:K$719,9,0)</f>
        <v>AKTIF</v>
      </c>
    </row>
    <row r="439" spans="1:11" x14ac:dyDescent="0.35">
      <c r="A439" s="22">
        <v>432</v>
      </c>
      <c r="B439" s="23" t="s">
        <v>953</v>
      </c>
      <c r="C439" s="24" t="s">
        <v>954</v>
      </c>
      <c r="D439" s="25" t="s">
        <v>25</v>
      </c>
      <c r="E439" s="26">
        <v>5000</v>
      </c>
      <c r="F439" s="26">
        <v>19645000</v>
      </c>
      <c r="G439" s="26">
        <v>0</v>
      </c>
      <c r="H439" s="26">
        <v>3927782.8535169652</v>
      </c>
      <c r="I439" s="26">
        <v>0</v>
      </c>
      <c r="J439" s="20">
        <f t="shared" si="6"/>
        <v>23577782.853516966</v>
      </c>
      <c r="K439" s="21" t="str">
        <f>VLOOKUP(C439,'[1]SHU 2023'!C$9:K$719,9,0)</f>
        <v>AKTIF</v>
      </c>
    </row>
    <row r="440" spans="1:11" x14ac:dyDescent="0.35">
      <c r="A440" s="22">
        <v>433</v>
      </c>
      <c r="B440" s="23" t="s">
        <v>955</v>
      </c>
      <c r="C440" s="24" t="s">
        <v>956</v>
      </c>
      <c r="D440" s="25" t="s">
        <v>401</v>
      </c>
      <c r="E440" s="26">
        <v>5000</v>
      </c>
      <c r="F440" s="26">
        <v>31895000</v>
      </c>
      <c r="G440" s="26">
        <v>300000</v>
      </c>
      <c r="H440" s="26">
        <v>2087197.3648004823</v>
      </c>
      <c r="I440" s="26">
        <v>0</v>
      </c>
      <c r="J440" s="20">
        <f t="shared" si="6"/>
        <v>34287197.364800483</v>
      </c>
      <c r="K440" s="21" t="str">
        <f>VLOOKUP(C440,'[1]SHU 2023'!C$9:K$719,9,0)</f>
        <v>AKTIF</v>
      </c>
    </row>
    <row r="441" spans="1:11" x14ac:dyDescent="0.35">
      <c r="A441" s="22">
        <v>434</v>
      </c>
      <c r="B441" s="23" t="s">
        <v>957</v>
      </c>
      <c r="C441" s="24" t="s">
        <v>958</v>
      </c>
      <c r="D441" s="25" t="s">
        <v>92</v>
      </c>
      <c r="E441" s="26">
        <v>5000</v>
      </c>
      <c r="F441" s="26">
        <v>27995000</v>
      </c>
      <c r="G441" s="26">
        <v>500000</v>
      </c>
      <c r="H441" s="26">
        <v>2557449.8946521571</v>
      </c>
      <c r="I441" s="26">
        <v>0</v>
      </c>
      <c r="J441" s="20">
        <f t="shared" si="6"/>
        <v>31057449.894652158</v>
      </c>
      <c r="K441" s="21" t="str">
        <f>VLOOKUP(C441,'[1]SHU 2023'!C$9:K$719,9,0)</f>
        <v>AKTIF</v>
      </c>
    </row>
    <row r="442" spans="1:11" x14ac:dyDescent="0.35">
      <c r="A442" s="22">
        <v>435</v>
      </c>
      <c r="B442" s="23" t="s">
        <v>959</v>
      </c>
      <c r="C442" s="24" t="s">
        <v>960</v>
      </c>
      <c r="D442" s="25" t="s">
        <v>369</v>
      </c>
      <c r="E442" s="26">
        <v>0</v>
      </c>
      <c r="F442" s="26">
        <v>0</v>
      </c>
      <c r="G442" s="26">
        <v>0</v>
      </c>
      <c r="H442" s="26">
        <v>70189.260350375902</v>
      </c>
      <c r="I442" s="26">
        <v>0</v>
      </c>
      <c r="J442" s="20">
        <f t="shared" si="6"/>
        <v>70189.260350375902</v>
      </c>
      <c r="K442" s="21" t="str">
        <f>VLOOKUP(C442,'[1]SHU 2023'!C$9:K$719,9,0)</f>
        <v>PASIF</v>
      </c>
    </row>
    <row r="443" spans="1:11" x14ac:dyDescent="0.35">
      <c r="A443" s="22">
        <v>436</v>
      </c>
      <c r="B443" s="23" t="s">
        <v>961</v>
      </c>
      <c r="C443" s="24" t="s">
        <v>962</v>
      </c>
      <c r="D443" s="25" t="s">
        <v>131</v>
      </c>
      <c r="E443" s="26">
        <v>0</v>
      </c>
      <c r="F443" s="26">
        <v>0</v>
      </c>
      <c r="G443" s="26">
        <v>0</v>
      </c>
      <c r="H443" s="26">
        <v>163088.17036131863</v>
      </c>
      <c r="I443" s="26">
        <v>0</v>
      </c>
      <c r="J443" s="20">
        <f t="shared" si="6"/>
        <v>163088.17036131863</v>
      </c>
      <c r="K443" s="21" t="str">
        <f>VLOOKUP(C443,'[1]SHU 2023'!C$9:K$719,9,0)</f>
        <v>PASIF</v>
      </c>
    </row>
    <row r="444" spans="1:11" x14ac:dyDescent="0.35">
      <c r="A444" s="22">
        <v>437</v>
      </c>
      <c r="B444" s="23" t="s">
        <v>963</v>
      </c>
      <c r="C444" s="24" t="s">
        <v>964</v>
      </c>
      <c r="D444" s="25" t="s">
        <v>71</v>
      </c>
      <c r="E444" s="26">
        <v>0</v>
      </c>
      <c r="F444" s="26">
        <v>-750000</v>
      </c>
      <c r="G444" s="26">
        <v>0</v>
      </c>
      <c r="H444" s="26">
        <v>223068.70769950375</v>
      </c>
      <c r="I444" s="26">
        <v>0</v>
      </c>
      <c r="J444" s="20">
        <f t="shared" si="6"/>
        <v>-526931.29230049625</v>
      </c>
      <c r="K444" s="21" t="str">
        <f>VLOOKUP(C444,'[1]SHU 2023'!C$9:K$719,9,0)</f>
        <v>PASIF</v>
      </c>
    </row>
    <row r="445" spans="1:11" x14ac:dyDescent="0.35">
      <c r="A445" s="22">
        <v>438</v>
      </c>
      <c r="B445" s="23" t="s">
        <v>965</v>
      </c>
      <c r="C445" s="24" t="s">
        <v>966</v>
      </c>
      <c r="D445" s="25" t="s">
        <v>369</v>
      </c>
      <c r="E445" s="26">
        <v>0</v>
      </c>
      <c r="F445" s="26">
        <v>-1200000</v>
      </c>
      <c r="G445" s="26">
        <v>0</v>
      </c>
      <c r="H445" s="26">
        <v>20951.260350375902</v>
      </c>
      <c r="I445" s="26">
        <v>0</v>
      </c>
      <c r="J445" s="20">
        <f t="shared" si="6"/>
        <v>-1179048.7396496241</v>
      </c>
      <c r="K445" s="21" t="str">
        <f>VLOOKUP(C445,'[1]SHU 2023'!C$9:K$719,9,0)</f>
        <v>PASIF</v>
      </c>
    </row>
    <row r="446" spans="1:11" x14ac:dyDescent="0.35">
      <c r="A446" s="22">
        <v>439</v>
      </c>
      <c r="B446" s="23" t="s">
        <v>967</v>
      </c>
      <c r="C446" s="24" t="s">
        <v>968</v>
      </c>
      <c r="D446" s="25" t="s">
        <v>25</v>
      </c>
      <c r="E446" s="26">
        <v>5000</v>
      </c>
      <c r="F446" s="26">
        <v>19895000</v>
      </c>
      <c r="G446" s="26">
        <v>0</v>
      </c>
      <c r="H446" s="26">
        <v>3939100.573410593</v>
      </c>
      <c r="I446" s="26">
        <v>0</v>
      </c>
      <c r="J446" s="20">
        <f t="shared" si="6"/>
        <v>23839100.573410593</v>
      </c>
      <c r="K446" s="21" t="str">
        <f>VLOOKUP(C446,'[1]SHU 2023'!C$9:K$719,9,0)</f>
        <v>AKTIF</v>
      </c>
    </row>
    <row r="447" spans="1:11" x14ac:dyDescent="0.35">
      <c r="A447" s="22">
        <v>440</v>
      </c>
      <c r="B447" s="23" t="s">
        <v>969</v>
      </c>
      <c r="C447" s="24" t="s">
        <v>970</v>
      </c>
      <c r="D447" s="25" t="s">
        <v>20</v>
      </c>
      <c r="E447" s="26">
        <v>0</v>
      </c>
      <c r="F447" s="26">
        <v>0</v>
      </c>
      <c r="G447" s="26">
        <v>0</v>
      </c>
      <c r="H447" s="26">
        <v>111996.61411527847</v>
      </c>
      <c r="I447" s="26">
        <v>0</v>
      </c>
      <c r="J447" s="20">
        <f t="shared" si="6"/>
        <v>111996.61411527847</v>
      </c>
      <c r="K447" s="21" t="str">
        <f>VLOOKUP(C447,'[1]SHU 2023'!C$9:K$719,9,0)</f>
        <v>PASIF</v>
      </c>
    </row>
    <row r="448" spans="1:11" x14ac:dyDescent="0.35">
      <c r="A448" s="22">
        <v>441</v>
      </c>
      <c r="B448" s="23" t="s">
        <v>971</v>
      </c>
      <c r="C448" s="24" t="s">
        <v>972</v>
      </c>
      <c r="D448" s="25" t="s">
        <v>401</v>
      </c>
      <c r="E448" s="26">
        <v>0</v>
      </c>
      <c r="F448" s="26">
        <v>26375000</v>
      </c>
      <c r="G448" s="26">
        <v>0</v>
      </c>
      <c r="H448" s="26">
        <v>1705681.5364896497</v>
      </c>
      <c r="I448" s="26">
        <v>0</v>
      </c>
      <c r="J448" s="20">
        <f t="shared" si="6"/>
        <v>28080681.536489651</v>
      </c>
      <c r="K448" s="21" t="str">
        <f>VLOOKUP(C448,'[1]SHU 2023'!C$9:K$719,9,0)</f>
        <v>AKTIF</v>
      </c>
    </row>
    <row r="449" spans="1:11" x14ac:dyDescent="0.35">
      <c r="A449" s="22">
        <v>442</v>
      </c>
      <c r="B449" s="23" t="s">
        <v>973</v>
      </c>
      <c r="C449" s="24" t="s">
        <v>974</v>
      </c>
      <c r="D449" s="25" t="s">
        <v>86</v>
      </c>
      <c r="E449" s="26">
        <v>5000</v>
      </c>
      <c r="F449" s="26">
        <v>17695000</v>
      </c>
      <c r="G449" s="26">
        <v>0</v>
      </c>
      <c r="H449" s="26">
        <v>4032255.2075256864</v>
      </c>
      <c r="I449" s="26">
        <v>0</v>
      </c>
      <c r="J449" s="20">
        <f t="shared" si="6"/>
        <v>21732255.207525685</v>
      </c>
      <c r="K449" s="21" t="str">
        <f>VLOOKUP(C449,'[1]SHU 2023'!C$9:K$719,9,0)</f>
        <v>AKTIF</v>
      </c>
    </row>
    <row r="450" spans="1:11" x14ac:dyDescent="0.35">
      <c r="A450" s="22">
        <v>443</v>
      </c>
      <c r="B450" s="23" t="s">
        <v>975</v>
      </c>
      <c r="C450" s="24" t="s">
        <v>976</v>
      </c>
      <c r="D450" s="25" t="s">
        <v>54</v>
      </c>
      <c r="E450" s="26">
        <v>0</v>
      </c>
      <c r="F450" s="26">
        <v>0</v>
      </c>
      <c r="G450" s="26">
        <v>0</v>
      </c>
      <c r="H450" s="26">
        <v>910266</v>
      </c>
      <c r="I450" s="26">
        <v>0</v>
      </c>
      <c r="J450" s="20">
        <f t="shared" si="6"/>
        <v>910266</v>
      </c>
      <c r="K450" s="21" t="str">
        <f>VLOOKUP(C450,'[1]SHU 2023'!C$9:K$719,9,0)</f>
        <v>PASIF</v>
      </c>
    </row>
    <row r="451" spans="1:11" x14ac:dyDescent="0.35">
      <c r="A451" s="22">
        <v>444</v>
      </c>
      <c r="B451" s="23" t="s">
        <v>977</v>
      </c>
      <c r="C451" s="24" t="s">
        <v>978</v>
      </c>
      <c r="D451" s="25" t="s">
        <v>86</v>
      </c>
      <c r="E451" s="26">
        <v>0</v>
      </c>
      <c r="F451" s="26">
        <v>100000</v>
      </c>
      <c r="G451" s="26">
        <v>0</v>
      </c>
      <c r="H451" s="26">
        <v>745169</v>
      </c>
      <c r="I451" s="26">
        <v>0</v>
      </c>
      <c r="J451" s="20">
        <f t="shared" si="6"/>
        <v>845169</v>
      </c>
      <c r="K451" s="21" t="str">
        <f>VLOOKUP(C451,'[1]SHU 2023'!C$9:K$719,9,0)</f>
        <v>PASIF</v>
      </c>
    </row>
    <row r="452" spans="1:11" x14ac:dyDescent="0.35">
      <c r="A452" s="22">
        <v>445</v>
      </c>
      <c r="B452" s="23" t="s">
        <v>979</v>
      </c>
      <c r="C452" s="24" t="s">
        <v>980</v>
      </c>
      <c r="D452" s="25" t="s">
        <v>981</v>
      </c>
      <c r="E452" s="26">
        <v>5000</v>
      </c>
      <c r="F452" s="26">
        <v>4495000</v>
      </c>
      <c r="G452" s="26">
        <v>100000</v>
      </c>
      <c r="H452" s="26">
        <v>836517.0357998726</v>
      </c>
      <c r="I452" s="26">
        <v>0</v>
      </c>
      <c r="J452" s="20">
        <f t="shared" si="6"/>
        <v>5436517.0357998721</v>
      </c>
      <c r="K452" s="21" t="str">
        <f>VLOOKUP(C452,'[1]SHU 2023'!C$9:K$719,9,0)</f>
        <v>PASIF</v>
      </c>
    </row>
    <row r="453" spans="1:11" x14ac:dyDescent="0.35">
      <c r="A453" s="22">
        <v>446</v>
      </c>
      <c r="B453" s="23" t="s">
        <v>982</v>
      </c>
      <c r="C453" s="24" t="s">
        <v>983</v>
      </c>
      <c r="D453" s="25" t="s">
        <v>54</v>
      </c>
      <c r="E453" s="26">
        <v>0</v>
      </c>
      <c r="F453" s="26">
        <v>0</v>
      </c>
      <c r="G453" s="26">
        <v>0</v>
      </c>
      <c r="H453" s="26">
        <v>108834.9780465333</v>
      </c>
      <c r="I453" s="26">
        <v>0</v>
      </c>
      <c r="J453" s="20">
        <f t="shared" si="6"/>
        <v>108834.9780465333</v>
      </c>
      <c r="K453" s="21" t="str">
        <f>VLOOKUP(C453,'[1]SHU 2023'!C$9:K$719,9,0)</f>
        <v>PASIF</v>
      </c>
    </row>
    <row r="454" spans="1:11" x14ac:dyDescent="0.35">
      <c r="A454" s="22">
        <v>447</v>
      </c>
      <c r="B454" s="23" t="s">
        <v>984</v>
      </c>
      <c r="C454" s="24" t="s">
        <v>985</v>
      </c>
      <c r="D454" s="25" t="s">
        <v>42</v>
      </c>
      <c r="E454" s="26">
        <v>5000</v>
      </c>
      <c r="F454" s="26">
        <v>12995000</v>
      </c>
      <c r="G454" s="26">
        <v>0</v>
      </c>
      <c r="H454" s="26">
        <v>6535899.1132524144</v>
      </c>
      <c r="I454" s="26">
        <v>0</v>
      </c>
      <c r="J454" s="20">
        <f t="shared" si="6"/>
        <v>19535899.113252416</v>
      </c>
      <c r="K454" s="21" t="str">
        <f>VLOOKUP(C454,'[1]SHU 2023'!C$9:K$719,9,0)</f>
        <v>PASIF</v>
      </c>
    </row>
    <row r="455" spans="1:11" x14ac:dyDescent="0.35">
      <c r="A455" s="22">
        <v>448</v>
      </c>
      <c r="B455" s="23" t="s">
        <v>986</v>
      </c>
      <c r="C455" s="24" t="s">
        <v>987</v>
      </c>
      <c r="D455" s="25" t="s">
        <v>328</v>
      </c>
      <c r="E455" s="26">
        <v>5000</v>
      </c>
      <c r="F455" s="26">
        <v>16095000</v>
      </c>
      <c r="G455" s="26">
        <v>160000</v>
      </c>
      <c r="H455" s="26">
        <v>1523804.4268455191</v>
      </c>
      <c r="I455" s="26">
        <v>0</v>
      </c>
      <c r="J455" s="20">
        <f t="shared" si="6"/>
        <v>17783804.426845521</v>
      </c>
      <c r="K455" s="21" t="str">
        <f>VLOOKUP(C455,'[1]SHU 2023'!C$9:K$719,9,0)</f>
        <v>AKTIF</v>
      </c>
    </row>
    <row r="456" spans="1:11" x14ac:dyDescent="0.35">
      <c r="A456" s="22">
        <v>449</v>
      </c>
      <c r="B456" s="23" t="s">
        <v>988</v>
      </c>
      <c r="C456" s="24" t="s">
        <v>989</v>
      </c>
      <c r="D456" s="25" t="s">
        <v>113</v>
      </c>
      <c r="E456" s="26">
        <v>5000</v>
      </c>
      <c r="F456" s="26">
        <v>50039480</v>
      </c>
      <c r="G456" s="26">
        <v>1110000</v>
      </c>
      <c r="H456" s="26">
        <v>1475239.8549081373</v>
      </c>
      <c r="I456" s="26">
        <v>0</v>
      </c>
      <c r="J456" s="20">
        <f t="shared" si="6"/>
        <v>52629719.854908139</v>
      </c>
      <c r="K456" s="21" t="str">
        <f>VLOOKUP(C456,'[1]SHU 2023'!C$9:K$719,9,0)</f>
        <v>AKTIF</v>
      </c>
    </row>
    <row r="457" spans="1:11" x14ac:dyDescent="0.35">
      <c r="A457" s="22">
        <v>450</v>
      </c>
      <c r="B457" s="23" t="s">
        <v>990</v>
      </c>
      <c r="C457" s="24" t="s">
        <v>991</v>
      </c>
      <c r="D457" s="25" t="s">
        <v>113</v>
      </c>
      <c r="E457" s="26">
        <v>0</v>
      </c>
      <c r="F457" s="26">
        <v>18975000</v>
      </c>
      <c r="G457" s="26">
        <v>1470000</v>
      </c>
      <c r="H457" s="26">
        <v>1221464.9866795654</v>
      </c>
      <c r="I457" s="26">
        <v>0</v>
      </c>
      <c r="J457" s="20">
        <f t="shared" ref="J457:J520" si="7">E457+F457+G457+H457</f>
        <v>21666464.986679565</v>
      </c>
      <c r="K457" s="21" t="str">
        <f>VLOOKUP(C457,'[1]SHU 2023'!C$9:K$719,9,0)</f>
        <v>AKTIF</v>
      </c>
    </row>
    <row r="458" spans="1:11" x14ac:dyDescent="0.35">
      <c r="A458" s="22">
        <v>451</v>
      </c>
      <c r="B458" s="23" t="s">
        <v>992</v>
      </c>
      <c r="C458" s="24" t="s">
        <v>993</v>
      </c>
      <c r="D458" s="25" t="s">
        <v>313</v>
      </c>
      <c r="E458" s="26">
        <v>5000</v>
      </c>
      <c r="F458" s="26">
        <v>19120000</v>
      </c>
      <c r="G458" s="26">
        <v>400000</v>
      </c>
      <c r="H458" s="26">
        <v>1159991.8305233368</v>
      </c>
      <c r="I458" s="26">
        <v>0</v>
      </c>
      <c r="J458" s="20">
        <f t="shared" si="7"/>
        <v>20684991.830523338</v>
      </c>
      <c r="K458" s="21" t="str">
        <f>VLOOKUP(C458,'[1]SHU 2023'!C$9:K$719,9,0)</f>
        <v>AKTIF</v>
      </c>
    </row>
    <row r="459" spans="1:11" x14ac:dyDescent="0.35">
      <c r="A459" s="22">
        <v>452</v>
      </c>
      <c r="B459" s="23" t="s">
        <v>994</v>
      </c>
      <c r="C459" s="24" t="s">
        <v>995</v>
      </c>
      <c r="D459" s="25" t="s">
        <v>295</v>
      </c>
      <c r="E459" s="26">
        <v>0</v>
      </c>
      <c r="F459" s="26">
        <v>0</v>
      </c>
      <c r="G459" s="26">
        <v>0</v>
      </c>
      <c r="H459" s="26">
        <v>742883</v>
      </c>
      <c r="I459" s="26">
        <v>0</v>
      </c>
      <c r="J459" s="20">
        <f t="shared" si="7"/>
        <v>742883</v>
      </c>
      <c r="K459" s="21" t="str">
        <f>VLOOKUP(C459,'[1]SHU 2023'!C$9:K$719,9,0)</f>
        <v>PASIF</v>
      </c>
    </row>
    <row r="460" spans="1:11" x14ac:dyDescent="0.35">
      <c r="A460" s="22">
        <v>453</v>
      </c>
      <c r="B460" s="23" t="s">
        <v>996</v>
      </c>
      <c r="C460" s="24" t="s">
        <v>997</v>
      </c>
      <c r="D460" s="25" t="s">
        <v>42</v>
      </c>
      <c r="E460" s="26">
        <v>5000</v>
      </c>
      <c r="F460" s="26">
        <v>445000</v>
      </c>
      <c r="G460" s="26">
        <v>0</v>
      </c>
      <c r="H460" s="26">
        <v>308415.6696519719</v>
      </c>
      <c r="I460" s="26">
        <v>0</v>
      </c>
      <c r="J460" s="20">
        <f t="shared" si="7"/>
        <v>758415.6696519719</v>
      </c>
      <c r="K460" s="21" t="str">
        <f>VLOOKUP(C460,'[1]SHU 2023'!C$9:K$719,9,0)</f>
        <v>PASIF</v>
      </c>
    </row>
    <row r="461" spans="1:11" x14ac:dyDescent="0.35">
      <c r="A461" s="22">
        <v>454</v>
      </c>
      <c r="B461" s="23" t="s">
        <v>998</v>
      </c>
      <c r="C461" s="24" t="s">
        <v>999</v>
      </c>
      <c r="D461" s="25" t="s">
        <v>20</v>
      </c>
      <c r="E461" s="26">
        <v>5000</v>
      </c>
      <c r="F461" s="26">
        <v>18775000</v>
      </c>
      <c r="G461" s="26">
        <v>0</v>
      </c>
      <c r="H461" s="26">
        <v>1521299.7867723471</v>
      </c>
      <c r="I461" s="26">
        <v>0</v>
      </c>
      <c r="J461" s="20">
        <f t="shared" si="7"/>
        <v>20301299.786772348</v>
      </c>
      <c r="K461" s="21" t="str">
        <f>VLOOKUP(C461,'[1]SHU 2023'!C$9:K$719,9,0)</f>
        <v>AKTIF</v>
      </c>
    </row>
    <row r="462" spans="1:11" x14ac:dyDescent="0.35">
      <c r="A462" s="22">
        <v>455</v>
      </c>
      <c r="B462" s="23" t="s">
        <v>1000</v>
      </c>
      <c r="C462" s="24" t="s">
        <v>1001</v>
      </c>
      <c r="D462" s="25" t="s">
        <v>131</v>
      </c>
      <c r="E462" s="26">
        <v>0</v>
      </c>
      <c r="F462" s="26">
        <v>0</v>
      </c>
      <c r="G462" s="26">
        <v>0</v>
      </c>
      <c r="H462" s="26">
        <v>62041</v>
      </c>
      <c r="I462" s="26">
        <v>0</v>
      </c>
      <c r="J462" s="20">
        <f t="shared" si="7"/>
        <v>62041</v>
      </c>
      <c r="K462" s="21" t="str">
        <f>VLOOKUP(C462,'[1]SHU 2023'!C$9:K$719,9,0)</f>
        <v xml:space="preserve">BUKAN ANGGOTA </v>
      </c>
    </row>
    <row r="463" spans="1:11" x14ac:dyDescent="0.35">
      <c r="A463" s="22">
        <v>456</v>
      </c>
      <c r="B463" s="23" t="s">
        <v>1002</v>
      </c>
      <c r="C463" s="24" t="s">
        <v>1003</v>
      </c>
      <c r="D463" s="25" t="s">
        <v>164</v>
      </c>
      <c r="E463" s="26">
        <v>0</v>
      </c>
      <c r="F463" s="26">
        <v>0</v>
      </c>
      <c r="G463" s="26">
        <v>0</v>
      </c>
      <c r="H463" s="26">
        <v>354015.87034101144</v>
      </c>
      <c r="I463" s="26">
        <v>0</v>
      </c>
      <c r="J463" s="20">
        <f t="shared" si="7"/>
        <v>354015.87034101144</v>
      </c>
      <c r="K463" s="21" t="str">
        <f>VLOOKUP(C463,'[1]SHU 2023'!C$9:K$719,9,0)</f>
        <v>PASIF</v>
      </c>
    </row>
    <row r="464" spans="1:11" x14ac:dyDescent="0.35">
      <c r="A464" s="22">
        <v>457</v>
      </c>
      <c r="B464" s="23" t="s">
        <v>1004</v>
      </c>
      <c r="C464" s="24" t="s">
        <v>1005</v>
      </c>
      <c r="D464" s="25" t="s">
        <v>20</v>
      </c>
      <c r="E464" s="26">
        <v>0</v>
      </c>
      <c r="F464" s="26">
        <v>350000</v>
      </c>
      <c r="G464" s="26">
        <v>0</v>
      </c>
      <c r="H464" s="26">
        <v>0.47477754740975797</v>
      </c>
      <c r="I464" s="26">
        <v>0</v>
      </c>
      <c r="J464" s="20">
        <f t="shared" si="7"/>
        <v>350000.47477754741</v>
      </c>
      <c r="K464" s="21" t="s">
        <v>49</v>
      </c>
    </row>
    <row r="465" spans="1:11" x14ac:dyDescent="0.35">
      <c r="A465" s="22">
        <v>458</v>
      </c>
      <c r="B465" s="23" t="s">
        <v>1006</v>
      </c>
      <c r="C465" s="24" t="s">
        <v>1007</v>
      </c>
      <c r="D465" s="25" t="s">
        <v>54</v>
      </c>
      <c r="E465" s="26">
        <v>5000</v>
      </c>
      <c r="F465" s="26">
        <v>29545000</v>
      </c>
      <c r="G465" s="26">
        <v>0</v>
      </c>
      <c r="H465" s="26">
        <v>1429243.0932553308</v>
      </c>
      <c r="I465" s="26">
        <v>0</v>
      </c>
      <c r="J465" s="20">
        <f t="shared" si="7"/>
        <v>30979243.09325533</v>
      </c>
      <c r="K465" s="21" t="str">
        <f>VLOOKUP(C465,'[1]SHU 2023'!C$9:K$719,9,0)</f>
        <v>AKTIF</v>
      </c>
    </row>
    <row r="466" spans="1:11" x14ac:dyDescent="0.35">
      <c r="A466" s="22">
        <v>459</v>
      </c>
      <c r="B466" s="23" t="s">
        <v>1008</v>
      </c>
      <c r="C466" s="24" t="s">
        <v>1009</v>
      </c>
      <c r="D466" s="25" t="s">
        <v>54</v>
      </c>
      <c r="E466" s="26">
        <v>0</v>
      </c>
      <c r="F466" s="26">
        <v>0</v>
      </c>
      <c r="G466" s="26">
        <v>0</v>
      </c>
      <c r="H466" s="26">
        <v>95613.23647030734</v>
      </c>
      <c r="I466" s="26">
        <v>0</v>
      </c>
      <c r="J466" s="20">
        <f t="shared" si="7"/>
        <v>95613.23647030734</v>
      </c>
      <c r="K466" s="21" t="str">
        <f>VLOOKUP(C466,'[1]SHU 2023'!C$9:K$719,9,0)</f>
        <v>PASIF</v>
      </c>
    </row>
    <row r="467" spans="1:11" x14ac:dyDescent="0.35">
      <c r="A467" s="22">
        <v>460</v>
      </c>
      <c r="B467" s="23" t="s">
        <v>1010</v>
      </c>
      <c r="C467" s="24" t="s">
        <v>1011</v>
      </c>
      <c r="D467" s="25" t="s">
        <v>54</v>
      </c>
      <c r="E467" s="26">
        <v>0</v>
      </c>
      <c r="F467" s="26">
        <v>29625000</v>
      </c>
      <c r="G467" s="26">
        <v>0</v>
      </c>
      <c r="H467" s="26">
        <v>1445932.0024606124</v>
      </c>
      <c r="I467" s="26">
        <v>0</v>
      </c>
      <c r="J467" s="20">
        <f t="shared" si="7"/>
        <v>31070932.002460614</v>
      </c>
      <c r="K467" s="21" t="str">
        <f>VLOOKUP(C467,'[1]SHU 2023'!C$9:K$719,9,0)</f>
        <v>AKTIF</v>
      </c>
    </row>
    <row r="468" spans="1:11" x14ac:dyDescent="0.35">
      <c r="A468" s="22">
        <v>461</v>
      </c>
      <c r="B468" s="23" t="s">
        <v>1012</v>
      </c>
      <c r="C468" s="24" t="s">
        <v>1013</v>
      </c>
      <c r="D468" s="25" t="s">
        <v>54</v>
      </c>
      <c r="E468" s="26">
        <v>0</v>
      </c>
      <c r="F468" s="26">
        <v>0</v>
      </c>
      <c r="G468" s="26">
        <v>0</v>
      </c>
      <c r="H468" s="26">
        <v>90567.651081740391</v>
      </c>
      <c r="I468" s="26">
        <v>0</v>
      </c>
      <c r="J468" s="20">
        <f t="shared" si="7"/>
        <v>90567.651081740391</v>
      </c>
      <c r="K468" s="21" t="str">
        <f>VLOOKUP(C468,'[1]SHU 2023'!C$9:K$719,9,0)</f>
        <v>PASIF</v>
      </c>
    </row>
    <row r="469" spans="1:11" x14ac:dyDescent="0.35">
      <c r="A469" s="22">
        <v>462</v>
      </c>
      <c r="B469" s="23" t="s">
        <v>1014</v>
      </c>
      <c r="C469" s="24" t="s">
        <v>1015</v>
      </c>
      <c r="D469" s="25" t="s">
        <v>362</v>
      </c>
      <c r="E469" s="26">
        <v>5000</v>
      </c>
      <c r="F469" s="26">
        <v>29420000</v>
      </c>
      <c r="G469" s="26">
        <v>0</v>
      </c>
      <c r="H469" s="26">
        <v>1423920.5189988005</v>
      </c>
      <c r="I469" s="26">
        <v>0</v>
      </c>
      <c r="J469" s="20">
        <f t="shared" si="7"/>
        <v>30848920.518998802</v>
      </c>
      <c r="K469" s="21" t="str">
        <f>VLOOKUP(C469,'[1]SHU 2023'!C$9:K$719,9,0)</f>
        <v>AKTIF</v>
      </c>
    </row>
    <row r="470" spans="1:11" x14ac:dyDescent="0.35">
      <c r="A470" s="22">
        <v>463</v>
      </c>
      <c r="B470" s="23" t="s">
        <v>1016</v>
      </c>
      <c r="C470" s="24" t="s">
        <v>1017</v>
      </c>
      <c r="D470" s="25" t="s">
        <v>193</v>
      </c>
      <c r="E470" s="26">
        <v>5000</v>
      </c>
      <c r="F470" s="26">
        <v>13745000</v>
      </c>
      <c r="G470" s="26">
        <v>0</v>
      </c>
      <c r="H470" s="26">
        <v>945783.45196502493</v>
      </c>
      <c r="I470" s="26">
        <v>0</v>
      </c>
      <c r="J470" s="20">
        <f t="shared" si="7"/>
        <v>14695783.451965025</v>
      </c>
      <c r="K470" s="21" t="str">
        <f>VLOOKUP(C470,'[1]SHU 2023'!C$9:K$719,9,0)</f>
        <v>AKTIF</v>
      </c>
    </row>
    <row r="471" spans="1:11" x14ac:dyDescent="0.35">
      <c r="A471" s="22">
        <v>464</v>
      </c>
      <c r="B471" s="23" t="s">
        <v>1018</v>
      </c>
      <c r="C471" s="24" t="s">
        <v>1019</v>
      </c>
      <c r="D471" s="25" t="s">
        <v>193</v>
      </c>
      <c r="E471" s="26">
        <v>5000</v>
      </c>
      <c r="F471" s="26">
        <v>28995000</v>
      </c>
      <c r="G471" s="26">
        <v>0</v>
      </c>
      <c r="H471" s="26">
        <v>3361170.852217434</v>
      </c>
      <c r="I471" s="26">
        <v>0</v>
      </c>
      <c r="J471" s="20">
        <f t="shared" si="7"/>
        <v>32361170.852217436</v>
      </c>
      <c r="K471" s="21" t="str">
        <f>VLOOKUP(C471,'[1]SHU 2023'!C$9:K$719,9,0)</f>
        <v>AKTIF</v>
      </c>
    </row>
    <row r="472" spans="1:11" x14ac:dyDescent="0.35">
      <c r="A472" s="22">
        <v>465</v>
      </c>
      <c r="B472" s="23" t="s">
        <v>1020</v>
      </c>
      <c r="C472" s="24" t="s">
        <v>1021</v>
      </c>
      <c r="D472" s="25" t="s">
        <v>42</v>
      </c>
      <c r="E472" s="26">
        <v>0</v>
      </c>
      <c r="F472" s="26">
        <v>0</v>
      </c>
      <c r="G472" s="26">
        <v>0</v>
      </c>
      <c r="H472" s="26">
        <v>2923</v>
      </c>
      <c r="I472" s="26">
        <v>0</v>
      </c>
      <c r="J472" s="20">
        <f t="shared" si="7"/>
        <v>2923</v>
      </c>
      <c r="K472" s="21" t="str">
        <f>VLOOKUP(C472,'[1]SHU 2023'!C$9:K$719,9,0)</f>
        <v>PASIF</v>
      </c>
    </row>
    <row r="473" spans="1:11" x14ac:dyDescent="0.35">
      <c r="A473" s="22">
        <v>466</v>
      </c>
      <c r="B473" s="23" t="s">
        <v>1022</v>
      </c>
      <c r="C473" s="24" t="s">
        <v>1023</v>
      </c>
      <c r="D473" s="25" t="s">
        <v>118</v>
      </c>
      <c r="E473" s="26">
        <v>5000</v>
      </c>
      <c r="F473" s="26">
        <v>7495000</v>
      </c>
      <c r="G473" s="26">
        <v>0</v>
      </c>
      <c r="H473" s="26">
        <v>2459628.8530594883</v>
      </c>
      <c r="I473" s="26">
        <v>0</v>
      </c>
      <c r="J473" s="20">
        <f t="shared" si="7"/>
        <v>9959628.8530594893</v>
      </c>
      <c r="K473" s="21" t="str">
        <f>VLOOKUP(C473,'[1]SHU 2023'!C$9:K$719,9,0)</f>
        <v>PASIF</v>
      </c>
    </row>
    <row r="474" spans="1:11" x14ac:dyDescent="0.35">
      <c r="A474" s="22">
        <v>467</v>
      </c>
      <c r="B474" s="23" t="s">
        <v>1024</v>
      </c>
      <c r="C474" s="24" t="s">
        <v>1025</v>
      </c>
      <c r="D474" s="25" t="s">
        <v>71</v>
      </c>
      <c r="E474" s="26">
        <v>5000</v>
      </c>
      <c r="F474" s="26">
        <v>14270000</v>
      </c>
      <c r="G474" s="26">
        <v>0</v>
      </c>
      <c r="H474" s="26">
        <v>754350.23858864978</v>
      </c>
      <c r="I474" s="26">
        <v>0</v>
      </c>
      <c r="J474" s="20">
        <f t="shared" si="7"/>
        <v>15029350.23858865</v>
      </c>
      <c r="K474" s="21" t="str">
        <f>VLOOKUP(C474,'[1]SHU 2023'!C$9:K$719,9,0)</f>
        <v>AKTIF</v>
      </c>
    </row>
    <row r="475" spans="1:11" x14ac:dyDescent="0.35">
      <c r="A475" s="22">
        <v>468</v>
      </c>
      <c r="B475" s="23" t="s">
        <v>1026</v>
      </c>
      <c r="C475" s="24" t="s">
        <v>1027</v>
      </c>
      <c r="D475" s="25" t="s">
        <v>136</v>
      </c>
      <c r="E475" s="26">
        <v>5000</v>
      </c>
      <c r="F475" s="26">
        <v>24170000</v>
      </c>
      <c r="G475" s="26">
        <v>0</v>
      </c>
      <c r="H475" s="26">
        <v>2647979.206792641</v>
      </c>
      <c r="I475" s="26">
        <v>0</v>
      </c>
      <c r="J475" s="20">
        <f t="shared" si="7"/>
        <v>26822979.206792641</v>
      </c>
      <c r="K475" s="21" t="str">
        <f>VLOOKUP(C475,'[1]SHU 2023'!C$9:K$719,9,0)</f>
        <v>AKTIF</v>
      </c>
    </row>
    <row r="476" spans="1:11" x14ac:dyDescent="0.35">
      <c r="A476" s="22">
        <v>469</v>
      </c>
      <c r="B476" s="23" t="s">
        <v>1028</v>
      </c>
      <c r="C476" s="24" t="s">
        <v>1029</v>
      </c>
      <c r="D476" s="25" t="s">
        <v>136</v>
      </c>
      <c r="E476" s="26">
        <v>0</v>
      </c>
      <c r="F476" s="26">
        <v>0</v>
      </c>
      <c r="G476" s="26">
        <v>0</v>
      </c>
      <c r="H476" s="26">
        <v>474823.62392520159</v>
      </c>
      <c r="I476" s="26">
        <v>0</v>
      </c>
      <c r="J476" s="20">
        <f t="shared" si="7"/>
        <v>474823.62392520159</v>
      </c>
      <c r="K476" s="21" t="str">
        <f>VLOOKUP(C476,'[1]SHU 2023'!C$9:K$719,9,0)</f>
        <v>PASIF</v>
      </c>
    </row>
    <row r="477" spans="1:11" x14ac:dyDescent="0.35">
      <c r="A477" s="22">
        <v>470</v>
      </c>
      <c r="B477" s="23" t="s">
        <v>1030</v>
      </c>
      <c r="C477" s="24" t="s">
        <v>1031</v>
      </c>
      <c r="D477" s="25" t="s">
        <v>248</v>
      </c>
      <c r="E477" s="26">
        <v>0</v>
      </c>
      <c r="F477" s="26">
        <v>0</v>
      </c>
      <c r="G477" s="26">
        <v>0</v>
      </c>
      <c r="H477" s="26">
        <v>0.28291118796914816</v>
      </c>
      <c r="I477" s="26">
        <v>0</v>
      </c>
      <c r="J477" s="20">
        <f t="shared" si="7"/>
        <v>0.28291118796914816</v>
      </c>
      <c r="K477" s="21" t="s">
        <v>49</v>
      </c>
    </row>
    <row r="478" spans="1:11" x14ac:dyDescent="0.35">
      <c r="A478" s="22">
        <v>471</v>
      </c>
      <c r="B478" s="23" t="s">
        <v>1032</v>
      </c>
      <c r="C478" s="24" t="s">
        <v>1033</v>
      </c>
      <c r="D478" s="25" t="s">
        <v>126</v>
      </c>
      <c r="E478" s="26">
        <v>0</v>
      </c>
      <c r="F478" s="26">
        <v>1500000</v>
      </c>
      <c r="G478" s="26">
        <v>0</v>
      </c>
      <c r="H478" s="26">
        <v>61546</v>
      </c>
      <c r="I478" s="26">
        <v>0</v>
      </c>
      <c r="J478" s="20">
        <f t="shared" si="7"/>
        <v>1561546</v>
      </c>
      <c r="K478" s="21" t="str">
        <f>VLOOKUP(C478,'[1]SHU 2023'!C$9:K$719,9,0)</f>
        <v>PASIF</v>
      </c>
    </row>
    <row r="479" spans="1:11" x14ac:dyDescent="0.35">
      <c r="A479" s="22">
        <v>472</v>
      </c>
      <c r="B479" s="23" t="s">
        <v>1034</v>
      </c>
      <c r="C479" s="24" t="s">
        <v>1035</v>
      </c>
      <c r="D479" s="25" t="s">
        <v>39</v>
      </c>
      <c r="E479" s="26">
        <v>0</v>
      </c>
      <c r="F479" s="26">
        <v>225000</v>
      </c>
      <c r="G479" s="26">
        <v>0</v>
      </c>
      <c r="H479" s="26">
        <v>485458.02095881535</v>
      </c>
      <c r="I479" s="26">
        <v>0</v>
      </c>
      <c r="J479" s="20">
        <f t="shared" si="7"/>
        <v>710458.02095881535</v>
      </c>
      <c r="K479" s="21" t="str">
        <f>VLOOKUP(C479,'[1]SHU 2023'!C$9:K$719,9,0)</f>
        <v>PASIF</v>
      </c>
    </row>
    <row r="480" spans="1:11" x14ac:dyDescent="0.35">
      <c r="A480" s="22">
        <v>473</v>
      </c>
      <c r="B480" s="23" t="s">
        <v>1036</v>
      </c>
      <c r="C480" s="24" t="s">
        <v>1037</v>
      </c>
      <c r="D480" s="25" t="s">
        <v>248</v>
      </c>
      <c r="E480" s="26">
        <v>0</v>
      </c>
      <c r="F480" s="26">
        <v>0</v>
      </c>
      <c r="G480" s="26">
        <v>0</v>
      </c>
      <c r="H480" s="26">
        <v>967161.31484213378</v>
      </c>
      <c r="I480" s="26">
        <v>0</v>
      </c>
      <c r="J480" s="20">
        <f t="shared" si="7"/>
        <v>967161.31484213378</v>
      </c>
      <c r="K480" s="21" t="str">
        <f>VLOOKUP(C480,'[1]SHU 2023'!C$9:K$719,9,0)</f>
        <v>PASIF</v>
      </c>
    </row>
    <row r="481" spans="1:11" x14ac:dyDescent="0.35">
      <c r="A481" s="22">
        <v>474</v>
      </c>
      <c r="B481" s="23" t="s">
        <v>1038</v>
      </c>
      <c r="C481" s="24" t="s">
        <v>1039</v>
      </c>
      <c r="D481" s="25" t="s">
        <v>89</v>
      </c>
      <c r="E481" s="26">
        <v>0</v>
      </c>
      <c r="F481" s="26">
        <v>28000000</v>
      </c>
      <c r="G481" s="26">
        <v>350000</v>
      </c>
      <c r="H481" s="26">
        <v>1280476.2436190774</v>
      </c>
      <c r="I481" s="26">
        <v>0</v>
      </c>
      <c r="J481" s="20">
        <f t="shared" si="7"/>
        <v>29630476.243619077</v>
      </c>
      <c r="K481" s="21" t="str">
        <f>VLOOKUP(C481,'[1]SHU 2023'!C$9:K$719,9,0)</f>
        <v>AKTIF</v>
      </c>
    </row>
    <row r="482" spans="1:11" x14ac:dyDescent="0.35">
      <c r="A482" s="22">
        <v>475</v>
      </c>
      <c r="B482" s="23" t="s">
        <v>1040</v>
      </c>
      <c r="C482" s="24" t="s">
        <v>1041</v>
      </c>
      <c r="D482" s="25" t="s">
        <v>89</v>
      </c>
      <c r="E482" s="26">
        <v>0</v>
      </c>
      <c r="F482" s="26">
        <v>26775000</v>
      </c>
      <c r="G482" s="26">
        <v>0</v>
      </c>
      <c r="H482" s="26">
        <v>1456739.0667525227</v>
      </c>
      <c r="I482" s="26">
        <v>0</v>
      </c>
      <c r="J482" s="20">
        <f t="shared" si="7"/>
        <v>28231739.066752523</v>
      </c>
      <c r="K482" s="21" t="str">
        <f>VLOOKUP(C482,'[1]SHU 2023'!C$9:K$719,9,0)</f>
        <v>AKTIF</v>
      </c>
    </row>
    <row r="483" spans="1:11" x14ac:dyDescent="0.35">
      <c r="A483" s="22">
        <v>476</v>
      </c>
      <c r="B483" s="23" t="s">
        <v>1042</v>
      </c>
      <c r="C483" s="24" t="s">
        <v>1043</v>
      </c>
      <c r="D483" s="25" t="s">
        <v>136</v>
      </c>
      <c r="E483" s="26">
        <v>0</v>
      </c>
      <c r="F483" s="26">
        <v>0</v>
      </c>
      <c r="G483" s="26">
        <v>0</v>
      </c>
      <c r="H483" s="26">
        <v>144090.19320884394</v>
      </c>
      <c r="I483" s="26">
        <v>0</v>
      </c>
      <c r="J483" s="20">
        <f t="shared" si="7"/>
        <v>144090.19320884394</v>
      </c>
      <c r="K483" s="21" t="str">
        <f>VLOOKUP(C483,'[1]SHU 2023'!C$9:K$719,9,0)</f>
        <v>PASIF</v>
      </c>
    </row>
    <row r="484" spans="1:11" x14ac:dyDescent="0.35">
      <c r="A484" s="22">
        <v>477</v>
      </c>
      <c r="B484" s="23" t="s">
        <v>1044</v>
      </c>
      <c r="C484" s="24" t="s">
        <v>1045</v>
      </c>
      <c r="D484" s="25" t="s">
        <v>118</v>
      </c>
      <c r="E484" s="26">
        <v>5000</v>
      </c>
      <c r="F484" s="26">
        <v>5995000</v>
      </c>
      <c r="G484" s="26">
        <v>0</v>
      </c>
      <c r="H484" s="26">
        <v>1754634.0919973422</v>
      </c>
      <c r="I484" s="26">
        <v>0</v>
      </c>
      <c r="J484" s="20">
        <f t="shared" si="7"/>
        <v>7754634.0919973422</v>
      </c>
      <c r="K484" s="21" t="str">
        <f>VLOOKUP(C484,'[1]SHU 2023'!C$9:K$719,9,0)</f>
        <v>PASIF</v>
      </c>
    </row>
    <row r="485" spans="1:11" x14ac:dyDescent="0.35">
      <c r="A485" s="22">
        <v>478</v>
      </c>
      <c r="B485" s="23" t="s">
        <v>1046</v>
      </c>
      <c r="C485" s="24" t="s">
        <v>1047</v>
      </c>
      <c r="D485" s="25" t="s">
        <v>196</v>
      </c>
      <c r="E485" s="26">
        <v>0</v>
      </c>
      <c r="F485" s="26">
        <v>0</v>
      </c>
      <c r="G485" s="26">
        <v>0</v>
      </c>
      <c r="H485" s="26">
        <v>994670</v>
      </c>
      <c r="I485" s="26">
        <v>0</v>
      </c>
      <c r="J485" s="20">
        <f t="shared" si="7"/>
        <v>994670</v>
      </c>
      <c r="K485" s="21" t="str">
        <f>VLOOKUP(C485,'[1]SHU 2023'!C$9:K$719,9,0)</f>
        <v>PASIF</v>
      </c>
    </row>
    <row r="486" spans="1:11" x14ac:dyDescent="0.35">
      <c r="A486" s="22">
        <v>479</v>
      </c>
      <c r="B486" s="23" t="s">
        <v>1048</v>
      </c>
      <c r="C486" s="24" t="s">
        <v>1049</v>
      </c>
      <c r="D486" s="25" t="s">
        <v>71</v>
      </c>
      <c r="E486" s="26">
        <v>0</v>
      </c>
      <c r="F486" s="26">
        <v>0</v>
      </c>
      <c r="G486" s="26">
        <v>0</v>
      </c>
      <c r="H486" s="26">
        <v>-0.40813837759196758</v>
      </c>
      <c r="I486" s="26">
        <v>0</v>
      </c>
      <c r="J486" s="20">
        <f t="shared" si="7"/>
        <v>-0.40813837759196758</v>
      </c>
      <c r="K486" s="21" t="s">
        <v>49</v>
      </c>
    </row>
    <row r="487" spans="1:11" x14ac:dyDescent="0.35">
      <c r="A487" s="22">
        <v>480</v>
      </c>
      <c r="B487" s="23" t="s">
        <v>1050</v>
      </c>
      <c r="C487" s="24" t="s">
        <v>1051</v>
      </c>
      <c r="D487" s="25" t="s">
        <v>42</v>
      </c>
      <c r="E487" s="26">
        <v>0</v>
      </c>
      <c r="F487" s="26">
        <v>3625000</v>
      </c>
      <c r="G487" s="26">
        <v>0</v>
      </c>
      <c r="H487" s="26">
        <v>1627635.741716404</v>
      </c>
      <c r="I487" s="26">
        <v>0</v>
      </c>
      <c r="J487" s="20">
        <f t="shared" si="7"/>
        <v>5252635.7417164035</v>
      </c>
      <c r="K487" s="21" t="str">
        <f>VLOOKUP(C487,'[1]SHU 2023'!C$9:K$719,9,0)</f>
        <v>PASIF</v>
      </c>
    </row>
    <row r="488" spans="1:11" x14ac:dyDescent="0.35">
      <c r="A488" s="22">
        <v>481</v>
      </c>
      <c r="B488" s="23" t="s">
        <v>1052</v>
      </c>
      <c r="C488" s="24" t="s">
        <v>1053</v>
      </c>
      <c r="D488" s="25" t="s">
        <v>54</v>
      </c>
      <c r="E488" s="26">
        <v>5000</v>
      </c>
      <c r="F488" s="26">
        <v>29520000</v>
      </c>
      <c r="G488" s="26">
        <v>1050000</v>
      </c>
      <c r="H488" s="26">
        <v>1516239.2935624523</v>
      </c>
      <c r="I488" s="26">
        <v>0</v>
      </c>
      <c r="J488" s="20">
        <f t="shared" si="7"/>
        <v>32091239.293562453</v>
      </c>
      <c r="K488" s="21" t="str">
        <f>VLOOKUP(C488,'[1]SHU 2023'!C$9:K$719,9,0)</f>
        <v>AKTIF</v>
      </c>
    </row>
    <row r="489" spans="1:11" x14ac:dyDescent="0.35">
      <c r="A489" s="22">
        <v>482</v>
      </c>
      <c r="B489" s="23" t="s">
        <v>1054</v>
      </c>
      <c r="C489" s="24" t="s">
        <v>1055</v>
      </c>
      <c r="D489" s="25" t="s">
        <v>298</v>
      </c>
      <c r="E489" s="26">
        <v>5000</v>
      </c>
      <c r="F489" s="26">
        <v>18220000</v>
      </c>
      <c r="G489" s="26">
        <v>200000</v>
      </c>
      <c r="H489" s="26">
        <v>1708939.9456779021</v>
      </c>
      <c r="I489" s="26">
        <v>0</v>
      </c>
      <c r="J489" s="20">
        <f t="shared" si="7"/>
        <v>20133939.945677903</v>
      </c>
      <c r="K489" s="21" t="str">
        <f>VLOOKUP(C489,'[1]SHU 2023'!C$9:K$719,9,0)</f>
        <v>AKTIF</v>
      </c>
    </row>
    <row r="490" spans="1:11" x14ac:dyDescent="0.35">
      <c r="A490" s="22">
        <v>483</v>
      </c>
      <c r="B490" s="23" t="s">
        <v>1056</v>
      </c>
      <c r="C490" s="24" t="s">
        <v>1057</v>
      </c>
      <c r="D490" s="25" t="s">
        <v>295</v>
      </c>
      <c r="E490" s="26">
        <v>0</v>
      </c>
      <c r="F490" s="26">
        <v>0</v>
      </c>
      <c r="G490" s="26">
        <v>0</v>
      </c>
      <c r="H490" s="26">
        <v>44519.607713351434</v>
      </c>
      <c r="I490" s="26">
        <v>0</v>
      </c>
      <c r="J490" s="20">
        <f t="shared" si="7"/>
        <v>44519.607713351434</v>
      </c>
      <c r="K490" s="21" t="str">
        <f>VLOOKUP(C490,'[1]SHU 2023'!C$9:K$719,9,0)</f>
        <v>PASIF</v>
      </c>
    </row>
    <row r="491" spans="1:11" x14ac:dyDescent="0.35">
      <c r="A491" s="22">
        <v>484</v>
      </c>
      <c r="B491" s="23" t="s">
        <v>1058</v>
      </c>
      <c r="C491" s="24" t="s">
        <v>1059</v>
      </c>
      <c r="D491" s="25" t="s">
        <v>59</v>
      </c>
      <c r="E491" s="26">
        <v>0</v>
      </c>
      <c r="F491" s="26">
        <v>0</v>
      </c>
      <c r="G491" s="26">
        <v>0</v>
      </c>
      <c r="H491" s="26">
        <v>-0.22040239162743092</v>
      </c>
      <c r="I491" s="26">
        <v>0</v>
      </c>
      <c r="J491" s="20">
        <f t="shared" si="7"/>
        <v>-0.22040239162743092</v>
      </c>
      <c r="K491" s="21" t="s">
        <v>49</v>
      </c>
    </row>
    <row r="492" spans="1:11" x14ac:dyDescent="0.35">
      <c r="A492" s="22">
        <v>485</v>
      </c>
      <c r="B492" s="23" t="s">
        <v>1060</v>
      </c>
      <c r="C492" s="24" t="s">
        <v>1061</v>
      </c>
      <c r="D492" s="25" t="s">
        <v>316</v>
      </c>
      <c r="E492" s="26">
        <v>5000</v>
      </c>
      <c r="F492" s="26">
        <v>28995000</v>
      </c>
      <c r="G492" s="26">
        <v>2350000</v>
      </c>
      <c r="H492" s="26">
        <v>1378458.6816742844</v>
      </c>
      <c r="I492" s="26">
        <v>0</v>
      </c>
      <c r="J492" s="20">
        <f t="shared" si="7"/>
        <v>32728458.681674283</v>
      </c>
      <c r="K492" s="21" t="str">
        <f>VLOOKUP(C492,'[1]SHU 2023'!C$9:K$719,9,0)</f>
        <v>AKTIF</v>
      </c>
    </row>
    <row r="493" spans="1:11" x14ac:dyDescent="0.35">
      <c r="A493" s="22">
        <v>486</v>
      </c>
      <c r="B493" s="23" t="s">
        <v>1062</v>
      </c>
      <c r="C493" s="24" t="s">
        <v>1063</v>
      </c>
      <c r="D493" s="25" t="s">
        <v>131</v>
      </c>
      <c r="E493" s="26">
        <v>10000</v>
      </c>
      <c r="F493" s="26">
        <v>16307047</v>
      </c>
      <c r="G493" s="26">
        <v>1345000</v>
      </c>
      <c r="H493" s="26">
        <v>793220.06224509014</v>
      </c>
      <c r="I493" s="26">
        <v>0</v>
      </c>
      <c r="J493" s="20">
        <f t="shared" si="7"/>
        <v>18455267.06224509</v>
      </c>
      <c r="K493" s="21" t="str">
        <f>VLOOKUP(C493,'[1]SHU 2023'!C$9:K$719,9,0)</f>
        <v>AKTIF</v>
      </c>
    </row>
    <row r="494" spans="1:11" x14ac:dyDescent="0.35">
      <c r="A494" s="22">
        <v>525</v>
      </c>
      <c r="B494" s="23" t="s">
        <v>1064</v>
      </c>
      <c r="C494" s="24" t="s">
        <v>1065</v>
      </c>
      <c r="D494" s="25" t="s">
        <v>139</v>
      </c>
      <c r="E494" s="26">
        <v>5000</v>
      </c>
      <c r="F494" s="26">
        <v>2395000</v>
      </c>
      <c r="G494" s="26">
        <v>0</v>
      </c>
      <c r="H494" s="26">
        <v>1361198.3678363001</v>
      </c>
      <c r="I494" s="26">
        <v>0</v>
      </c>
      <c r="J494" s="20">
        <f t="shared" si="7"/>
        <v>3761198.3678363003</v>
      </c>
      <c r="K494" s="21" t="str">
        <f>VLOOKUP(C494,'[1]SHU 2023'!C$9:K$719,9,0)</f>
        <v>PASIF</v>
      </c>
    </row>
    <row r="495" spans="1:11" x14ac:dyDescent="0.35">
      <c r="A495" s="22">
        <v>487</v>
      </c>
      <c r="B495" s="23" t="s">
        <v>1066</v>
      </c>
      <c r="C495" s="24" t="s">
        <v>1067</v>
      </c>
      <c r="D495" s="25" t="s">
        <v>233</v>
      </c>
      <c r="E495" s="26">
        <v>5000</v>
      </c>
      <c r="F495" s="26">
        <v>24595000</v>
      </c>
      <c r="G495" s="26">
        <v>0</v>
      </c>
      <c r="H495" s="26">
        <v>1158578.592376763</v>
      </c>
      <c r="I495" s="26">
        <v>0</v>
      </c>
      <c r="J495" s="20">
        <f t="shared" si="7"/>
        <v>25758578.592376761</v>
      </c>
      <c r="K495" s="21" t="str">
        <f>VLOOKUP(C495,'[1]SHU 2023'!C$9:K$719,9,0)</f>
        <v>AKTIF</v>
      </c>
    </row>
    <row r="496" spans="1:11" x14ac:dyDescent="0.35">
      <c r="A496" s="22">
        <v>488</v>
      </c>
      <c r="B496" s="23" t="s">
        <v>1068</v>
      </c>
      <c r="C496" s="24" t="s">
        <v>1069</v>
      </c>
      <c r="D496" s="25" t="s">
        <v>295</v>
      </c>
      <c r="E496" s="26">
        <v>0</v>
      </c>
      <c r="F496" s="26">
        <v>0</v>
      </c>
      <c r="G496" s="26">
        <v>190000</v>
      </c>
      <c r="H496" s="26">
        <v>590334.70136152185</v>
      </c>
      <c r="I496" s="26">
        <v>0</v>
      </c>
      <c r="J496" s="20">
        <f t="shared" si="7"/>
        <v>780334.70136152185</v>
      </c>
      <c r="K496" s="21" t="str">
        <f>VLOOKUP(C496,'[1]SHU 2023'!C$9:K$719,9,0)</f>
        <v>PASIF</v>
      </c>
    </row>
    <row r="497" spans="1:11" x14ac:dyDescent="0.35">
      <c r="A497" s="22">
        <v>489</v>
      </c>
      <c r="B497" s="23" t="s">
        <v>1070</v>
      </c>
      <c r="C497" s="24" t="s">
        <v>1071</v>
      </c>
      <c r="D497" s="25" t="s">
        <v>285</v>
      </c>
      <c r="E497" s="26">
        <v>5000</v>
      </c>
      <c r="F497" s="26">
        <v>11745000</v>
      </c>
      <c r="G497" s="26">
        <v>0</v>
      </c>
      <c r="H497" s="26">
        <v>1028485.0597511777</v>
      </c>
      <c r="I497" s="26">
        <v>0</v>
      </c>
      <c r="J497" s="20">
        <f t="shared" si="7"/>
        <v>12778485.059751177</v>
      </c>
      <c r="K497" s="21" t="str">
        <f>VLOOKUP(C497,'[1]SHU 2023'!C$9:K$719,9,0)</f>
        <v>AKTIF</v>
      </c>
    </row>
    <row r="498" spans="1:11" x14ac:dyDescent="0.35">
      <c r="A498" s="22">
        <v>490</v>
      </c>
      <c r="B498" s="23" t="s">
        <v>1072</v>
      </c>
      <c r="C498" s="24" t="s">
        <v>1073</v>
      </c>
      <c r="D498" s="25" t="s">
        <v>31</v>
      </c>
      <c r="E498" s="26">
        <v>5000</v>
      </c>
      <c r="F498" s="26">
        <v>11745000</v>
      </c>
      <c r="G498" s="26">
        <v>540000</v>
      </c>
      <c r="H498" s="26">
        <v>1096479.8378356083</v>
      </c>
      <c r="I498" s="26">
        <v>0</v>
      </c>
      <c r="J498" s="20">
        <f t="shared" si="7"/>
        <v>13386479.837835608</v>
      </c>
      <c r="K498" s="21" t="str">
        <f>VLOOKUP(C498,'[1]SHU 2023'!C$9:K$719,9,0)</f>
        <v>AKTIF</v>
      </c>
    </row>
    <row r="499" spans="1:11" x14ac:dyDescent="0.35">
      <c r="A499" s="22">
        <v>491</v>
      </c>
      <c r="B499" s="23" t="s">
        <v>1074</v>
      </c>
      <c r="C499" s="24" t="s">
        <v>1075</v>
      </c>
      <c r="D499" s="25" t="s">
        <v>295</v>
      </c>
      <c r="E499" s="26">
        <v>0</v>
      </c>
      <c r="F499" s="26">
        <v>0</v>
      </c>
      <c r="G499" s="26">
        <v>0</v>
      </c>
      <c r="H499" s="26">
        <v>100204.44056023995</v>
      </c>
      <c r="I499" s="26">
        <v>0</v>
      </c>
      <c r="J499" s="20">
        <f t="shared" si="7"/>
        <v>100204.44056023995</v>
      </c>
      <c r="K499" s="21" t="str">
        <f>VLOOKUP(C499,'[1]SHU 2023'!C$9:K$719,9,0)</f>
        <v>PASIF</v>
      </c>
    </row>
    <row r="500" spans="1:11" x14ac:dyDescent="0.35">
      <c r="A500" s="22">
        <v>492</v>
      </c>
      <c r="B500" s="23" t="s">
        <v>1076</v>
      </c>
      <c r="C500" s="24" t="s">
        <v>1077</v>
      </c>
      <c r="D500" s="25" t="s">
        <v>31</v>
      </c>
      <c r="E500" s="26">
        <v>5000</v>
      </c>
      <c r="F500" s="26">
        <v>11745000</v>
      </c>
      <c r="G500" s="26">
        <v>1440000</v>
      </c>
      <c r="H500" s="26">
        <v>1126152.5656491872</v>
      </c>
      <c r="I500" s="26">
        <v>0</v>
      </c>
      <c r="J500" s="20">
        <f t="shared" si="7"/>
        <v>14316152.565649187</v>
      </c>
      <c r="K500" s="21" t="str">
        <f>VLOOKUP(C500,'[1]SHU 2023'!C$9:K$719,9,0)</f>
        <v>AKTIF</v>
      </c>
    </row>
    <row r="501" spans="1:11" x14ac:dyDescent="0.35">
      <c r="A501" s="22">
        <v>493</v>
      </c>
      <c r="B501" s="23" t="s">
        <v>1078</v>
      </c>
      <c r="C501" s="24" t="s">
        <v>1079</v>
      </c>
      <c r="D501" s="25" t="s">
        <v>295</v>
      </c>
      <c r="E501" s="26">
        <v>5000</v>
      </c>
      <c r="F501" s="26">
        <v>11745000</v>
      </c>
      <c r="G501" s="26">
        <v>535000</v>
      </c>
      <c r="H501" s="26">
        <v>1073380.2325655248</v>
      </c>
      <c r="I501" s="26">
        <v>0</v>
      </c>
      <c r="J501" s="20">
        <f t="shared" si="7"/>
        <v>13358380.232565524</v>
      </c>
      <c r="K501" s="21" t="str">
        <f>VLOOKUP(C501,'[1]SHU 2023'!C$9:K$719,9,0)</f>
        <v>AKTIF</v>
      </c>
    </row>
    <row r="502" spans="1:11" x14ac:dyDescent="0.35">
      <c r="A502" s="22">
        <v>494</v>
      </c>
      <c r="B502" s="23" t="s">
        <v>1080</v>
      </c>
      <c r="C502" s="24" t="s">
        <v>1081</v>
      </c>
      <c r="D502" s="25" t="s">
        <v>313</v>
      </c>
      <c r="E502" s="26">
        <v>0</v>
      </c>
      <c r="F502" s="26">
        <v>100000</v>
      </c>
      <c r="G502" s="26">
        <v>0</v>
      </c>
      <c r="H502" s="26">
        <v>96952.675325927208</v>
      </c>
      <c r="I502" s="26">
        <v>0</v>
      </c>
      <c r="J502" s="20">
        <f t="shared" si="7"/>
        <v>196952.67532592721</v>
      </c>
      <c r="K502" s="21" t="str">
        <f>VLOOKUP(C502,'[1]SHU 2023'!C$9:K$719,9,0)</f>
        <v>PASIF</v>
      </c>
    </row>
    <row r="503" spans="1:11" x14ac:dyDescent="0.35">
      <c r="A503" s="22">
        <v>495</v>
      </c>
      <c r="B503" s="23" t="s">
        <v>1082</v>
      </c>
      <c r="C503" s="24" t="s">
        <v>1083</v>
      </c>
      <c r="D503" s="25" t="s">
        <v>313</v>
      </c>
      <c r="E503" s="26">
        <v>0</v>
      </c>
      <c r="F503" s="26">
        <v>0</v>
      </c>
      <c r="G503" s="26">
        <v>0</v>
      </c>
      <c r="H503" s="26">
        <v>36943.611379728303</v>
      </c>
      <c r="I503" s="26">
        <v>0</v>
      </c>
      <c r="J503" s="20">
        <f t="shared" si="7"/>
        <v>36943.611379728303</v>
      </c>
      <c r="K503" s="21" t="str">
        <f>VLOOKUP(C503,'[1]SHU 2023'!C$9:K$719,9,0)</f>
        <v>PASIF</v>
      </c>
    </row>
    <row r="504" spans="1:11" x14ac:dyDescent="0.35">
      <c r="A504" s="22">
        <v>496</v>
      </c>
      <c r="B504" s="23" t="s">
        <v>1084</v>
      </c>
      <c r="C504" s="24" t="s">
        <v>1085</v>
      </c>
      <c r="D504" s="25" t="s">
        <v>31</v>
      </c>
      <c r="E504" s="26">
        <v>5000</v>
      </c>
      <c r="F504" s="26">
        <v>18170000</v>
      </c>
      <c r="G504" s="26">
        <v>300000</v>
      </c>
      <c r="H504" s="26">
        <v>1393708.3947593281</v>
      </c>
      <c r="I504" s="26">
        <v>0</v>
      </c>
      <c r="J504" s="20">
        <f t="shared" si="7"/>
        <v>19868708.394759327</v>
      </c>
      <c r="K504" s="21" t="str">
        <f>VLOOKUP(C504,'[1]SHU 2023'!C$9:K$719,9,0)</f>
        <v>AKTIF</v>
      </c>
    </row>
    <row r="505" spans="1:11" x14ac:dyDescent="0.35">
      <c r="A505" s="22">
        <v>497</v>
      </c>
      <c r="B505" s="23" t="s">
        <v>1086</v>
      </c>
      <c r="C505" s="24" t="s">
        <v>1087</v>
      </c>
      <c r="D505" s="25" t="s">
        <v>313</v>
      </c>
      <c r="E505" s="26">
        <v>5000</v>
      </c>
      <c r="F505" s="26">
        <v>3295000</v>
      </c>
      <c r="G505" s="26">
        <v>0</v>
      </c>
      <c r="H505" s="26">
        <v>1675230.006905437</v>
      </c>
      <c r="I505" s="26">
        <v>0</v>
      </c>
      <c r="J505" s="20">
        <f t="shared" si="7"/>
        <v>4975230.0069054365</v>
      </c>
      <c r="K505" s="21" t="str">
        <f>VLOOKUP(C505,'[1]SHU 2023'!C$9:K$719,9,0)</f>
        <v>PASIF</v>
      </c>
    </row>
    <row r="506" spans="1:11" x14ac:dyDescent="0.35">
      <c r="A506" s="22">
        <v>498</v>
      </c>
      <c r="B506" s="23" t="s">
        <v>1088</v>
      </c>
      <c r="C506" s="24" t="s">
        <v>1089</v>
      </c>
      <c r="D506" s="25" t="s">
        <v>316</v>
      </c>
      <c r="E506" s="26">
        <v>5000</v>
      </c>
      <c r="F506" s="26">
        <v>17445000</v>
      </c>
      <c r="G506" s="26">
        <v>500000</v>
      </c>
      <c r="H506" s="26">
        <v>1254818.0499932342</v>
      </c>
      <c r="I506" s="26">
        <v>0</v>
      </c>
      <c r="J506" s="20">
        <f t="shared" si="7"/>
        <v>19204818.049993236</v>
      </c>
      <c r="K506" s="21" t="str">
        <f>VLOOKUP(C506,'[1]SHU 2023'!C$9:K$719,9,0)</f>
        <v>AKTIF</v>
      </c>
    </row>
    <row r="507" spans="1:11" x14ac:dyDescent="0.35">
      <c r="A507" s="22">
        <v>499</v>
      </c>
      <c r="B507" s="23" t="s">
        <v>1090</v>
      </c>
      <c r="C507" s="24" t="s">
        <v>1091</v>
      </c>
      <c r="D507" s="25" t="s">
        <v>42</v>
      </c>
      <c r="E507" s="26">
        <v>0</v>
      </c>
      <c r="F507" s="26">
        <v>0</v>
      </c>
      <c r="G507" s="26">
        <v>0</v>
      </c>
      <c r="H507" s="26">
        <v>916232</v>
      </c>
      <c r="I507" s="26">
        <v>0</v>
      </c>
      <c r="J507" s="20">
        <f t="shared" si="7"/>
        <v>916232</v>
      </c>
      <c r="K507" s="21" t="str">
        <f>VLOOKUP(C507,'[1]SHU 2023'!C$9:K$719,9,0)</f>
        <v>PASIF</v>
      </c>
    </row>
    <row r="508" spans="1:11" x14ac:dyDescent="0.35">
      <c r="A508" s="22">
        <v>500</v>
      </c>
      <c r="B508" s="23" t="s">
        <v>1092</v>
      </c>
      <c r="C508" s="24" t="s">
        <v>1093</v>
      </c>
      <c r="D508" s="25" t="s">
        <v>139</v>
      </c>
      <c r="E508" s="26">
        <v>0</v>
      </c>
      <c r="F508" s="26">
        <v>200000</v>
      </c>
      <c r="G508" s="26">
        <v>0</v>
      </c>
      <c r="H508" s="26">
        <v>33884</v>
      </c>
      <c r="I508" s="26">
        <v>0</v>
      </c>
      <c r="J508" s="20">
        <f t="shared" si="7"/>
        <v>233884</v>
      </c>
      <c r="K508" s="21" t="str">
        <f>VLOOKUP(C508,'[1]SHU 2023'!C$9:K$719,9,0)</f>
        <v>PASIF</v>
      </c>
    </row>
    <row r="509" spans="1:11" x14ac:dyDescent="0.35">
      <c r="A509" s="22">
        <v>501</v>
      </c>
      <c r="B509" s="23" t="s">
        <v>1094</v>
      </c>
      <c r="C509" s="24" t="s">
        <v>1095</v>
      </c>
      <c r="D509" s="25" t="s">
        <v>28</v>
      </c>
      <c r="E509" s="26">
        <v>5000</v>
      </c>
      <c r="F509" s="26">
        <v>11445000</v>
      </c>
      <c r="G509" s="26">
        <v>260000</v>
      </c>
      <c r="H509" s="26">
        <v>1265044.4189515605</v>
      </c>
      <c r="I509" s="26">
        <v>0</v>
      </c>
      <c r="J509" s="20">
        <f t="shared" si="7"/>
        <v>12975044.41895156</v>
      </c>
      <c r="K509" s="21" t="str">
        <f>VLOOKUP(C509,'[1]SHU 2023'!C$9:K$719,9,0)</f>
        <v>AKTIF</v>
      </c>
    </row>
    <row r="510" spans="1:11" x14ac:dyDescent="0.35">
      <c r="A510" s="22">
        <v>502</v>
      </c>
      <c r="B510" s="23" t="s">
        <v>1096</v>
      </c>
      <c r="C510" s="24" t="s">
        <v>1097</v>
      </c>
      <c r="D510" s="25" t="s">
        <v>164</v>
      </c>
      <c r="E510" s="26">
        <v>0</v>
      </c>
      <c r="F510" s="26">
        <v>0</v>
      </c>
      <c r="G510" s="26">
        <v>0</v>
      </c>
      <c r="H510" s="26">
        <v>42698</v>
      </c>
      <c r="I510" s="26">
        <v>0</v>
      </c>
      <c r="J510" s="20">
        <f t="shared" si="7"/>
        <v>42698</v>
      </c>
      <c r="K510" s="21" t="str">
        <f>VLOOKUP(C510,'[1]SHU 2023'!C$9:K$719,9,0)</f>
        <v>BUKAN ANGGOTA</v>
      </c>
    </row>
    <row r="511" spans="1:11" x14ac:dyDescent="0.35">
      <c r="A511" s="22">
        <v>503</v>
      </c>
      <c r="B511" s="23" t="s">
        <v>1098</v>
      </c>
      <c r="C511" s="24" t="s">
        <v>1099</v>
      </c>
      <c r="D511" s="25" t="s">
        <v>131</v>
      </c>
      <c r="E511" s="26">
        <v>5000</v>
      </c>
      <c r="F511" s="26">
        <v>11825000</v>
      </c>
      <c r="G511" s="26">
        <v>750000</v>
      </c>
      <c r="H511" s="26">
        <v>1326642.8722455874</v>
      </c>
      <c r="I511" s="26">
        <v>0</v>
      </c>
      <c r="J511" s="20">
        <f t="shared" si="7"/>
        <v>13906642.872245587</v>
      </c>
      <c r="K511" s="21" t="str">
        <f>VLOOKUP(C511,'[1]SHU 2023'!C$9:K$719,9,0)</f>
        <v>AKTIF</v>
      </c>
    </row>
    <row r="512" spans="1:11" x14ac:dyDescent="0.35">
      <c r="A512" s="22">
        <v>504</v>
      </c>
      <c r="B512" s="23" t="s">
        <v>1100</v>
      </c>
      <c r="C512" s="24" t="s">
        <v>1101</v>
      </c>
      <c r="D512" s="25" t="s">
        <v>123</v>
      </c>
      <c r="E512" s="26">
        <v>5000</v>
      </c>
      <c r="F512" s="26">
        <v>11925000</v>
      </c>
      <c r="G512" s="26">
        <v>0</v>
      </c>
      <c r="H512" s="26">
        <v>1235456.1727940983</v>
      </c>
      <c r="I512" s="26">
        <v>0</v>
      </c>
      <c r="J512" s="20">
        <f t="shared" si="7"/>
        <v>13165456.172794098</v>
      </c>
      <c r="K512" s="21" t="str">
        <f>VLOOKUP(C512,'[1]SHU 2023'!C$9:K$719,9,0)</f>
        <v>AKTIF</v>
      </c>
    </row>
    <row r="513" spans="1:11" x14ac:dyDescent="0.35">
      <c r="A513" s="22">
        <v>505</v>
      </c>
      <c r="B513" s="23" t="s">
        <v>1102</v>
      </c>
      <c r="C513" s="24" t="s">
        <v>1103</v>
      </c>
      <c r="D513" s="25" t="s">
        <v>131</v>
      </c>
      <c r="E513" s="26">
        <v>5000</v>
      </c>
      <c r="F513" s="26">
        <v>11825000</v>
      </c>
      <c r="G513" s="26">
        <v>675000</v>
      </c>
      <c r="H513" s="26">
        <v>1259624.6487126967</v>
      </c>
      <c r="I513" s="26">
        <v>0</v>
      </c>
      <c r="J513" s="20">
        <f t="shared" si="7"/>
        <v>13764624.648712697</v>
      </c>
      <c r="K513" s="21" t="str">
        <f>VLOOKUP(C513,'[1]SHU 2023'!C$9:K$719,9,0)</f>
        <v>AKTIF</v>
      </c>
    </row>
    <row r="514" spans="1:11" x14ac:dyDescent="0.35">
      <c r="A514" s="22">
        <v>506</v>
      </c>
      <c r="B514" s="23" t="s">
        <v>1104</v>
      </c>
      <c r="C514" s="24" t="s">
        <v>1105</v>
      </c>
      <c r="D514" s="25" t="s">
        <v>139</v>
      </c>
      <c r="E514" s="26">
        <v>0</v>
      </c>
      <c r="F514" s="26">
        <v>0</v>
      </c>
      <c r="G514" s="26">
        <v>0</v>
      </c>
      <c r="H514" s="26">
        <v>245018</v>
      </c>
      <c r="I514" s="26">
        <v>0</v>
      </c>
      <c r="J514" s="20">
        <f t="shared" si="7"/>
        <v>245018</v>
      </c>
      <c r="K514" s="21" t="str">
        <f>VLOOKUP(C514,'[1]SHU 2023'!C$9:K$719,9,0)</f>
        <v>PASIF</v>
      </c>
    </row>
    <row r="515" spans="1:11" x14ac:dyDescent="0.35">
      <c r="A515" s="22">
        <v>507</v>
      </c>
      <c r="B515" s="23" t="s">
        <v>1106</v>
      </c>
      <c r="C515" s="24" t="s">
        <v>1107</v>
      </c>
      <c r="D515" s="25" t="s">
        <v>519</v>
      </c>
      <c r="E515" s="26">
        <v>0</v>
      </c>
      <c r="F515" s="26">
        <v>500000</v>
      </c>
      <c r="G515" s="26">
        <v>0</v>
      </c>
      <c r="H515" s="26">
        <v>865938.87464304222</v>
      </c>
      <c r="I515" s="26">
        <v>0</v>
      </c>
      <c r="J515" s="20">
        <f t="shared" si="7"/>
        <v>1365938.8746430422</v>
      </c>
      <c r="K515" s="21" t="str">
        <f>VLOOKUP(C515,'[1]SHU 2023'!C$9:K$719,9,0)</f>
        <v>PASIF</v>
      </c>
    </row>
    <row r="516" spans="1:11" x14ac:dyDescent="0.35">
      <c r="A516" s="22">
        <v>508</v>
      </c>
      <c r="B516" s="23" t="s">
        <v>1108</v>
      </c>
      <c r="C516" s="24" t="s">
        <v>1109</v>
      </c>
      <c r="D516" s="25" t="s">
        <v>747</v>
      </c>
      <c r="E516" s="26">
        <v>0</v>
      </c>
      <c r="F516" s="26">
        <v>0</v>
      </c>
      <c r="G516" s="26">
        <v>0</v>
      </c>
      <c r="H516" s="26">
        <v>318695.27544689225</v>
      </c>
      <c r="I516" s="26">
        <v>0</v>
      </c>
      <c r="J516" s="20">
        <f t="shared" si="7"/>
        <v>318695.27544689225</v>
      </c>
      <c r="K516" s="21" t="s">
        <v>49</v>
      </c>
    </row>
    <row r="517" spans="1:11" x14ac:dyDescent="0.35">
      <c r="A517" s="22">
        <v>509</v>
      </c>
      <c r="B517" s="23" t="s">
        <v>1110</v>
      </c>
      <c r="C517" s="24" t="s">
        <v>1111</v>
      </c>
      <c r="D517" s="25" t="s">
        <v>747</v>
      </c>
      <c r="E517" s="26">
        <v>0</v>
      </c>
      <c r="F517" s="26">
        <v>0</v>
      </c>
      <c r="G517" s="26">
        <v>0</v>
      </c>
      <c r="H517" s="26">
        <v>167765.21136487334</v>
      </c>
      <c r="I517" s="26">
        <v>0</v>
      </c>
      <c r="J517" s="20">
        <f t="shared" si="7"/>
        <v>167765.21136487334</v>
      </c>
      <c r="K517" s="21" t="str">
        <f>VLOOKUP(C517,'[1]SHU 2023'!C$9:K$719,9,0)</f>
        <v>BUKAN ANGGOTA</v>
      </c>
    </row>
    <row r="518" spans="1:11" x14ac:dyDescent="0.35">
      <c r="A518" s="22">
        <v>510</v>
      </c>
      <c r="B518" s="23" t="s">
        <v>1112</v>
      </c>
      <c r="C518" s="24" t="s">
        <v>1113</v>
      </c>
      <c r="D518" s="25" t="s">
        <v>42</v>
      </c>
      <c r="E518" s="26">
        <v>5000</v>
      </c>
      <c r="F518" s="26">
        <v>100000</v>
      </c>
      <c r="G518" s="26">
        <v>0</v>
      </c>
      <c r="H518" s="26">
        <v>57346.817295413013</v>
      </c>
      <c r="I518" s="26">
        <v>0</v>
      </c>
      <c r="J518" s="20">
        <f t="shared" si="7"/>
        <v>162346.817295413</v>
      </c>
      <c r="K518" s="21" t="str">
        <f>VLOOKUP(C518,'[1]SHU 2023'!C$9:K$719,9,0)</f>
        <v>PASIF</v>
      </c>
    </row>
    <row r="519" spans="1:11" x14ac:dyDescent="0.35">
      <c r="A519" s="22">
        <v>511</v>
      </c>
      <c r="B519" s="23" t="s">
        <v>1114</v>
      </c>
      <c r="C519" s="24" t="s">
        <v>1115</v>
      </c>
      <c r="D519" s="25" t="s">
        <v>77</v>
      </c>
      <c r="E519" s="26">
        <v>5000</v>
      </c>
      <c r="F519" s="26">
        <v>17470000</v>
      </c>
      <c r="G519" s="26">
        <v>0</v>
      </c>
      <c r="H519" s="26">
        <v>2771618.088038831</v>
      </c>
      <c r="I519" s="26">
        <v>0</v>
      </c>
      <c r="J519" s="20">
        <f t="shared" si="7"/>
        <v>20246618.088038832</v>
      </c>
      <c r="K519" s="21" t="str">
        <f>VLOOKUP(C519,'[1]SHU 2023'!C$9:K$719,9,0)</f>
        <v>AKTIF</v>
      </c>
    </row>
    <row r="520" spans="1:11" x14ac:dyDescent="0.35">
      <c r="A520" s="22">
        <v>512</v>
      </c>
      <c r="B520" s="23" t="s">
        <v>1116</v>
      </c>
      <c r="C520" s="24" t="s">
        <v>1117</v>
      </c>
      <c r="D520" s="25" t="s">
        <v>66</v>
      </c>
      <c r="E520" s="26">
        <v>5000</v>
      </c>
      <c r="F520" s="26">
        <v>26545000</v>
      </c>
      <c r="G520" s="26">
        <v>450000</v>
      </c>
      <c r="H520" s="26">
        <v>1110078.2375271476</v>
      </c>
      <c r="I520" s="26">
        <v>0</v>
      </c>
      <c r="J520" s="20">
        <f t="shared" si="7"/>
        <v>28110078.237527147</v>
      </c>
      <c r="K520" s="21" t="str">
        <f>VLOOKUP(C520,'[1]SHU 2023'!C$9:K$719,9,0)</f>
        <v>AKTIF</v>
      </c>
    </row>
    <row r="521" spans="1:11" x14ac:dyDescent="0.35">
      <c r="A521" s="22">
        <v>513</v>
      </c>
      <c r="B521" s="23" t="s">
        <v>1118</v>
      </c>
      <c r="C521" s="24" t="s">
        <v>1119</v>
      </c>
      <c r="D521" s="25" t="s">
        <v>42</v>
      </c>
      <c r="E521" s="26">
        <v>0</v>
      </c>
      <c r="F521" s="26">
        <v>0</v>
      </c>
      <c r="G521" s="26">
        <v>0</v>
      </c>
      <c r="H521" s="26">
        <v>62323.460095112678</v>
      </c>
      <c r="I521" s="26">
        <v>0</v>
      </c>
      <c r="J521" s="20">
        <f t="shared" ref="J521:J584" si="8">E521+F521+G521+H521</f>
        <v>62323.460095112678</v>
      </c>
      <c r="K521" s="21" t="str">
        <f>VLOOKUP(C521,'[1]SHU 2023'!C$9:K$719,9,0)</f>
        <v>PASIF</v>
      </c>
    </row>
    <row r="522" spans="1:11" x14ac:dyDescent="0.35">
      <c r="A522" s="22">
        <v>514</v>
      </c>
      <c r="B522" s="23" t="s">
        <v>1120</v>
      </c>
      <c r="C522" s="24" t="s">
        <v>1121</v>
      </c>
      <c r="D522" s="25" t="s">
        <v>131</v>
      </c>
      <c r="E522" s="26">
        <v>5000</v>
      </c>
      <c r="F522" s="26">
        <v>17845000</v>
      </c>
      <c r="G522" s="26">
        <v>850000</v>
      </c>
      <c r="H522" s="26">
        <v>1530756.8606024743</v>
      </c>
      <c r="I522" s="26">
        <v>0</v>
      </c>
      <c r="J522" s="20">
        <f t="shared" si="8"/>
        <v>20230756.860602476</v>
      </c>
      <c r="K522" s="21" t="str">
        <f>VLOOKUP(C522,'[1]SHU 2023'!C$9:K$719,9,0)</f>
        <v>AKTIF</v>
      </c>
    </row>
    <row r="523" spans="1:11" x14ac:dyDescent="0.35">
      <c r="A523" s="22">
        <v>515</v>
      </c>
      <c r="B523" s="23" t="s">
        <v>1122</v>
      </c>
      <c r="C523" s="24" t="s">
        <v>1123</v>
      </c>
      <c r="D523" s="25" t="s">
        <v>110</v>
      </c>
      <c r="E523" s="26">
        <v>5000</v>
      </c>
      <c r="F523" s="26">
        <v>18220000</v>
      </c>
      <c r="G523" s="26">
        <v>990000</v>
      </c>
      <c r="H523" s="26">
        <v>1409310.4872122211</v>
      </c>
      <c r="I523" s="26">
        <v>0</v>
      </c>
      <c r="J523" s="20">
        <f t="shared" si="8"/>
        <v>20624310.487212222</v>
      </c>
      <c r="K523" s="21" t="str">
        <f>VLOOKUP(C523,'[1]SHU 2023'!C$9:K$719,9,0)</f>
        <v>AKTIF</v>
      </c>
    </row>
    <row r="524" spans="1:11" x14ac:dyDescent="0.35">
      <c r="A524" s="22">
        <v>516</v>
      </c>
      <c r="B524" s="23" t="s">
        <v>1124</v>
      </c>
      <c r="C524" s="24" t="s">
        <v>1125</v>
      </c>
      <c r="D524" s="25" t="s">
        <v>298</v>
      </c>
      <c r="E524" s="26">
        <v>5000</v>
      </c>
      <c r="F524" s="26">
        <v>23220000</v>
      </c>
      <c r="G524" s="26">
        <v>100000</v>
      </c>
      <c r="H524" s="26">
        <v>1464094.9330363332</v>
      </c>
      <c r="I524" s="26">
        <v>0</v>
      </c>
      <c r="J524" s="20">
        <f t="shared" si="8"/>
        <v>24789094.933036335</v>
      </c>
      <c r="K524" s="21" t="str">
        <f>VLOOKUP(C524,'[1]SHU 2023'!C$9:K$719,9,0)</f>
        <v>AKTIF</v>
      </c>
    </row>
    <row r="525" spans="1:11" x14ac:dyDescent="0.35">
      <c r="A525" s="22">
        <v>517</v>
      </c>
      <c r="B525" s="23" t="s">
        <v>1126</v>
      </c>
      <c r="C525" s="24" t="s">
        <v>1127</v>
      </c>
      <c r="D525" s="25" t="s">
        <v>66</v>
      </c>
      <c r="E525" s="26">
        <v>5000</v>
      </c>
      <c r="F525" s="26">
        <v>25845000</v>
      </c>
      <c r="G525" s="26">
        <v>0</v>
      </c>
      <c r="H525" s="26">
        <v>1485330.0755263793</v>
      </c>
      <c r="I525" s="26">
        <v>0</v>
      </c>
      <c r="J525" s="20">
        <f t="shared" si="8"/>
        <v>27335330.075526379</v>
      </c>
      <c r="K525" s="21" t="str">
        <f>VLOOKUP(C525,'[1]SHU 2023'!C$9:K$719,9,0)</f>
        <v>AKTIF</v>
      </c>
    </row>
    <row r="526" spans="1:11" x14ac:dyDescent="0.35">
      <c r="A526" s="22">
        <v>518</v>
      </c>
      <c r="B526" s="23" t="s">
        <v>1128</v>
      </c>
      <c r="C526" s="24" t="s">
        <v>1129</v>
      </c>
      <c r="D526" s="25" t="s">
        <v>25</v>
      </c>
      <c r="E526" s="26">
        <v>5000</v>
      </c>
      <c r="F526" s="26">
        <v>13795000</v>
      </c>
      <c r="G526" s="26">
        <v>0</v>
      </c>
      <c r="H526" s="26">
        <v>1112625.7526513687</v>
      </c>
      <c r="I526" s="26">
        <v>0</v>
      </c>
      <c r="J526" s="20">
        <f t="shared" si="8"/>
        <v>14912625.752651369</v>
      </c>
      <c r="K526" s="21" t="str">
        <f>VLOOKUP(C526,'[1]SHU 2023'!C$9:K$719,9,0)</f>
        <v>AKTIF</v>
      </c>
    </row>
    <row r="527" spans="1:11" x14ac:dyDescent="0.35">
      <c r="A527" s="22">
        <v>519</v>
      </c>
      <c r="B527" s="23" t="s">
        <v>1130</v>
      </c>
      <c r="C527" s="24" t="s">
        <v>1131</v>
      </c>
      <c r="D527" s="25" t="s">
        <v>25</v>
      </c>
      <c r="E527" s="26">
        <v>5000</v>
      </c>
      <c r="F527" s="26">
        <v>13795000</v>
      </c>
      <c r="G527" s="26">
        <v>0</v>
      </c>
      <c r="H527" s="26">
        <v>1112625.7526513687</v>
      </c>
      <c r="I527" s="26">
        <v>0</v>
      </c>
      <c r="J527" s="20">
        <f t="shared" si="8"/>
        <v>14912625.752651369</v>
      </c>
      <c r="K527" s="21" t="str">
        <f>VLOOKUP(C527,'[1]SHU 2023'!C$9:K$719,9,0)</f>
        <v>AKTIF</v>
      </c>
    </row>
    <row r="528" spans="1:11" x14ac:dyDescent="0.35">
      <c r="A528" s="22">
        <v>520</v>
      </c>
      <c r="B528" s="23" t="s">
        <v>1132</v>
      </c>
      <c r="C528" s="24" t="s">
        <v>1133</v>
      </c>
      <c r="D528" s="25" t="s">
        <v>193</v>
      </c>
      <c r="E528" s="26">
        <v>5000</v>
      </c>
      <c r="F528" s="26">
        <v>25595000</v>
      </c>
      <c r="G528" s="26">
        <v>1800000</v>
      </c>
      <c r="H528" s="26">
        <v>1030094.822795357</v>
      </c>
      <c r="I528" s="26">
        <v>0</v>
      </c>
      <c r="J528" s="20">
        <f t="shared" si="8"/>
        <v>28430094.822795358</v>
      </c>
      <c r="K528" s="21" t="str">
        <f>VLOOKUP(C528,'[1]SHU 2023'!C$9:K$719,9,0)</f>
        <v>AKTIF</v>
      </c>
    </row>
    <row r="529" spans="1:11" x14ac:dyDescent="0.35">
      <c r="A529" s="22">
        <v>521</v>
      </c>
      <c r="B529" s="23" t="s">
        <v>1134</v>
      </c>
      <c r="C529" s="27" t="s">
        <v>1135</v>
      </c>
      <c r="D529" s="25" t="s">
        <v>118</v>
      </c>
      <c r="E529" s="26">
        <v>0</v>
      </c>
      <c r="F529" s="26">
        <v>13800000</v>
      </c>
      <c r="G529" s="26">
        <v>0</v>
      </c>
      <c r="H529" s="26">
        <v>1112625.7526513687</v>
      </c>
      <c r="I529" s="26">
        <v>0</v>
      </c>
      <c r="J529" s="20">
        <f t="shared" si="8"/>
        <v>14912625.752651369</v>
      </c>
      <c r="K529" s="21" t="str">
        <f>VLOOKUP(C529,'[1]SHU 2023'!C$9:K$719,9,0)</f>
        <v>AKTIF</v>
      </c>
    </row>
    <row r="530" spans="1:11" x14ac:dyDescent="0.35">
      <c r="A530" s="22">
        <v>522</v>
      </c>
      <c r="B530" s="23" t="s">
        <v>1136</v>
      </c>
      <c r="C530" s="24" t="s">
        <v>1137</v>
      </c>
      <c r="D530" s="25" t="s">
        <v>89</v>
      </c>
      <c r="E530" s="26">
        <v>0</v>
      </c>
      <c r="F530" s="26">
        <v>26450000</v>
      </c>
      <c r="G530" s="26">
        <v>150000</v>
      </c>
      <c r="H530" s="26">
        <v>3272585.0904499884</v>
      </c>
      <c r="I530" s="26">
        <v>0</v>
      </c>
      <c r="J530" s="20">
        <f t="shared" si="8"/>
        <v>29872585.090449989</v>
      </c>
      <c r="K530" s="21" t="str">
        <f>VLOOKUP(C530,'[1]SHU 2023'!C$9:K$719,9,0)</f>
        <v>AKTIF</v>
      </c>
    </row>
    <row r="531" spans="1:11" x14ac:dyDescent="0.35">
      <c r="A531" s="22">
        <v>523</v>
      </c>
      <c r="B531" s="23" t="s">
        <v>1138</v>
      </c>
      <c r="C531" s="24" t="s">
        <v>1139</v>
      </c>
      <c r="D531" s="25" t="s">
        <v>42</v>
      </c>
      <c r="E531" s="26">
        <v>5000</v>
      </c>
      <c r="F531" s="26">
        <v>2595000</v>
      </c>
      <c r="G531" s="26">
        <v>0</v>
      </c>
      <c r="H531" s="26">
        <v>861895.0231200722</v>
      </c>
      <c r="I531" s="26">
        <v>0</v>
      </c>
      <c r="J531" s="20">
        <f t="shared" si="8"/>
        <v>3461895.0231200722</v>
      </c>
      <c r="K531" s="21" t="str">
        <f>VLOOKUP(C531,'[1]SHU 2023'!C$9:K$719,9,0)</f>
        <v>PASIF</v>
      </c>
    </row>
    <row r="532" spans="1:11" x14ac:dyDescent="0.35">
      <c r="A532" s="22">
        <v>524</v>
      </c>
      <c r="B532" s="23" t="s">
        <v>1140</v>
      </c>
      <c r="C532" s="24" t="s">
        <v>1141</v>
      </c>
      <c r="D532" s="25" t="s">
        <v>42</v>
      </c>
      <c r="E532" s="26">
        <v>0</v>
      </c>
      <c r="F532" s="26">
        <v>0</v>
      </c>
      <c r="G532" s="26">
        <v>0</v>
      </c>
      <c r="H532" s="26">
        <v>146700.01305464981</v>
      </c>
      <c r="I532" s="26">
        <v>0</v>
      </c>
      <c r="J532" s="20">
        <f t="shared" si="8"/>
        <v>146700.01305464981</v>
      </c>
      <c r="K532" s="21" t="str">
        <f>VLOOKUP(C532,'[1]SHU 2023'!C$9:K$719,9,0)</f>
        <v>PASIF</v>
      </c>
    </row>
    <row r="533" spans="1:11" x14ac:dyDescent="0.35">
      <c r="A533" s="22">
        <v>526</v>
      </c>
      <c r="B533" s="23" t="s">
        <v>1142</v>
      </c>
      <c r="C533" s="24" t="s">
        <v>1143</v>
      </c>
      <c r="D533" s="25" t="s">
        <v>298</v>
      </c>
      <c r="E533" s="26">
        <v>0</v>
      </c>
      <c r="F533" s="26">
        <v>0</v>
      </c>
      <c r="G533" s="26">
        <v>0</v>
      </c>
      <c r="H533" s="26">
        <v>31160.00835030392</v>
      </c>
      <c r="I533" s="26">
        <v>0</v>
      </c>
      <c r="J533" s="20">
        <f t="shared" si="8"/>
        <v>31160.00835030392</v>
      </c>
      <c r="K533" s="21" t="str">
        <f>VLOOKUP(C533,'[1]SHU 2023'!C$9:K$719,9,0)</f>
        <v>PASIF</v>
      </c>
    </row>
    <row r="534" spans="1:11" x14ac:dyDescent="0.35">
      <c r="A534" s="22">
        <v>527</v>
      </c>
      <c r="B534" s="23" t="s">
        <v>1144</v>
      </c>
      <c r="C534" s="24" t="s">
        <v>1145</v>
      </c>
      <c r="D534" s="25" t="s">
        <v>693</v>
      </c>
      <c r="E534" s="26">
        <v>0</v>
      </c>
      <c r="F534" s="26">
        <v>150000</v>
      </c>
      <c r="G534" s="26">
        <v>0</v>
      </c>
      <c r="H534" s="26">
        <v>44689.964955540723</v>
      </c>
      <c r="I534" s="26">
        <v>0</v>
      </c>
      <c r="J534" s="20">
        <f t="shared" si="8"/>
        <v>194689.96495554072</v>
      </c>
      <c r="K534" s="21" t="str">
        <f>VLOOKUP(C534,'[1]SHU 2023'!C$9:K$719,9,0)</f>
        <v>PASIF</v>
      </c>
    </row>
    <row r="535" spans="1:11" x14ac:dyDescent="0.35">
      <c r="A535" s="22">
        <v>528</v>
      </c>
      <c r="B535" s="23" t="s">
        <v>1146</v>
      </c>
      <c r="C535" s="24" t="s">
        <v>1147</v>
      </c>
      <c r="D535" s="25" t="s">
        <v>54</v>
      </c>
      <c r="E535" s="26">
        <v>0</v>
      </c>
      <c r="F535" s="26">
        <v>0</v>
      </c>
      <c r="G535" s="26">
        <v>0</v>
      </c>
      <c r="H535" s="26">
        <v>92320</v>
      </c>
      <c r="I535" s="26">
        <v>0</v>
      </c>
      <c r="J535" s="20">
        <f t="shared" si="8"/>
        <v>92320</v>
      </c>
      <c r="K535" s="21" t="str">
        <f>VLOOKUP(C535,'[1]SHU 2023'!C$9:K$719,9,0)</f>
        <v>PASIF</v>
      </c>
    </row>
    <row r="536" spans="1:11" x14ac:dyDescent="0.35">
      <c r="A536" s="22">
        <v>529</v>
      </c>
      <c r="B536" s="23" t="s">
        <v>1148</v>
      </c>
      <c r="C536" s="24" t="s">
        <v>1149</v>
      </c>
      <c r="D536" s="25" t="s">
        <v>92</v>
      </c>
      <c r="E536" s="26">
        <v>5000</v>
      </c>
      <c r="F536" s="26">
        <v>26295000</v>
      </c>
      <c r="G536" s="26">
        <v>0</v>
      </c>
      <c r="H536" s="26">
        <v>1191615.5966218824</v>
      </c>
      <c r="I536" s="26">
        <v>0</v>
      </c>
      <c r="J536" s="20">
        <f t="shared" si="8"/>
        <v>27491615.596621882</v>
      </c>
      <c r="K536" s="21" t="str">
        <f>VLOOKUP(C536,'[1]SHU 2023'!C$9:K$719,9,0)</f>
        <v>AKTIF</v>
      </c>
    </row>
    <row r="537" spans="1:11" x14ac:dyDescent="0.35">
      <c r="A537" s="22">
        <v>530</v>
      </c>
      <c r="B537" s="23" t="s">
        <v>1150</v>
      </c>
      <c r="C537" s="24" t="s">
        <v>1151</v>
      </c>
      <c r="D537" s="25" t="s">
        <v>295</v>
      </c>
      <c r="E537" s="26">
        <v>0</v>
      </c>
      <c r="F537" s="26">
        <v>0</v>
      </c>
      <c r="G537" s="26">
        <v>0</v>
      </c>
      <c r="H537" s="26">
        <v>111632.76175121497</v>
      </c>
      <c r="I537" s="26">
        <v>0</v>
      </c>
      <c r="J537" s="20">
        <f t="shared" si="8"/>
        <v>111632.76175121497</v>
      </c>
      <c r="K537" s="21" t="str">
        <f>VLOOKUP(C537,'[1]SHU 2023'!C$9:K$719,9,0)</f>
        <v>PASIF</v>
      </c>
    </row>
    <row r="538" spans="1:11" x14ac:dyDescent="0.35">
      <c r="A538" s="22">
        <v>531</v>
      </c>
      <c r="B538" s="23" t="s">
        <v>1152</v>
      </c>
      <c r="C538" s="24" t="s">
        <v>1153</v>
      </c>
      <c r="D538" s="25" t="s">
        <v>31</v>
      </c>
      <c r="E538" s="26">
        <v>5000</v>
      </c>
      <c r="F538" s="26">
        <v>15145000</v>
      </c>
      <c r="G538" s="26">
        <v>1050000</v>
      </c>
      <c r="H538" s="26">
        <v>1300150.2959413345</v>
      </c>
      <c r="I538" s="26">
        <v>0</v>
      </c>
      <c r="J538" s="20">
        <f t="shared" si="8"/>
        <v>17500150.295941334</v>
      </c>
      <c r="K538" s="21" t="str">
        <f>VLOOKUP(C538,'[1]SHU 2023'!C$9:K$719,9,0)</f>
        <v>AKTIF</v>
      </c>
    </row>
    <row r="539" spans="1:11" x14ac:dyDescent="0.35">
      <c r="A539" s="22">
        <v>532</v>
      </c>
      <c r="B539" s="23" t="s">
        <v>1154</v>
      </c>
      <c r="C539" s="24" t="s">
        <v>1155</v>
      </c>
      <c r="D539" s="25" t="s">
        <v>313</v>
      </c>
      <c r="E539" s="26">
        <v>5000</v>
      </c>
      <c r="F539" s="26">
        <v>12995000</v>
      </c>
      <c r="G539" s="26">
        <v>250000</v>
      </c>
      <c r="H539" s="26">
        <v>1250900.6265344536</v>
      </c>
      <c r="I539" s="26">
        <v>0</v>
      </c>
      <c r="J539" s="20">
        <f t="shared" si="8"/>
        <v>14500900.626534455</v>
      </c>
      <c r="K539" s="21" t="str">
        <f>VLOOKUP(C539,'[1]SHU 2023'!C$9:K$719,9,0)</f>
        <v>AKTIF</v>
      </c>
    </row>
    <row r="540" spans="1:11" x14ac:dyDescent="0.35">
      <c r="A540" s="22">
        <v>533</v>
      </c>
      <c r="B540" s="23" t="s">
        <v>1156</v>
      </c>
      <c r="C540" s="24" t="s">
        <v>1157</v>
      </c>
      <c r="D540" s="25" t="s">
        <v>25</v>
      </c>
      <c r="E540" s="26">
        <v>5000</v>
      </c>
      <c r="F540" s="26">
        <v>11745000</v>
      </c>
      <c r="G540" s="26">
        <v>0</v>
      </c>
      <c r="H540" s="26">
        <v>1282181.4586389437</v>
      </c>
      <c r="I540" s="26">
        <v>0</v>
      </c>
      <c r="J540" s="20">
        <f t="shared" si="8"/>
        <v>13032181.458638944</v>
      </c>
      <c r="K540" s="21" t="str">
        <f>VLOOKUP(C540,'[1]SHU 2023'!C$9:K$719,9,0)</f>
        <v>AKTIF</v>
      </c>
    </row>
    <row r="541" spans="1:11" x14ac:dyDescent="0.35">
      <c r="A541" s="22">
        <v>534</v>
      </c>
      <c r="B541" s="23" t="s">
        <v>1158</v>
      </c>
      <c r="C541" s="24" t="s">
        <v>1159</v>
      </c>
      <c r="D541" s="25" t="s">
        <v>298</v>
      </c>
      <c r="E541" s="26">
        <v>5000</v>
      </c>
      <c r="F541" s="26">
        <v>15095000</v>
      </c>
      <c r="G541" s="26">
        <v>0</v>
      </c>
      <c r="H541" s="26">
        <v>949512.70699558069</v>
      </c>
      <c r="I541" s="26">
        <v>0</v>
      </c>
      <c r="J541" s="20">
        <f t="shared" si="8"/>
        <v>16049512.70699558</v>
      </c>
      <c r="K541" s="21" t="str">
        <f>VLOOKUP(C541,'[1]SHU 2023'!C$9:K$719,9,0)</f>
        <v>AKTIF</v>
      </c>
    </row>
    <row r="542" spans="1:11" x14ac:dyDescent="0.35">
      <c r="A542" s="22">
        <v>535</v>
      </c>
      <c r="B542" s="23" t="s">
        <v>1160</v>
      </c>
      <c r="C542" s="24" t="s">
        <v>1161</v>
      </c>
      <c r="D542" s="25" t="s">
        <v>313</v>
      </c>
      <c r="E542" s="26">
        <v>0</v>
      </c>
      <c r="F542" s="26">
        <v>0</v>
      </c>
      <c r="G542" s="26">
        <v>0</v>
      </c>
      <c r="H542" s="26">
        <v>239963.32185857336</v>
      </c>
      <c r="I542" s="26">
        <v>0</v>
      </c>
      <c r="J542" s="20">
        <f t="shared" si="8"/>
        <v>239963.32185857336</v>
      </c>
      <c r="K542" s="21" t="str">
        <f>VLOOKUP(C542,'[1]SHU 2023'!C$9:K$719,9,0)</f>
        <v>PASIF</v>
      </c>
    </row>
    <row r="543" spans="1:11" x14ac:dyDescent="0.35">
      <c r="A543" s="22">
        <v>536</v>
      </c>
      <c r="B543" s="23" t="s">
        <v>1162</v>
      </c>
      <c r="C543" s="24" t="s">
        <v>1163</v>
      </c>
      <c r="D543" s="25" t="s">
        <v>131</v>
      </c>
      <c r="E543" s="26">
        <v>0</v>
      </c>
      <c r="F543" s="26">
        <v>9900000</v>
      </c>
      <c r="G543" s="26">
        <v>280000</v>
      </c>
      <c r="H543" s="26">
        <v>821124.72161621368</v>
      </c>
      <c r="I543" s="26">
        <v>0</v>
      </c>
      <c r="J543" s="20">
        <f t="shared" si="8"/>
        <v>11001124.721616214</v>
      </c>
      <c r="K543" s="21" t="str">
        <f>VLOOKUP(C543,'[1]SHU 2023'!C$9:K$719,9,0)</f>
        <v>AKTIF</v>
      </c>
    </row>
    <row r="544" spans="1:11" x14ac:dyDescent="0.35">
      <c r="A544" s="22">
        <v>537</v>
      </c>
      <c r="B544" s="23" t="s">
        <v>1164</v>
      </c>
      <c r="C544" s="24" t="s">
        <v>1165</v>
      </c>
      <c r="D544" s="25" t="s">
        <v>747</v>
      </c>
      <c r="E544" s="26">
        <v>0</v>
      </c>
      <c r="F544" s="26">
        <v>10775000</v>
      </c>
      <c r="G544" s="26">
        <v>20000</v>
      </c>
      <c r="H544" s="26">
        <v>1162941.1507626283</v>
      </c>
      <c r="I544" s="26">
        <v>0</v>
      </c>
      <c r="J544" s="20">
        <f t="shared" si="8"/>
        <v>11957941.150762629</v>
      </c>
      <c r="K544" s="21" t="str">
        <f>VLOOKUP(C544,'[1]SHU 2023'!C$9:K$719,9,0)</f>
        <v>AKTIF</v>
      </c>
    </row>
    <row r="545" spans="1:11" x14ac:dyDescent="0.35">
      <c r="A545" s="22">
        <v>538</v>
      </c>
      <c r="B545" s="23" t="s">
        <v>1166</v>
      </c>
      <c r="C545" s="24" t="s">
        <v>1167</v>
      </c>
      <c r="D545" s="25" t="s">
        <v>107</v>
      </c>
      <c r="E545" s="26">
        <v>0</v>
      </c>
      <c r="F545" s="26">
        <v>0</v>
      </c>
      <c r="G545" s="26">
        <v>0</v>
      </c>
      <c r="H545" s="26">
        <v>56473.561187360669</v>
      </c>
      <c r="I545" s="26">
        <v>0</v>
      </c>
      <c r="J545" s="20">
        <f t="shared" si="8"/>
        <v>56473.561187360669</v>
      </c>
      <c r="K545" s="21" t="str">
        <f>VLOOKUP(C545,'[1]SHU 2023'!C$9:K$719,9,0)</f>
        <v>PASIF</v>
      </c>
    </row>
    <row r="546" spans="1:11" x14ac:dyDescent="0.35">
      <c r="A546" s="22">
        <v>539</v>
      </c>
      <c r="B546" s="23" t="s">
        <v>1168</v>
      </c>
      <c r="C546" s="24" t="s">
        <v>1169</v>
      </c>
      <c r="D546" s="25" t="s">
        <v>131</v>
      </c>
      <c r="E546" s="26">
        <v>0</v>
      </c>
      <c r="F546" s="26">
        <v>37100000</v>
      </c>
      <c r="G546" s="26">
        <v>400000</v>
      </c>
      <c r="H546" s="26">
        <v>1276388.2674934873</v>
      </c>
      <c r="I546" s="26">
        <v>0</v>
      </c>
      <c r="J546" s="20">
        <f t="shared" si="8"/>
        <v>38776388.267493486</v>
      </c>
      <c r="K546" s="21" t="str">
        <f>VLOOKUP(C546,'[1]SHU 2023'!C$9:K$719,9,0)</f>
        <v>AKTIF</v>
      </c>
    </row>
    <row r="547" spans="1:11" x14ac:dyDescent="0.35">
      <c r="A547" s="22">
        <v>540</v>
      </c>
      <c r="B547" s="23" t="s">
        <v>1170</v>
      </c>
      <c r="C547" s="24" t="s">
        <v>1171</v>
      </c>
      <c r="D547" s="25" t="s">
        <v>131</v>
      </c>
      <c r="E547" s="26">
        <v>50000</v>
      </c>
      <c r="F547" s="26">
        <v>15250000</v>
      </c>
      <c r="G547" s="26">
        <v>1950000</v>
      </c>
      <c r="H547" s="26">
        <v>1199789.9813257279</v>
      </c>
      <c r="I547" s="26">
        <v>0</v>
      </c>
      <c r="J547" s="20">
        <f t="shared" si="8"/>
        <v>18449789.981325727</v>
      </c>
      <c r="K547" s="21" t="str">
        <f>VLOOKUP(C547,'[1]SHU 2023'!C$9:K$719,9,0)</f>
        <v>AKTIF</v>
      </c>
    </row>
    <row r="548" spans="1:11" x14ac:dyDescent="0.35">
      <c r="A548" s="22">
        <v>541</v>
      </c>
      <c r="B548" s="23" t="s">
        <v>1172</v>
      </c>
      <c r="C548" s="24" t="s">
        <v>1173</v>
      </c>
      <c r="D548" s="25" t="s">
        <v>369</v>
      </c>
      <c r="E548" s="26">
        <v>0</v>
      </c>
      <c r="F548" s="26">
        <v>15975000</v>
      </c>
      <c r="G548" s="26">
        <v>0</v>
      </c>
      <c r="H548" s="26">
        <v>1229173.6788679278</v>
      </c>
      <c r="I548" s="26">
        <v>0</v>
      </c>
      <c r="J548" s="20">
        <f t="shared" si="8"/>
        <v>17204173.678867929</v>
      </c>
      <c r="K548" s="21" t="str">
        <f>VLOOKUP(C548,'[1]SHU 2023'!C$9:K$719,9,0)</f>
        <v>AKTIF</v>
      </c>
    </row>
    <row r="549" spans="1:11" x14ac:dyDescent="0.35">
      <c r="A549" s="22">
        <v>542</v>
      </c>
      <c r="B549" s="23" t="s">
        <v>1174</v>
      </c>
      <c r="C549" s="24" t="s">
        <v>1175</v>
      </c>
      <c r="D549" s="25" t="s">
        <v>290</v>
      </c>
      <c r="E549" s="26">
        <v>200000</v>
      </c>
      <c r="F549" s="26">
        <v>14350000</v>
      </c>
      <c r="G549" s="26">
        <v>850000</v>
      </c>
      <c r="H549" s="26">
        <v>1032467.9099472809</v>
      </c>
      <c r="I549" s="26">
        <v>0</v>
      </c>
      <c r="J549" s="20">
        <f t="shared" si="8"/>
        <v>16432467.909947282</v>
      </c>
      <c r="K549" s="21" t="str">
        <f>VLOOKUP(C549,'[1]SHU 2023'!C$9:K$719,9,0)</f>
        <v>AKTIF</v>
      </c>
    </row>
    <row r="550" spans="1:11" x14ac:dyDescent="0.35">
      <c r="A550" s="22">
        <v>543</v>
      </c>
      <c r="B550" s="23" t="s">
        <v>1176</v>
      </c>
      <c r="C550" s="24" t="s">
        <v>1177</v>
      </c>
      <c r="D550" s="25" t="s">
        <v>131</v>
      </c>
      <c r="E550" s="26">
        <v>0</v>
      </c>
      <c r="F550" s="26">
        <v>-100000</v>
      </c>
      <c r="G550" s="26">
        <v>0</v>
      </c>
      <c r="H550" s="26">
        <v>0.31274104944895953</v>
      </c>
      <c r="I550" s="26">
        <v>0</v>
      </c>
      <c r="J550" s="20">
        <f t="shared" si="8"/>
        <v>-99999.687258950551</v>
      </c>
      <c r="K550" s="21" t="str">
        <f>VLOOKUP(C550,'[1]SHU 2023'!C$9:K$719,9,0)</f>
        <v>BUKAN ANGGOTA</v>
      </c>
    </row>
    <row r="551" spans="1:11" x14ac:dyDescent="0.35">
      <c r="A551" s="22">
        <v>544</v>
      </c>
      <c r="B551" s="23" t="s">
        <v>1178</v>
      </c>
      <c r="C551" s="24" t="s">
        <v>1179</v>
      </c>
      <c r="D551" s="25" t="s">
        <v>131</v>
      </c>
      <c r="E551" s="26">
        <v>200000</v>
      </c>
      <c r="F551" s="26">
        <v>9900000</v>
      </c>
      <c r="G551" s="26">
        <v>0</v>
      </c>
      <c r="H551" s="26">
        <v>994699.21869353682</v>
      </c>
      <c r="I551" s="26">
        <v>0</v>
      </c>
      <c r="J551" s="20">
        <f t="shared" si="8"/>
        <v>11094699.218693538</v>
      </c>
      <c r="K551" s="21" t="str">
        <f>VLOOKUP(C551,'[1]SHU 2023'!C$9:K$719,9,0)</f>
        <v>AKTIF</v>
      </c>
    </row>
    <row r="552" spans="1:11" x14ac:dyDescent="0.35">
      <c r="A552" s="22">
        <v>545</v>
      </c>
      <c r="B552" s="23" t="s">
        <v>1180</v>
      </c>
      <c r="C552" s="24" t="s">
        <v>1181</v>
      </c>
      <c r="D552" s="25" t="s">
        <v>131</v>
      </c>
      <c r="E552" s="26">
        <v>0</v>
      </c>
      <c r="F552" s="26">
        <v>0</v>
      </c>
      <c r="G552" s="26">
        <v>0</v>
      </c>
      <c r="H552" s="26">
        <v>30305</v>
      </c>
      <c r="I552" s="26">
        <v>0</v>
      </c>
      <c r="J552" s="20">
        <f t="shared" si="8"/>
        <v>30305</v>
      </c>
      <c r="K552" s="21" t="str">
        <f>VLOOKUP(C552,'[1]SHU 2023'!C$9:K$719,9,0)</f>
        <v>PASIF</v>
      </c>
    </row>
    <row r="553" spans="1:11" x14ac:dyDescent="0.35">
      <c r="A553" s="22">
        <v>546</v>
      </c>
      <c r="B553" s="23" t="s">
        <v>1182</v>
      </c>
      <c r="C553" s="24" t="s">
        <v>1183</v>
      </c>
      <c r="D553" s="25" t="s">
        <v>131</v>
      </c>
      <c r="E553" s="26">
        <v>0</v>
      </c>
      <c r="F553" s="26">
        <v>100000</v>
      </c>
      <c r="G553" s="26">
        <v>0</v>
      </c>
      <c r="H553" s="26">
        <v>57100.68150480435</v>
      </c>
      <c r="I553" s="26">
        <v>0</v>
      </c>
      <c r="J553" s="20">
        <f t="shared" si="8"/>
        <v>157100.68150480435</v>
      </c>
      <c r="K553" s="21" t="str">
        <f>VLOOKUP(C553,'[1]SHU 2023'!C$9:K$719,9,0)</f>
        <v>PASIF</v>
      </c>
    </row>
    <row r="554" spans="1:11" x14ac:dyDescent="0.35">
      <c r="A554" s="22">
        <v>547</v>
      </c>
      <c r="B554" s="23" t="s">
        <v>1184</v>
      </c>
      <c r="C554" s="24" t="s">
        <v>1185</v>
      </c>
      <c r="D554" s="25" t="s">
        <v>164</v>
      </c>
      <c r="E554" s="26">
        <v>0</v>
      </c>
      <c r="F554" s="26">
        <v>0</v>
      </c>
      <c r="G554" s="26">
        <v>-100000</v>
      </c>
      <c r="H554" s="26">
        <v>154866.31274104945</v>
      </c>
      <c r="I554" s="26">
        <v>0</v>
      </c>
      <c r="J554" s="20">
        <f t="shared" si="8"/>
        <v>54866.312741049449</v>
      </c>
      <c r="K554" s="21" t="str">
        <f>VLOOKUP(C554,'[1]SHU 2023'!C$9:K$719,9,0)</f>
        <v>BUKAN ANGGOTA</v>
      </c>
    </row>
    <row r="555" spans="1:11" x14ac:dyDescent="0.35">
      <c r="A555" s="22">
        <v>548</v>
      </c>
      <c r="B555" s="23" t="s">
        <v>1186</v>
      </c>
      <c r="C555" s="24" t="s">
        <v>1187</v>
      </c>
      <c r="D555" s="25" t="s">
        <v>131</v>
      </c>
      <c r="E555" s="26">
        <v>200000</v>
      </c>
      <c r="F555" s="26">
        <v>9900000</v>
      </c>
      <c r="G555" s="26">
        <v>0</v>
      </c>
      <c r="H555" s="26">
        <v>994699.21869353682</v>
      </c>
      <c r="I555" s="26">
        <v>0</v>
      </c>
      <c r="J555" s="20">
        <f t="shared" si="8"/>
        <v>11094699.218693538</v>
      </c>
      <c r="K555" s="21" t="str">
        <f>VLOOKUP(C555,'[1]SHU 2023'!C$9:K$719,9,0)</f>
        <v>AKTIF</v>
      </c>
    </row>
    <row r="556" spans="1:11" x14ac:dyDescent="0.35">
      <c r="A556" s="22">
        <v>549</v>
      </c>
      <c r="B556" s="23" t="s">
        <v>1188</v>
      </c>
      <c r="C556" s="24" t="s">
        <v>1189</v>
      </c>
      <c r="D556" s="25" t="s">
        <v>298</v>
      </c>
      <c r="E556" s="26">
        <v>200000</v>
      </c>
      <c r="F556" s="26">
        <v>14150000</v>
      </c>
      <c r="G556" s="26">
        <v>500000</v>
      </c>
      <c r="H556" s="26">
        <v>974401.24765762489</v>
      </c>
      <c r="I556" s="26">
        <v>0</v>
      </c>
      <c r="J556" s="20">
        <f t="shared" si="8"/>
        <v>15824401.247657625</v>
      </c>
      <c r="K556" s="21" t="str">
        <f>VLOOKUP(C556,'[1]SHU 2023'!C$9:K$719,9,0)</f>
        <v>AKTIF</v>
      </c>
    </row>
    <row r="557" spans="1:11" x14ac:dyDescent="0.35">
      <c r="A557" s="22">
        <v>550</v>
      </c>
      <c r="B557" s="23" t="s">
        <v>1190</v>
      </c>
      <c r="C557" s="24" t="s">
        <v>1191</v>
      </c>
      <c r="D557" s="25" t="s">
        <v>131</v>
      </c>
      <c r="E557" s="26">
        <v>0</v>
      </c>
      <c r="F557" s="26">
        <v>0</v>
      </c>
      <c r="G557" s="26">
        <v>0</v>
      </c>
      <c r="H557" s="26">
        <v>268887</v>
      </c>
      <c r="I557" s="26">
        <v>0</v>
      </c>
      <c r="J557" s="20">
        <f t="shared" si="8"/>
        <v>268887</v>
      </c>
      <c r="K557" s="21" t="str">
        <f>VLOOKUP(C557,'[1]SHU 2023'!C$9:K$719,9,0)</f>
        <v>PASIF</v>
      </c>
    </row>
    <row r="558" spans="1:11" x14ac:dyDescent="0.35">
      <c r="A558" s="22">
        <v>551</v>
      </c>
      <c r="B558" s="23" t="s">
        <v>1192</v>
      </c>
      <c r="C558" s="24" t="s">
        <v>1193</v>
      </c>
      <c r="D558" s="25" t="s">
        <v>131</v>
      </c>
      <c r="E558" s="26">
        <v>200000</v>
      </c>
      <c r="F558" s="26">
        <v>2500000</v>
      </c>
      <c r="G558" s="26">
        <v>0</v>
      </c>
      <c r="H558" s="26">
        <v>442464.00128400524</v>
      </c>
      <c r="I558" s="26">
        <v>0</v>
      </c>
      <c r="J558" s="20">
        <f t="shared" si="8"/>
        <v>3142464.0012840051</v>
      </c>
      <c r="K558" s="21" t="str">
        <f>VLOOKUP(C558,'[1]SHU 2023'!C$9:K$719,9,0)</f>
        <v>PASIF</v>
      </c>
    </row>
    <row r="559" spans="1:11" x14ac:dyDescent="0.35">
      <c r="A559" s="22">
        <v>552</v>
      </c>
      <c r="B559" s="23" t="s">
        <v>1194</v>
      </c>
      <c r="C559" s="24" t="s">
        <v>1195</v>
      </c>
      <c r="D559" s="25" t="s">
        <v>131</v>
      </c>
      <c r="E559" s="26">
        <v>200000</v>
      </c>
      <c r="F559" s="26">
        <v>6500000</v>
      </c>
      <c r="G559" s="26">
        <v>600000</v>
      </c>
      <c r="H559" s="26">
        <v>738351.31274104945</v>
      </c>
      <c r="I559" s="26">
        <v>0</v>
      </c>
      <c r="J559" s="20">
        <f t="shared" si="8"/>
        <v>8038351.3127410496</v>
      </c>
      <c r="K559" s="21" t="str">
        <f>VLOOKUP(C559,'[1]SHU 2023'!C$9:K$719,9,0)</f>
        <v>PASIF</v>
      </c>
    </row>
    <row r="560" spans="1:11" x14ac:dyDescent="0.35">
      <c r="A560" s="22">
        <v>553</v>
      </c>
      <c r="B560" s="23" t="s">
        <v>1196</v>
      </c>
      <c r="C560" s="24" t="s">
        <v>1197</v>
      </c>
      <c r="D560" s="25" t="s">
        <v>131</v>
      </c>
      <c r="E560" s="26">
        <v>0</v>
      </c>
      <c r="F560" s="26">
        <v>250000</v>
      </c>
      <c r="G560" s="26">
        <v>0</v>
      </c>
      <c r="H560" s="26">
        <v>515984.2030736506</v>
      </c>
      <c r="I560" s="26">
        <v>0</v>
      </c>
      <c r="J560" s="20">
        <f t="shared" si="8"/>
        <v>765984.2030736506</v>
      </c>
      <c r="K560" s="21" t="str">
        <f>VLOOKUP(C560,'[1]SHU 2023'!C$9:K$719,9,0)</f>
        <v>BUKAN ANGGOTA</v>
      </c>
    </row>
    <row r="561" spans="1:11" x14ac:dyDescent="0.35">
      <c r="A561" s="22">
        <v>554</v>
      </c>
      <c r="B561" s="23" t="s">
        <v>1198</v>
      </c>
      <c r="C561" s="24" t="s">
        <v>1199</v>
      </c>
      <c r="D561" s="25" t="s">
        <v>136</v>
      </c>
      <c r="E561" s="26">
        <v>0</v>
      </c>
      <c r="F561" s="26">
        <v>0</v>
      </c>
      <c r="G561" s="26">
        <v>0</v>
      </c>
      <c r="H561" s="26">
        <v>73086.153279239777</v>
      </c>
      <c r="I561" s="26">
        <v>0</v>
      </c>
      <c r="J561" s="20">
        <f t="shared" si="8"/>
        <v>73086.153279239777</v>
      </c>
      <c r="K561" s="21" t="str">
        <f>VLOOKUP(C561,'[1]SHU 2023'!C$9:K$719,9,0)</f>
        <v>PASIF</v>
      </c>
    </row>
    <row r="562" spans="1:11" x14ac:dyDescent="0.35">
      <c r="A562" s="22">
        <v>555</v>
      </c>
      <c r="B562" s="23" t="s">
        <v>1200</v>
      </c>
      <c r="C562" s="24" t="s">
        <v>1201</v>
      </c>
      <c r="D562" s="25" t="s">
        <v>42</v>
      </c>
      <c r="E562" s="26">
        <v>200000</v>
      </c>
      <c r="F562" s="26">
        <v>1700000</v>
      </c>
      <c r="G562" s="26">
        <v>150000</v>
      </c>
      <c r="H562" s="26">
        <v>393966</v>
      </c>
      <c r="I562" s="26">
        <v>0</v>
      </c>
      <c r="J562" s="20">
        <f t="shared" si="8"/>
        <v>2443966</v>
      </c>
      <c r="K562" s="21" t="str">
        <f>VLOOKUP(C562,'[1]SHU 2023'!C$9:K$719,9,0)</f>
        <v>PASIF</v>
      </c>
    </row>
    <row r="563" spans="1:11" x14ac:dyDescent="0.35">
      <c r="A563" s="22">
        <v>556</v>
      </c>
      <c r="B563" s="23" t="s">
        <v>1202</v>
      </c>
      <c r="C563" s="24" t="s">
        <v>1203</v>
      </c>
      <c r="D563" s="25" t="s">
        <v>123</v>
      </c>
      <c r="E563" s="26">
        <v>200000</v>
      </c>
      <c r="F563" s="26">
        <v>9100000</v>
      </c>
      <c r="G563" s="26">
        <v>150000</v>
      </c>
      <c r="H563" s="26">
        <v>1033399.5742230164</v>
      </c>
      <c r="I563" s="26">
        <v>0</v>
      </c>
      <c r="J563" s="20">
        <f t="shared" si="8"/>
        <v>10483399.574223015</v>
      </c>
      <c r="K563" s="21" t="str">
        <f>VLOOKUP(C563,'[1]SHU 2023'!C$9:K$719,9,0)</f>
        <v>AKTIF</v>
      </c>
    </row>
    <row r="564" spans="1:11" x14ac:dyDescent="0.35">
      <c r="A564" s="22">
        <v>557</v>
      </c>
      <c r="B564" s="23" t="s">
        <v>1204</v>
      </c>
      <c r="C564" s="24" t="s">
        <v>1205</v>
      </c>
      <c r="D564" s="25" t="s">
        <v>42</v>
      </c>
      <c r="E564" s="26">
        <v>0</v>
      </c>
      <c r="F564" s="26">
        <v>0</v>
      </c>
      <c r="G564" s="26">
        <v>0</v>
      </c>
      <c r="H564" s="26">
        <v>30305</v>
      </c>
      <c r="I564" s="26">
        <v>0</v>
      </c>
      <c r="J564" s="20">
        <f t="shared" si="8"/>
        <v>30305</v>
      </c>
      <c r="K564" s="21" t="str">
        <f>VLOOKUP(C564,'[1]SHU 2023'!C$9:K$719,9,0)</f>
        <v>PASIF</v>
      </c>
    </row>
    <row r="565" spans="1:11" x14ac:dyDescent="0.35">
      <c r="A565" s="22">
        <v>558</v>
      </c>
      <c r="B565" s="23" t="s">
        <v>1206</v>
      </c>
      <c r="C565" s="24" t="s">
        <v>1207</v>
      </c>
      <c r="D565" s="25" t="s">
        <v>123</v>
      </c>
      <c r="E565" s="26">
        <v>200000</v>
      </c>
      <c r="F565" s="26">
        <v>10100000</v>
      </c>
      <c r="G565" s="26">
        <v>0</v>
      </c>
      <c r="H565" s="26">
        <v>1014269.2800620976</v>
      </c>
      <c r="I565" s="26">
        <v>0</v>
      </c>
      <c r="J565" s="20">
        <f t="shared" si="8"/>
        <v>11314269.280062098</v>
      </c>
      <c r="K565" s="21" t="str">
        <f>VLOOKUP(C565,'[1]SHU 2023'!C$9:K$719,9,0)</f>
        <v>AKTIF</v>
      </c>
    </row>
    <row r="566" spans="1:11" x14ac:dyDescent="0.35">
      <c r="A566" s="22">
        <v>559</v>
      </c>
      <c r="B566" s="23" t="s">
        <v>1208</v>
      </c>
      <c r="C566" s="24" t="s">
        <v>1209</v>
      </c>
      <c r="D566" s="25" t="s">
        <v>123</v>
      </c>
      <c r="E566" s="26">
        <v>200000</v>
      </c>
      <c r="F566" s="26">
        <v>4900000</v>
      </c>
      <c r="G566" s="26">
        <v>0</v>
      </c>
      <c r="H566" s="26">
        <v>781057.31274104945</v>
      </c>
      <c r="I566" s="26">
        <v>0</v>
      </c>
      <c r="J566" s="20">
        <f t="shared" si="8"/>
        <v>5881057.3127410496</v>
      </c>
      <c r="K566" s="21" t="str">
        <f>VLOOKUP(C566,'[1]SHU 2023'!C$9:K$719,9,0)</f>
        <v>PASIF</v>
      </c>
    </row>
    <row r="567" spans="1:11" x14ac:dyDescent="0.35">
      <c r="A567" s="22">
        <v>560</v>
      </c>
      <c r="B567" s="23" t="s">
        <v>1210</v>
      </c>
      <c r="C567" s="24" t="s">
        <v>1211</v>
      </c>
      <c r="D567" s="25" t="s">
        <v>1212</v>
      </c>
      <c r="E567" s="26">
        <v>200000</v>
      </c>
      <c r="F567" s="26">
        <v>15150000</v>
      </c>
      <c r="G567" s="26">
        <v>0</v>
      </c>
      <c r="H567" s="26">
        <v>912310.31274104945</v>
      </c>
      <c r="I567" s="26">
        <v>0</v>
      </c>
      <c r="J567" s="20">
        <f t="shared" si="8"/>
        <v>16262310.312741049</v>
      </c>
      <c r="K567" s="21" t="str">
        <f>VLOOKUP(C567,'[1]SHU 2023'!C$9:K$719,9,0)</f>
        <v>AKTIF</v>
      </c>
    </row>
    <row r="568" spans="1:11" x14ac:dyDescent="0.35">
      <c r="A568" s="22">
        <v>561</v>
      </c>
      <c r="B568" s="23" t="s">
        <v>1213</v>
      </c>
      <c r="C568" s="24" t="s">
        <v>1214</v>
      </c>
      <c r="D568" s="25" t="s">
        <v>42</v>
      </c>
      <c r="E568" s="26">
        <v>0</v>
      </c>
      <c r="F568" s="26">
        <v>100000</v>
      </c>
      <c r="G568" s="26">
        <v>0</v>
      </c>
      <c r="H568" s="26">
        <v>336490</v>
      </c>
      <c r="I568" s="26">
        <v>0</v>
      </c>
      <c r="J568" s="20">
        <f t="shared" si="8"/>
        <v>436490</v>
      </c>
      <c r="K568" s="21" t="str">
        <f>VLOOKUP(C568,'[1]SHU 2023'!C$9:K$719,9,0)</f>
        <v>PASIF</v>
      </c>
    </row>
    <row r="569" spans="1:11" x14ac:dyDescent="0.35">
      <c r="A569" s="22">
        <v>562</v>
      </c>
      <c r="B569" s="23" t="s">
        <v>1215</v>
      </c>
      <c r="C569" s="24" t="s">
        <v>1216</v>
      </c>
      <c r="D569" s="25" t="s">
        <v>42</v>
      </c>
      <c r="E569" s="26">
        <v>0</v>
      </c>
      <c r="F569" s="26">
        <v>0</v>
      </c>
      <c r="G569" s="26">
        <v>0</v>
      </c>
      <c r="H569" s="26">
        <v>268887</v>
      </c>
      <c r="I569" s="26">
        <v>0</v>
      </c>
      <c r="J569" s="20">
        <f t="shared" si="8"/>
        <v>268887</v>
      </c>
      <c r="K569" s="21" t="str">
        <f>VLOOKUP(C569,'[1]SHU 2023'!C$9:K$719,9,0)</f>
        <v>PASIF</v>
      </c>
    </row>
    <row r="570" spans="1:11" x14ac:dyDescent="0.35">
      <c r="A570" s="22">
        <v>563</v>
      </c>
      <c r="B570" s="23" t="s">
        <v>1217</v>
      </c>
      <c r="C570" s="24" t="s">
        <v>1218</v>
      </c>
      <c r="D570" s="25" t="s">
        <v>42</v>
      </c>
      <c r="E570" s="26">
        <v>0</v>
      </c>
      <c r="F570" s="26">
        <v>-100000</v>
      </c>
      <c r="G570" s="26">
        <v>0</v>
      </c>
      <c r="H570" s="26">
        <v>-4103</v>
      </c>
      <c r="I570" s="26">
        <v>0</v>
      </c>
      <c r="J570" s="20">
        <f t="shared" si="8"/>
        <v>-104103</v>
      </c>
      <c r="K570" s="21" t="str">
        <f>VLOOKUP(C570,'[1]SHU 2023'!C$9:K$719,9,0)</f>
        <v>PASIF</v>
      </c>
    </row>
    <row r="571" spans="1:11" x14ac:dyDescent="0.35">
      <c r="A571" s="22">
        <v>564</v>
      </c>
      <c r="B571" s="23" t="s">
        <v>1219</v>
      </c>
      <c r="C571" s="24" t="s">
        <v>1220</v>
      </c>
      <c r="D571" s="25" t="s">
        <v>42</v>
      </c>
      <c r="E571" s="26">
        <v>0</v>
      </c>
      <c r="F571" s="26">
        <v>0</v>
      </c>
      <c r="G571" s="26">
        <v>-250000</v>
      </c>
      <c r="H571" s="26">
        <v>-10258</v>
      </c>
      <c r="I571" s="26">
        <v>0</v>
      </c>
      <c r="J571" s="20">
        <f t="shared" si="8"/>
        <v>-260258</v>
      </c>
      <c r="K571" s="21" t="str">
        <f>VLOOKUP(C571,'[1]SHU 2023'!C$9:K$719,9,0)</f>
        <v>PASIF</v>
      </c>
    </row>
    <row r="572" spans="1:11" x14ac:dyDescent="0.35">
      <c r="A572" s="22">
        <v>565</v>
      </c>
      <c r="B572" s="23" t="s">
        <v>1221</v>
      </c>
      <c r="C572" s="24" t="s">
        <v>1222</v>
      </c>
      <c r="D572" s="25" t="s">
        <v>42</v>
      </c>
      <c r="E572" s="26">
        <v>0</v>
      </c>
      <c r="F572" s="26">
        <v>0</v>
      </c>
      <c r="G572" s="26">
        <v>0</v>
      </c>
      <c r="H572" s="26">
        <v>353848</v>
      </c>
      <c r="I572" s="26">
        <v>0</v>
      </c>
      <c r="J572" s="20">
        <f t="shared" si="8"/>
        <v>353848</v>
      </c>
      <c r="K572" s="21" t="str">
        <f>VLOOKUP(C572,'[1]SHU 2023'!C$9:K$719,9,0)</f>
        <v>PASIF</v>
      </c>
    </row>
    <row r="573" spans="1:11" x14ac:dyDescent="0.35">
      <c r="A573" s="22">
        <v>566</v>
      </c>
      <c r="B573" s="23" t="s">
        <v>1223</v>
      </c>
      <c r="C573" s="24" t="s">
        <v>1224</v>
      </c>
      <c r="D573" s="25" t="s">
        <v>693</v>
      </c>
      <c r="E573" s="26">
        <v>0</v>
      </c>
      <c r="F573" s="26">
        <v>250000</v>
      </c>
      <c r="G573" s="26">
        <v>0</v>
      </c>
      <c r="H573" s="26">
        <v>10257.69399492949</v>
      </c>
      <c r="I573" s="26">
        <v>0</v>
      </c>
      <c r="J573" s="20">
        <f t="shared" si="8"/>
        <v>260257.69399492949</v>
      </c>
      <c r="K573" s="21" t="str">
        <f>VLOOKUP(C573,'[1]SHU 2023'!C$9:K$719,9,0)</f>
        <v>PASIF</v>
      </c>
    </row>
    <row r="574" spans="1:11" x14ac:dyDescent="0.35">
      <c r="A574" s="22">
        <v>567</v>
      </c>
      <c r="B574" s="23" t="s">
        <v>1225</v>
      </c>
      <c r="C574" s="24" t="s">
        <v>1226</v>
      </c>
      <c r="D574" s="25" t="s">
        <v>66</v>
      </c>
      <c r="E574" s="26">
        <v>0</v>
      </c>
      <c r="F574" s="26">
        <v>0</v>
      </c>
      <c r="G574" s="26">
        <v>0</v>
      </c>
      <c r="H574" s="26">
        <v>34196.20307365054</v>
      </c>
      <c r="I574" s="26">
        <v>0</v>
      </c>
      <c r="J574" s="20">
        <f t="shared" si="8"/>
        <v>34196.20307365054</v>
      </c>
      <c r="K574" s="21" t="str">
        <f>VLOOKUP(C574,'[1]SHU 2023'!C$9:K$719,9,0)</f>
        <v>PASIF</v>
      </c>
    </row>
    <row r="575" spans="1:11" x14ac:dyDescent="0.35">
      <c r="A575" s="22">
        <v>568</v>
      </c>
      <c r="B575" s="23" t="s">
        <v>1227</v>
      </c>
      <c r="C575" s="24" t="s">
        <v>1228</v>
      </c>
      <c r="D575" s="25" t="s">
        <v>226</v>
      </c>
      <c r="E575" s="26">
        <v>200000</v>
      </c>
      <c r="F575" s="26">
        <v>22200000</v>
      </c>
      <c r="G575" s="26">
        <v>0</v>
      </c>
      <c r="H575" s="26">
        <v>1813074.9739614027</v>
      </c>
      <c r="I575" s="26">
        <v>0</v>
      </c>
      <c r="J575" s="20">
        <f t="shared" si="8"/>
        <v>24213074.973961402</v>
      </c>
      <c r="K575" s="21" t="str">
        <f>VLOOKUP(C575,'[1]SHU 2023'!C$9:K$719,9,0)</f>
        <v>AKTIF</v>
      </c>
    </row>
    <row r="576" spans="1:11" x14ac:dyDescent="0.35">
      <c r="A576" s="22">
        <v>569</v>
      </c>
      <c r="B576" s="23" t="s">
        <v>1229</v>
      </c>
      <c r="C576" s="24" t="s">
        <v>1230</v>
      </c>
      <c r="D576" s="25" t="s">
        <v>39</v>
      </c>
      <c r="E576" s="26">
        <v>0</v>
      </c>
      <c r="F576" s="26">
        <v>200000</v>
      </c>
      <c r="G576" s="26">
        <v>0</v>
      </c>
      <c r="H576" s="26">
        <v>198184.24563206383</v>
      </c>
      <c r="I576" s="26">
        <v>0</v>
      </c>
      <c r="J576" s="20">
        <f t="shared" si="8"/>
        <v>398184.24563206383</v>
      </c>
      <c r="K576" s="21" t="str">
        <f>VLOOKUP(C576,'[1]SHU 2023'!C$9:K$719,9,0)</f>
        <v>PASIF</v>
      </c>
    </row>
    <row r="577" spans="1:11" x14ac:dyDescent="0.35">
      <c r="A577" s="22">
        <v>570</v>
      </c>
      <c r="B577" s="23" t="s">
        <v>1231</v>
      </c>
      <c r="C577" s="24" t="s">
        <v>1232</v>
      </c>
      <c r="D577" s="25" t="s">
        <v>89</v>
      </c>
      <c r="E577" s="26">
        <v>200000</v>
      </c>
      <c r="F577" s="26">
        <v>8450000</v>
      </c>
      <c r="G577" s="26">
        <v>0</v>
      </c>
      <c r="H577" s="26">
        <v>697057.16352551733</v>
      </c>
      <c r="I577" s="26">
        <v>0</v>
      </c>
      <c r="J577" s="20">
        <f t="shared" si="8"/>
        <v>9347057.163525518</v>
      </c>
      <c r="K577" s="21" t="str">
        <f>VLOOKUP(C577,'[1]SHU 2023'!C$9:K$719,9,0)</f>
        <v>PASIF</v>
      </c>
    </row>
    <row r="578" spans="1:11" x14ac:dyDescent="0.35">
      <c r="A578" s="22">
        <v>571</v>
      </c>
      <c r="B578" s="23" t="s">
        <v>1233</v>
      </c>
      <c r="C578" s="24" t="s">
        <v>1234</v>
      </c>
      <c r="D578" s="25" t="s">
        <v>71</v>
      </c>
      <c r="E578" s="26">
        <v>200000</v>
      </c>
      <c r="F578" s="26">
        <v>15350000</v>
      </c>
      <c r="G578" s="26">
        <v>0</v>
      </c>
      <c r="H578" s="26">
        <v>875288.2030736506</v>
      </c>
      <c r="I578" s="26">
        <v>0</v>
      </c>
      <c r="J578" s="20">
        <f t="shared" si="8"/>
        <v>16425288.203073651</v>
      </c>
      <c r="K578" s="21" t="str">
        <f>VLOOKUP(C578,'[1]SHU 2023'!C$9:K$719,9,0)</f>
        <v>PASIF</v>
      </c>
    </row>
    <row r="579" spans="1:11" s="36" customFormat="1" x14ac:dyDescent="0.35">
      <c r="A579" s="22">
        <v>572</v>
      </c>
      <c r="B579" s="23" t="s">
        <v>1235</v>
      </c>
      <c r="C579" s="24" t="s">
        <v>775</v>
      </c>
      <c r="D579" s="25" t="s">
        <v>92</v>
      </c>
      <c r="E579" s="26">
        <v>200000</v>
      </c>
      <c r="F579" s="26">
        <v>14700000</v>
      </c>
      <c r="G579" s="26">
        <v>0</v>
      </c>
      <c r="H579" s="26">
        <v>923533.05397838482</v>
      </c>
      <c r="I579" s="26">
        <v>0</v>
      </c>
      <c r="J579" s="20">
        <f t="shared" si="8"/>
        <v>15823533.053978385</v>
      </c>
      <c r="K579" s="21" t="s">
        <v>1236</v>
      </c>
    </row>
    <row r="580" spans="1:11" x14ac:dyDescent="0.35">
      <c r="A580" s="22">
        <v>573</v>
      </c>
      <c r="B580" s="23" t="s">
        <v>1237</v>
      </c>
      <c r="C580" s="24" t="s">
        <v>1238</v>
      </c>
      <c r="D580" s="25" t="s">
        <v>77</v>
      </c>
      <c r="E580" s="26">
        <v>200000</v>
      </c>
      <c r="F580" s="26">
        <v>19700000</v>
      </c>
      <c r="G580" s="26">
        <v>0</v>
      </c>
      <c r="H580" s="26">
        <v>1227096.9042075484</v>
      </c>
      <c r="I580" s="26">
        <v>0</v>
      </c>
      <c r="J580" s="20">
        <f t="shared" si="8"/>
        <v>21127096.90420755</v>
      </c>
      <c r="K580" s="21" t="str">
        <f>VLOOKUP(C580,'[1]SHU 2023'!C$9:K$719,9,0)</f>
        <v>AKTIF</v>
      </c>
    </row>
    <row r="581" spans="1:11" x14ac:dyDescent="0.35">
      <c r="A581" s="22">
        <v>574</v>
      </c>
      <c r="B581" s="23" t="s">
        <v>1239</v>
      </c>
      <c r="C581" s="24" t="s">
        <v>1240</v>
      </c>
      <c r="D581" s="25" t="s">
        <v>66</v>
      </c>
      <c r="E581" s="26">
        <v>200000</v>
      </c>
      <c r="F581" s="26">
        <v>22350000</v>
      </c>
      <c r="G581" s="26">
        <v>0</v>
      </c>
      <c r="H581" s="26">
        <v>1151567.2926758321</v>
      </c>
      <c r="I581" s="26">
        <v>0</v>
      </c>
      <c r="J581" s="20">
        <f t="shared" si="8"/>
        <v>23701567.29267583</v>
      </c>
      <c r="K581" s="21" t="str">
        <f>VLOOKUP(C581,'[1]SHU 2023'!C$9:K$719,9,0)</f>
        <v>AKTIF</v>
      </c>
    </row>
    <row r="582" spans="1:11" x14ac:dyDescent="0.35">
      <c r="A582" s="22">
        <v>575</v>
      </c>
      <c r="B582" s="23" t="s">
        <v>1241</v>
      </c>
      <c r="C582" s="24" t="s">
        <v>1242</v>
      </c>
      <c r="D582" s="25" t="s">
        <v>265</v>
      </c>
      <c r="E582" s="26">
        <v>200000</v>
      </c>
      <c r="F582" s="26">
        <v>12850000</v>
      </c>
      <c r="G582" s="26">
        <v>0</v>
      </c>
      <c r="H582" s="26">
        <v>662189.44296874595</v>
      </c>
      <c r="I582" s="26">
        <v>0</v>
      </c>
      <c r="J582" s="20">
        <f t="shared" si="8"/>
        <v>13712189.442968747</v>
      </c>
      <c r="K582" s="21" t="str">
        <f>VLOOKUP(C582,'[1]SHU 2023'!C$9:K$719,9,0)</f>
        <v>AKTIF</v>
      </c>
    </row>
    <row r="583" spans="1:11" x14ac:dyDescent="0.35">
      <c r="A583" s="22">
        <v>576</v>
      </c>
      <c r="B583" s="23" t="s">
        <v>1243</v>
      </c>
      <c r="C583" s="24" t="s">
        <v>1244</v>
      </c>
      <c r="D583" s="25" t="s">
        <v>42</v>
      </c>
      <c r="E583" s="26">
        <v>0</v>
      </c>
      <c r="F583" s="26">
        <v>0</v>
      </c>
      <c r="G583" s="26">
        <v>2187500</v>
      </c>
      <c r="H583" s="26">
        <v>89754.594034806243</v>
      </c>
      <c r="I583" s="26">
        <v>0</v>
      </c>
      <c r="J583" s="20">
        <f t="shared" si="8"/>
        <v>2277254.5940348064</v>
      </c>
      <c r="K583" s="21" t="str">
        <f>VLOOKUP(C583,'[1]SHU 2023'!C$9:K$719,9,0)</f>
        <v>PASIF</v>
      </c>
    </row>
    <row r="584" spans="1:11" x14ac:dyDescent="0.35">
      <c r="A584" s="22">
        <v>577</v>
      </c>
      <c r="B584" s="23" t="s">
        <v>1245</v>
      </c>
      <c r="C584" s="24" t="s">
        <v>1246</v>
      </c>
      <c r="D584" s="25" t="s">
        <v>89</v>
      </c>
      <c r="E584" s="26">
        <v>200000</v>
      </c>
      <c r="F584" s="26">
        <v>22350000</v>
      </c>
      <c r="G584" s="26">
        <v>0</v>
      </c>
      <c r="H584" s="26">
        <v>1167805.6256163809</v>
      </c>
      <c r="I584" s="26">
        <v>0</v>
      </c>
      <c r="J584" s="20">
        <f t="shared" si="8"/>
        <v>23717805.625616379</v>
      </c>
      <c r="K584" s="21" t="str">
        <f>VLOOKUP(C584,'[1]SHU 2023'!C$9:K$719,9,0)</f>
        <v>AKTIF</v>
      </c>
    </row>
    <row r="585" spans="1:11" x14ac:dyDescent="0.35">
      <c r="A585" s="22">
        <v>578</v>
      </c>
      <c r="B585" s="23" t="s">
        <v>1247</v>
      </c>
      <c r="C585" s="24" t="s">
        <v>1248</v>
      </c>
      <c r="D585" s="25" t="s">
        <v>71</v>
      </c>
      <c r="E585" s="26">
        <v>0</v>
      </c>
      <c r="F585" s="26">
        <v>0</v>
      </c>
      <c r="G585" s="26">
        <v>0</v>
      </c>
      <c r="H585" s="26">
        <v>257804.54805421431</v>
      </c>
      <c r="I585" s="26">
        <v>0</v>
      </c>
      <c r="J585" s="20">
        <f t="shared" ref="J585:J648" si="9">E585+F585+G585+H585</f>
        <v>257804.54805421431</v>
      </c>
      <c r="K585" s="21" t="str">
        <f>VLOOKUP(C585,'[1]SHU 2023'!C$9:K$719,9,0)</f>
        <v>PASIF</v>
      </c>
    </row>
    <row r="586" spans="1:11" x14ac:dyDescent="0.35">
      <c r="A586" s="22">
        <v>579</v>
      </c>
      <c r="B586" s="23" t="s">
        <v>1249</v>
      </c>
      <c r="C586" s="24" t="s">
        <v>1250</v>
      </c>
      <c r="D586" s="25" t="s">
        <v>71</v>
      </c>
      <c r="E586" s="26">
        <v>0</v>
      </c>
      <c r="F586" s="26">
        <v>0</v>
      </c>
      <c r="G586" s="26">
        <v>0</v>
      </c>
      <c r="H586" s="26">
        <v>-0.42491505807265639</v>
      </c>
      <c r="I586" s="26">
        <v>0</v>
      </c>
      <c r="J586" s="20">
        <f t="shared" si="9"/>
        <v>-0.42491505807265639</v>
      </c>
      <c r="K586" s="21" t="s">
        <v>49</v>
      </c>
    </row>
    <row r="587" spans="1:11" x14ac:dyDescent="0.35">
      <c r="A587" s="22">
        <v>580</v>
      </c>
      <c r="B587" s="23" t="s">
        <v>1251</v>
      </c>
      <c r="C587" s="24" t="s">
        <v>1252</v>
      </c>
      <c r="D587" s="25" t="s">
        <v>54</v>
      </c>
      <c r="E587" s="26">
        <v>0</v>
      </c>
      <c r="F587" s="26">
        <v>0</v>
      </c>
      <c r="G587" s="26">
        <v>0</v>
      </c>
      <c r="H587" s="26">
        <v>27259.634315028496</v>
      </c>
      <c r="I587" s="26">
        <v>0</v>
      </c>
      <c r="J587" s="20">
        <f t="shared" si="9"/>
        <v>27259.634315028496</v>
      </c>
      <c r="K587" s="21" t="str">
        <f>VLOOKUP(C587,'[1]SHU 2023'!C$9:K$719,9,0)</f>
        <v>PASIF</v>
      </c>
    </row>
    <row r="588" spans="1:11" x14ac:dyDescent="0.35">
      <c r="A588" s="22">
        <v>581</v>
      </c>
      <c r="B588" s="23" t="s">
        <v>1253</v>
      </c>
      <c r="C588" s="24" t="s">
        <v>1254</v>
      </c>
      <c r="D588" s="25" t="s">
        <v>126</v>
      </c>
      <c r="E588" s="26">
        <v>200000</v>
      </c>
      <c r="F588" s="26">
        <v>22350000</v>
      </c>
      <c r="G588" s="26">
        <v>250000</v>
      </c>
      <c r="H588" s="26">
        <v>1179558.2701371962</v>
      </c>
      <c r="I588" s="26">
        <v>0</v>
      </c>
      <c r="J588" s="20">
        <f t="shared" si="9"/>
        <v>23979558.270137195</v>
      </c>
      <c r="K588" s="21" t="str">
        <f>VLOOKUP(C588,'[1]SHU 2023'!C$9:K$719,9,0)</f>
        <v>AKTIF</v>
      </c>
    </row>
    <row r="589" spans="1:11" x14ac:dyDescent="0.35">
      <c r="A589" s="22">
        <v>582</v>
      </c>
      <c r="B589" s="23" t="s">
        <v>1255</v>
      </c>
      <c r="C589" s="24" t="s">
        <v>1256</v>
      </c>
      <c r="D589" s="25" t="s">
        <v>118</v>
      </c>
      <c r="E589" s="26">
        <v>200000</v>
      </c>
      <c r="F589" s="26">
        <v>2250000</v>
      </c>
      <c r="G589" s="26">
        <v>60000</v>
      </c>
      <c r="H589" s="26">
        <v>616204.67443352204</v>
      </c>
      <c r="I589" s="26">
        <v>0</v>
      </c>
      <c r="J589" s="20">
        <f t="shared" si="9"/>
        <v>3126204.6744335219</v>
      </c>
      <c r="K589" s="21" t="str">
        <f>VLOOKUP(C589,'[1]SHU 2023'!C$9:K$719,9,0)</f>
        <v>PASIF</v>
      </c>
    </row>
    <row r="590" spans="1:11" x14ac:dyDescent="0.35">
      <c r="A590" s="22">
        <v>583</v>
      </c>
      <c r="B590" s="23" t="s">
        <v>1257</v>
      </c>
      <c r="C590" s="24" t="s">
        <v>1258</v>
      </c>
      <c r="D590" s="25" t="s">
        <v>66</v>
      </c>
      <c r="E590" s="26">
        <v>0</v>
      </c>
      <c r="F590" s="26">
        <v>0</v>
      </c>
      <c r="G590" s="26">
        <v>0</v>
      </c>
      <c r="H590" s="26">
        <v>437817.68200133205</v>
      </c>
      <c r="I590" s="26">
        <v>0</v>
      </c>
      <c r="J590" s="20">
        <f t="shared" si="9"/>
        <v>437817.68200133205</v>
      </c>
      <c r="K590" s="21" t="str">
        <f>VLOOKUP(C590,'[1]SHU 2023'!C$9:K$719,9,0)</f>
        <v>PASIF</v>
      </c>
    </row>
    <row r="591" spans="1:11" x14ac:dyDescent="0.35">
      <c r="A591" s="22">
        <v>584</v>
      </c>
      <c r="B591" s="23" t="s">
        <v>1259</v>
      </c>
      <c r="C591" s="24" t="s">
        <v>1260</v>
      </c>
      <c r="D591" s="25" t="s">
        <v>54</v>
      </c>
      <c r="E591" s="26">
        <v>0</v>
      </c>
      <c r="F591" s="26">
        <v>0</v>
      </c>
      <c r="G591" s="26">
        <v>0</v>
      </c>
      <c r="H591" s="26">
        <v>31707</v>
      </c>
      <c r="I591" s="26">
        <v>0</v>
      </c>
      <c r="J591" s="20">
        <f t="shared" si="9"/>
        <v>31707</v>
      </c>
      <c r="K591" s="21" t="str">
        <f>VLOOKUP(C591,'[1]SHU 2023'!C$9:K$719,9,0)</f>
        <v>PASIF</v>
      </c>
    </row>
    <row r="592" spans="1:11" x14ac:dyDescent="0.35">
      <c r="A592" s="22">
        <v>585</v>
      </c>
      <c r="B592" s="23" t="s">
        <v>1261</v>
      </c>
      <c r="C592" s="24" t="s">
        <v>1262</v>
      </c>
      <c r="D592" s="25" t="s">
        <v>42</v>
      </c>
      <c r="E592" s="26">
        <v>0</v>
      </c>
      <c r="F592" s="26">
        <v>-100000</v>
      </c>
      <c r="G592" s="26">
        <v>0</v>
      </c>
      <c r="H592" s="26">
        <v>18230</v>
      </c>
      <c r="I592" s="26">
        <v>0</v>
      </c>
      <c r="J592" s="20">
        <f t="shared" si="9"/>
        <v>-81770</v>
      </c>
      <c r="K592" s="21" t="str">
        <f>VLOOKUP(C592,'[1]SHU 2023'!C$9:K$719,9,0)</f>
        <v>PASIF</v>
      </c>
    </row>
    <row r="593" spans="1:11" x14ac:dyDescent="0.35">
      <c r="A593" s="22">
        <v>586</v>
      </c>
      <c r="B593" s="23" t="s">
        <v>1263</v>
      </c>
      <c r="C593" s="24" t="s">
        <v>1264</v>
      </c>
      <c r="D593" s="25" t="s">
        <v>123</v>
      </c>
      <c r="E593" s="26">
        <v>150000</v>
      </c>
      <c r="F593" s="26">
        <v>9950000</v>
      </c>
      <c r="G593" s="26">
        <v>0</v>
      </c>
      <c r="H593" s="26">
        <v>981399.26983006112</v>
      </c>
      <c r="I593" s="26">
        <v>0</v>
      </c>
      <c r="J593" s="20">
        <f t="shared" si="9"/>
        <v>11081399.269830061</v>
      </c>
      <c r="K593" s="21" t="str">
        <f>VLOOKUP(C593,'[1]SHU 2023'!C$9:K$719,9,0)</f>
        <v>AKTIF</v>
      </c>
    </row>
    <row r="594" spans="1:11" x14ac:dyDescent="0.35">
      <c r="A594" s="22">
        <v>587</v>
      </c>
      <c r="B594" s="23" t="s">
        <v>1265</v>
      </c>
      <c r="C594" s="24" t="s">
        <v>1266</v>
      </c>
      <c r="D594" s="25" t="s">
        <v>131</v>
      </c>
      <c r="E594" s="26">
        <v>150000</v>
      </c>
      <c r="F594" s="26">
        <v>9950000</v>
      </c>
      <c r="G594" s="26">
        <v>150000</v>
      </c>
      <c r="H594" s="26">
        <v>1004712.9831700833</v>
      </c>
      <c r="I594" s="26">
        <v>0</v>
      </c>
      <c r="J594" s="20">
        <f t="shared" si="9"/>
        <v>11254712.983170083</v>
      </c>
      <c r="K594" s="21" t="str">
        <f>VLOOKUP(C594,'[1]SHU 2023'!C$9:K$719,9,0)</f>
        <v>AKTIF</v>
      </c>
    </row>
    <row r="595" spans="1:11" x14ac:dyDescent="0.35">
      <c r="A595" s="22">
        <v>588</v>
      </c>
      <c r="B595" s="23" t="s">
        <v>1267</v>
      </c>
      <c r="C595" s="24" t="s">
        <v>1268</v>
      </c>
      <c r="D595" s="25" t="s">
        <v>131</v>
      </c>
      <c r="E595" s="26">
        <v>150000</v>
      </c>
      <c r="F595" s="26">
        <v>9950000</v>
      </c>
      <c r="G595" s="26">
        <v>0</v>
      </c>
      <c r="H595" s="26">
        <v>700085.07972485223</v>
      </c>
      <c r="I595" s="26">
        <v>0</v>
      </c>
      <c r="J595" s="20">
        <f t="shared" si="9"/>
        <v>10800085.079724852</v>
      </c>
      <c r="K595" s="21" t="str">
        <f>VLOOKUP(C595,'[1]SHU 2023'!C$9:K$719,9,0)</f>
        <v>AKTIF</v>
      </c>
    </row>
    <row r="596" spans="1:11" x14ac:dyDescent="0.35">
      <c r="A596" s="22">
        <v>589</v>
      </c>
      <c r="B596" s="23" t="s">
        <v>1269</v>
      </c>
      <c r="C596" s="24" t="s">
        <v>1270</v>
      </c>
      <c r="D596" s="25" t="s">
        <v>131</v>
      </c>
      <c r="E596" s="26">
        <v>150000</v>
      </c>
      <c r="F596" s="26">
        <v>9950000</v>
      </c>
      <c r="G596" s="26">
        <v>450000</v>
      </c>
      <c r="H596" s="26">
        <v>999446.04644464387</v>
      </c>
      <c r="I596" s="26">
        <v>0</v>
      </c>
      <c r="J596" s="20">
        <f t="shared" si="9"/>
        <v>11549446.046444643</v>
      </c>
      <c r="K596" s="21" t="str">
        <f>VLOOKUP(C596,'[1]SHU 2023'!C$9:K$719,9,0)</f>
        <v>AKTIF</v>
      </c>
    </row>
    <row r="597" spans="1:11" x14ac:dyDescent="0.35">
      <c r="A597" s="22">
        <v>590</v>
      </c>
      <c r="B597" s="23" t="s">
        <v>1271</v>
      </c>
      <c r="C597" s="24" t="s">
        <v>1272</v>
      </c>
      <c r="D597" s="25" t="s">
        <v>424</v>
      </c>
      <c r="E597" s="26">
        <v>200000</v>
      </c>
      <c r="F597" s="26">
        <v>14250000</v>
      </c>
      <c r="G597" s="26">
        <v>0</v>
      </c>
      <c r="H597" s="26">
        <v>1561645.624030825</v>
      </c>
      <c r="I597" s="26">
        <v>0</v>
      </c>
      <c r="J597" s="20">
        <f t="shared" si="9"/>
        <v>16011645.624030825</v>
      </c>
      <c r="K597" s="21" t="str">
        <f>VLOOKUP(C597,'[1]SHU 2023'!C$9:K$719,9,0)</f>
        <v>AKTIF</v>
      </c>
    </row>
    <row r="598" spans="1:11" x14ac:dyDescent="0.35">
      <c r="A598" s="22">
        <v>591</v>
      </c>
      <c r="B598" s="23" t="s">
        <v>1273</v>
      </c>
      <c r="C598" s="24" t="s">
        <v>1274</v>
      </c>
      <c r="D598" s="25" t="s">
        <v>39</v>
      </c>
      <c r="E598" s="26">
        <v>0</v>
      </c>
      <c r="F598" s="26">
        <v>300000</v>
      </c>
      <c r="G598" s="26">
        <v>0</v>
      </c>
      <c r="H598" s="26">
        <v>45285.594983266608</v>
      </c>
      <c r="I598" s="26">
        <v>0</v>
      </c>
      <c r="J598" s="20">
        <f t="shared" si="9"/>
        <v>345285.59498326661</v>
      </c>
      <c r="K598" s="21" t="str">
        <f>VLOOKUP(C598,'[1]SHU 2023'!C$9:K$719,9,0)</f>
        <v>PASIF</v>
      </c>
    </row>
    <row r="599" spans="1:11" x14ac:dyDescent="0.35">
      <c r="A599" s="22">
        <v>592</v>
      </c>
      <c r="B599" s="23" t="s">
        <v>1275</v>
      </c>
      <c r="C599" s="24" t="s">
        <v>1276</v>
      </c>
      <c r="D599" s="25" t="s">
        <v>123</v>
      </c>
      <c r="E599" s="26">
        <v>0</v>
      </c>
      <c r="F599" s="26">
        <v>0</v>
      </c>
      <c r="G599" s="26">
        <v>0</v>
      </c>
      <c r="H599" s="26">
        <v>36113</v>
      </c>
      <c r="I599" s="26">
        <v>0</v>
      </c>
      <c r="J599" s="20">
        <f t="shared" si="9"/>
        <v>36113</v>
      </c>
      <c r="K599" s="21" t="str">
        <f>VLOOKUP(C599,'[1]SHU 2023'!C$9:K$719,9,0)</f>
        <v>PASIF</v>
      </c>
    </row>
    <row r="600" spans="1:11" x14ac:dyDescent="0.35">
      <c r="A600" s="22">
        <v>593</v>
      </c>
      <c r="B600" s="23" t="s">
        <v>1277</v>
      </c>
      <c r="C600" s="24" t="s">
        <v>1278</v>
      </c>
      <c r="D600" s="25" t="s">
        <v>401</v>
      </c>
      <c r="E600" s="26">
        <v>200000</v>
      </c>
      <c r="F600" s="26">
        <v>22350000</v>
      </c>
      <c r="G600" s="26">
        <v>0</v>
      </c>
      <c r="H600" s="26">
        <v>1167805.6256163809</v>
      </c>
      <c r="I600" s="26">
        <v>0</v>
      </c>
      <c r="J600" s="20">
        <f t="shared" si="9"/>
        <v>23717805.625616379</v>
      </c>
      <c r="K600" s="21" t="str">
        <f>VLOOKUP(C600,'[1]SHU 2023'!C$9:K$719,9,0)</f>
        <v>AKTIF</v>
      </c>
    </row>
    <row r="601" spans="1:11" x14ac:dyDescent="0.35">
      <c r="A601" s="22">
        <v>594</v>
      </c>
      <c r="B601" s="23" t="s">
        <v>1279</v>
      </c>
      <c r="C601" s="24" t="s">
        <v>1280</v>
      </c>
      <c r="D601" s="25" t="s">
        <v>34</v>
      </c>
      <c r="E601" s="26">
        <v>0</v>
      </c>
      <c r="F601" s="26">
        <v>250000</v>
      </c>
      <c r="G601" s="26">
        <v>0</v>
      </c>
      <c r="H601" s="26">
        <v>85439.20307365054</v>
      </c>
      <c r="I601" s="26">
        <v>0</v>
      </c>
      <c r="J601" s="20">
        <f t="shared" si="9"/>
        <v>335439.20307365054</v>
      </c>
      <c r="K601" s="21" t="str">
        <f>VLOOKUP(C601,'[1]SHU 2023'!C$9:K$719,9,0)</f>
        <v>PASIF</v>
      </c>
    </row>
    <row r="602" spans="1:11" x14ac:dyDescent="0.35">
      <c r="A602" s="22">
        <v>595</v>
      </c>
      <c r="B602" s="23" t="s">
        <v>1281</v>
      </c>
      <c r="C602" s="24" t="s">
        <v>1282</v>
      </c>
      <c r="D602" s="25" t="s">
        <v>123</v>
      </c>
      <c r="E602" s="26">
        <v>150000</v>
      </c>
      <c r="F602" s="26">
        <v>10050000</v>
      </c>
      <c r="G602" s="26">
        <v>0</v>
      </c>
      <c r="H602" s="26">
        <v>984609.60736237909</v>
      </c>
      <c r="I602" s="26">
        <v>0</v>
      </c>
      <c r="J602" s="20">
        <f t="shared" si="9"/>
        <v>11184609.607362378</v>
      </c>
      <c r="K602" s="21" t="str">
        <f>VLOOKUP(C602,'[1]SHU 2023'!C$9:K$719,9,0)</f>
        <v>AKTIF</v>
      </c>
    </row>
    <row r="603" spans="1:11" x14ac:dyDescent="0.35">
      <c r="A603" s="22">
        <v>596</v>
      </c>
      <c r="B603" s="23" t="s">
        <v>1283</v>
      </c>
      <c r="C603" s="24" t="s">
        <v>1284</v>
      </c>
      <c r="D603" s="25" t="s">
        <v>54</v>
      </c>
      <c r="E603" s="26">
        <v>0</v>
      </c>
      <c r="F603" s="26">
        <v>0</v>
      </c>
      <c r="G603" s="26">
        <v>0</v>
      </c>
      <c r="H603" s="26">
        <v>34196.20307365054</v>
      </c>
      <c r="I603" s="26">
        <v>0</v>
      </c>
      <c r="J603" s="20">
        <f t="shared" si="9"/>
        <v>34196.20307365054</v>
      </c>
      <c r="K603" s="21" t="str">
        <f>VLOOKUP(C603,'[1]SHU 2023'!C$9:K$719,9,0)</f>
        <v>PASIF</v>
      </c>
    </row>
    <row r="604" spans="1:11" x14ac:dyDescent="0.35">
      <c r="A604" s="22">
        <v>597</v>
      </c>
      <c r="B604" s="23" t="s">
        <v>1285</v>
      </c>
      <c r="C604" s="24" t="s">
        <v>1286</v>
      </c>
      <c r="D604" s="25" t="s">
        <v>42</v>
      </c>
      <c r="E604" s="26">
        <v>0</v>
      </c>
      <c r="F604" s="26">
        <v>0</v>
      </c>
      <c r="G604" s="26">
        <v>0</v>
      </c>
      <c r="H604" s="26">
        <v>50275.423434650387</v>
      </c>
      <c r="I604" s="26">
        <v>0</v>
      </c>
      <c r="J604" s="20">
        <f t="shared" si="9"/>
        <v>50275.423434650387</v>
      </c>
      <c r="K604" s="21" t="str">
        <f>VLOOKUP(C604,'[1]SHU 2023'!C$9:K$719,9,0)</f>
        <v>PASIF</v>
      </c>
    </row>
    <row r="605" spans="1:11" x14ac:dyDescent="0.35">
      <c r="A605" s="22">
        <v>598</v>
      </c>
      <c r="B605" s="23" t="s">
        <v>1287</v>
      </c>
      <c r="C605" s="24" t="s">
        <v>1288</v>
      </c>
      <c r="D605" s="25" t="s">
        <v>131</v>
      </c>
      <c r="E605" s="26">
        <v>200000</v>
      </c>
      <c r="F605" s="26">
        <v>9900000</v>
      </c>
      <c r="G605" s="26">
        <v>0</v>
      </c>
      <c r="H605" s="26">
        <v>975662.15455173538</v>
      </c>
      <c r="I605" s="26">
        <v>0</v>
      </c>
      <c r="J605" s="20">
        <f t="shared" si="9"/>
        <v>11075662.154551735</v>
      </c>
      <c r="K605" s="21" t="str">
        <f>VLOOKUP(C605,'[1]SHU 2023'!C$9:K$719,9,0)</f>
        <v>AKTIF</v>
      </c>
    </row>
    <row r="606" spans="1:11" x14ac:dyDescent="0.35">
      <c r="A606" s="22">
        <v>599</v>
      </c>
      <c r="B606" s="23" t="s">
        <v>1289</v>
      </c>
      <c r="C606" s="24" t="s">
        <v>1290</v>
      </c>
      <c r="D606" s="25" t="s">
        <v>164</v>
      </c>
      <c r="E606" s="26">
        <v>0</v>
      </c>
      <c r="F606" s="26">
        <v>0</v>
      </c>
      <c r="G606" s="26">
        <v>0</v>
      </c>
      <c r="H606" s="26">
        <v>148723.08401418221</v>
      </c>
      <c r="I606" s="26">
        <v>0</v>
      </c>
      <c r="J606" s="20">
        <f t="shared" si="9"/>
        <v>148723.08401418221</v>
      </c>
      <c r="K606" s="21" t="str">
        <f>VLOOKUP(C606,'[1]SHU 2023'!C$9:K$719,9,0)</f>
        <v>BUKAN ANGGOTA</v>
      </c>
    </row>
    <row r="607" spans="1:11" x14ac:dyDescent="0.35">
      <c r="A607" s="22">
        <v>600</v>
      </c>
      <c r="B607" s="23" t="s">
        <v>1291</v>
      </c>
      <c r="C607" s="24" t="s">
        <v>1292</v>
      </c>
      <c r="D607" s="25" t="s">
        <v>164</v>
      </c>
      <c r="E607" s="26">
        <v>0</v>
      </c>
      <c r="F607" s="26">
        <v>0</v>
      </c>
      <c r="G607" s="26">
        <v>0</v>
      </c>
      <c r="H607" s="26">
        <v>156861.89181990281</v>
      </c>
      <c r="I607" s="26">
        <v>0</v>
      </c>
      <c r="J607" s="20">
        <f t="shared" si="9"/>
        <v>156861.89181990281</v>
      </c>
      <c r="K607" s="21" t="str">
        <f>VLOOKUP(C607,'[1]SHU 2023'!C$9:K$719,9,0)</f>
        <v>BUKAN ANGGOTA</v>
      </c>
    </row>
    <row r="608" spans="1:11" x14ac:dyDescent="0.35">
      <c r="A608" s="22">
        <v>601</v>
      </c>
      <c r="B608" s="23" t="s">
        <v>1293</v>
      </c>
      <c r="C608" s="24" t="s">
        <v>1294</v>
      </c>
      <c r="D608" s="25" t="s">
        <v>131</v>
      </c>
      <c r="E608" s="26">
        <v>0</v>
      </c>
      <c r="F608" s="26">
        <v>100000</v>
      </c>
      <c r="G608" s="26">
        <v>0</v>
      </c>
      <c r="H608" s="26">
        <v>-0.47883346967864782</v>
      </c>
      <c r="I608" s="26">
        <v>0</v>
      </c>
      <c r="J608" s="20">
        <f t="shared" si="9"/>
        <v>99999.521166530321</v>
      </c>
      <c r="K608" s="21" t="s">
        <v>49</v>
      </c>
    </row>
    <row r="609" spans="1:11" x14ac:dyDescent="0.35">
      <c r="A609" s="22">
        <v>602</v>
      </c>
      <c r="B609" s="23" t="s">
        <v>1295</v>
      </c>
      <c r="C609" s="24" t="s">
        <v>1296</v>
      </c>
      <c r="D609" s="25" t="s">
        <v>131</v>
      </c>
      <c r="E609" s="26">
        <v>0</v>
      </c>
      <c r="F609" s="26">
        <v>0</v>
      </c>
      <c r="G609" s="26">
        <v>0</v>
      </c>
      <c r="H609" s="26">
        <v>30328</v>
      </c>
      <c r="I609" s="26">
        <v>0</v>
      </c>
      <c r="J609" s="20">
        <f t="shared" si="9"/>
        <v>30328</v>
      </c>
      <c r="K609" s="21" t="str">
        <f>VLOOKUP(C609,'[1]SHU 2023'!C$9:K$719,9,0)</f>
        <v>PASIF</v>
      </c>
    </row>
    <row r="610" spans="1:11" x14ac:dyDescent="0.35">
      <c r="A610" s="22">
        <v>603</v>
      </c>
      <c r="B610" s="23" t="s">
        <v>1297</v>
      </c>
      <c r="C610" s="24" t="s">
        <v>1298</v>
      </c>
      <c r="D610" s="25" t="s">
        <v>131</v>
      </c>
      <c r="E610" s="26">
        <v>0</v>
      </c>
      <c r="F610" s="26">
        <v>0</v>
      </c>
      <c r="G610" s="26">
        <v>0</v>
      </c>
      <c r="H610" s="26">
        <v>21717.488739338529</v>
      </c>
      <c r="I610" s="26">
        <v>0</v>
      </c>
      <c r="J610" s="20">
        <f t="shared" si="9"/>
        <v>21717.488739338529</v>
      </c>
      <c r="K610" s="21" t="str">
        <f>VLOOKUP(C610,'[1]SHU 2023'!C$9:K$719,9,0)</f>
        <v>PASIF</v>
      </c>
    </row>
    <row r="611" spans="1:11" x14ac:dyDescent="0.35">
      <c r="A611" s="22">
        <v>604</v>
      </c>
      <c r="B611" s="23" t="s">
        <v>1299</v>
      </c>
      <c r="C611" s="24" t="s">
        <v>1300</v>
      </c>
      <c r="D611" s="25" t="s">
        <v>131</v>
      </c>
      <c r="E611" s="26">
        <v>200000</v>
      </c>
      <c r="F611" s="26">
        <v>2400000</v>
      </c>
      <c r="G611" s="26">
        <v>0</v>
      </c>
      <c r="H611" s="26">
        <v>392833.17728229426</v>
      </c>
      <c r="I611" s="26">
        <v>0</v>
      </c>
      <c r="J611" s="20">
        <f t="shared" si="9"/>
        <v>2992833.1772822943</v>
      </c>
      <c r="K611" s="21" t="str">
        <f>VLOOKUP(C611,'[1]SHU 2023'!C$9:K$719,9,0)</f>
        <v>PASIF</v>
      </c>
    </row>
    <row r="612" spans="1:11" x14ac:dyDescent="0.35">
      <c r="A612" s="22">
        <v>605</v>
      </c>
      <c r="B612" s="23" t="s">
        <v>1301</v>
      </c>
      <c r="C612" s="24" t="s">
        <v>1302</v>
      </c>
      <c r="D612" s="25" t="s">
        <v>164</v>
      </c>
      <c r="E612" s="26">
        <v>0</v>
      </c>
      <c r="F612" s="26">
        <v>-100000</v>
      </c>
      <c r="G612" s="26">
        <v>0</v>
      </c>
      <c r="H612" s="26">
        <v>152987.48873933847</v>
      </c>
      <c r="I612" s="26">
        <v>0</v>
      </c>
      <c r="J612" s="20">
        <f t="shared" si="9"/>
        <v>52987.488739338471</v>
      </c>
      <c r="K612" s="21" t="str">
        <f>VLOOKUP(C612,'[1]SHU 2023'!C$9:K$719,9,0)</f>
        <v>BUKAN ANGGOTA</v>
      </c>
    </row>
    <row r="613" spans="1:11" x14ac:dyDescent="0.35">
      <c r="A613" s="22">
        <v>606</v>
      </c>
      <c r="B613" s="23" t="s">
        <v>1303</v>
      </c>
      <c r="C613" s="24" t="s">
        <v>1304</v>
      </c>
      <c r="D613" s="25" t="s">
        <v>131</v>
      </c>
      <c r="E613" s="26">
        <v>200000</v>
      </c>
      <c r="F613" s="26">
        <v>9600000</v>
      </c>
      <c r="G613" s="26">
        <v>750000</v>
      </c>
      <c r="H613" s="26">
        <v>961088.50696099258</v>
      </c>
      <c r="I613" s="26">
        <v>0</v>
      </c>
      <c r="J613" s="20">
        <f t="shared" si="9"/>
        <v>11511088.506960992</v>
      </c>
      <c r="K613" s="21" t="str">
        <f>VLOOKUP(C613,'[1]SHU 2023'!C$9:K$719,9,0)</f>
        <v>AKTIF</v>
      </c>
    </row>
    <row r="614" spans="1:11" x14ac:dyDescent="0.35">
      <c r="A614" s="22">
        <v>607</v>
      </c>
      <c r="B614" s="23" t="s">
        <v>1305</v>
      </c>
      <c r="C614" s="24" t="s">
        <v>1306</v>
      </c>
      <c r="D614" s="25" t="s">
        <v>131</v>
      </c>
      <c r="E614" s="26">
        <v>200000</v>
      </c>
      <c r="F614" s="26">
        <v>9800000</v>
      </c>
      <c r="G614" s="26">
        <v>150000</v>
      </c>
      <c r="H614" s="26">
        <v>967539.18411382718</v>
      </c>
      <c r="I614" s="26">
        <v>0</v>
      </c>
      <c r="J614" s="20">
        <f t="shared" si="9"/>
        <v>11117539.184113827</v>
      </c>
      <c r="K614" s="21" t="str">
        <f>VLOOKUP(C614,'[1]SHU 2023'!C$9:K$719,9,0)</f>
        <v>AKTIF</v>
      </c>
    </row>
    <row r="615" spans="1:11" x14ac:dyDescent="0.35">
      <c r="A615" s="22">
        <v>608</v>
      </c>
      <c r="B615" s="23" t="s">
        <v>1307</v>
      </c>
      <c r="C615" s="24" t="s">
        <v>1308</v>
      </c>
      <c r="D615" s="25" t="s">
        <v>25</v>
      </c>
      <c r="E615" s="26">
        <v>0</v>
      </c>
      <c r="F615" s="26">
        <v>8550000</v>
      </c>
      <c r="G615" s="26">
        <v>0</v>
      </c>
      <c r="H615" s="26">
        <v>618493.17351665755</v>
      </c>
      <c r="I615" s="26">
        <v>0</v>
      </c>
      <c r="J615" s="20">
        <f t="shared" si="9"/>
        <v>9168493.1735166572</v>
      </c>
      <c r="K615" s="21" t="str">
        <f>VLOOKUP(C615,'[1]SHU 2023'!C$9:K$719,9,0)</f>
        <v>AKTIF</v>
      </c>
    </row>
    <row r="616" spans="1:11" x14ac:dyDescent="0.35">
      <c r="A616" s="22">
        <v>609</v>
      </c>
      <c r="B616" s="23" t="s">
        <v>1309</v>
      </c>
      <c r="C616" s="24" t="s">
        <v>1310</v>
      </c>
      <c r="D616" s="25" t="s">
        <v>131</v>
      </c>
      <c r="E616" s="26">
        <v>200000</v>
      </c>
      <c r="F616" s="26">
        <v>22100000</v>
      </c>
      <c r="G616" s="26">
        <v>0</v>
      </c>
      <c r="H616" s="26">
        <v>1133150.1159610113</v>
      </c>
      <c r="I616" s="26">
        <v>0</v>
      </c>
      <c r="J616" s="20">
        <f t="shared" si="9"/>
        <v>23433150.115961011</v>
      </c>
      <c r="K616" s="21" t="str">
        <f>VLOOKUP(C616,'[1]SHU 2023'!C$9:K$719,9,0)</f>
        <v>AKTIF</v>
      </c>
    </row>
    <row r="617" spans="1:11" x14ac:dyDescent="0.35">
      <c r="A617" s="22">
        <v>610</v>
      </c>
      <c r="B617" s="23" t="s">
        <v>1311</v>
      </c>
      <c r="C617" s="24" t="s">
        <v>1312</v>
      </c>
      <c r="D617" s="25" t="s">
        <v>66</v>
      </c>
      <c r="E617" s="26">
        <v>0</v>
      </c>
      <c r="F617" s="26">
        <v>22350000</v>
      </c>
      <c r="G617" s="26">
        <v>0</v>
      </c>
      <c r="H617" s="26">
        <v>1123182.6945219534</v>
      </c>
      <c r="I617" s="26">
        <v>0</v>
      </c>
      <c r="J617" s="20">
        <f t="shared" si="9"/>
        <v>23473182.694521952</v>
      </c>
      <c r="K617" s="21" t="str">
        <f>VLOOKUP(C617,'[1]SHU 2023'!C$9:K$719,9,0)</f>
        <v>AKTIF</v>
      </c>
    </row>
    <row r="618" spans="1:11" x14ac:dyDescent="0.35">
      <c r="A618" s="22">
        <v>611</v>
      </c>
      <c r="B618" s="23" t="s">
        <v>1313</v>
      </c>
      <c r="C618" s="24" t="s">
        <v>1314</v>
      </c>
      <c r="D618" s="25" t="s">
        <v>71</v>
      </c>
      <c r="E618" s="26">
        <v>0</v>
      </c>
      <c r="F618" s="26">
        <v>22450000</v>
      </c>
      <c r="G618" s="26">
        <v>0</v>
      </c>
      <c r="H618" s="26">
        <v>1132948.1852949846</v>
      </c>
      <c r="I618" s="26">
        <v>0</v>
      </c>
      <c r="J618" s="20">
        <f t="shared" si="9"/>
        <v>23582948.185294986</v>
      </c>
      <c r="K618" s="21" t="str">
        <f>VLOOKUP(C618,'[1]SHU 2023'!C$9:K$719,9,0)</f>
        <v>AKTIF</v>
      </c>
    </row>
    <row r="619" spans="1:11" x14ac:dyDescent="0.35">
      <c r="A619" s="22">
        <v>612</v>
      </c>
      <c r="B619" s="23" t="s">
        <v>1315</v>
      </c>
      <c r="C619" s="24" t="s">
        <v>1316</v>
      </c>
      <c r="D619" s="25" t="s">
        <v>131</v>
      </c>
      <c r="E619" s="26">
        <v>0</v>
      </c>
      <c r="F619" s="26">
        <v>22100000</v>
      </c>
      <c r="G619" s="26">
        <v>250000</v>
      </c>
      <c r="H619" s="26">
        <v>1137647.0388451777</v>
      </c>
      <c r="I619" s="26">
        <v>0</v>
      </c>
      <c r="J619" s="20">
        <f t="shared" si="9"/>
        <v>23487647.038845178</v>
      </c>
      <c r="K619" s="21" t="str">
        <f>VLOOKUP(C619,'[1]SHU 2023'!C$9:K$719,9,0)</f>
        <v>AKTIF</v>
      </c>
    </row>
    <row r="620" spans="1:11" x14ac:dyDescent="0.35">
      <c r="A620" s="22">
        <v>613</v>
      </c>
      <c r="B620" s="23" t="s">
        <v>1317</v>
      </c>
      <c r="C620" s="24" t="s">
        <v>1318</v>
      </c>
      <c r="D620" s="25" t="s">
        <v>362</v>
      </c>
      <c r="E620" s="26">
        <v>0</v>
      </c>
      <c r="F620" s="26">
        <v>0</v>
      </c>
      <c r="G620" s="26">
        <v>200000</v>
      </c>
      <c r="H620" s="26">
        <v>315340.03309765551</v>
      </c>
      <c r="I620" s="26">
        <v>0</v>
      </c>
      <c r="J620" s="20">
        <f t="shared" si="9"/>
        <v>515340.03309765551</v>
      </c>
      <c r="K620" s="21" t="str">
        <f>VLOOKUP(C620,'[1]SHU 2023'!C$9:K$719,9,0)</f>
        <v>BUKAN ANGGOTA</v>
      </c>
    </row>
    <row r="621" spans="1:11" x14ac:dyDescent="0.35">
      <c r="A621" s="22">
        <v>614</v>
      </c>
      <c r="B621" s="23" t="s">
        <v>1319</v>
      </c>
      <c r="C621" s="24" t="s">
        <v>1320</v>
      </c>
      <c r="D621" s="25" t="s">
        <v>34</v>
      </c>
      <c r="E621" s="26">
        <v>0</v>
      </c>
      <c r="F621" s="26">
        <v>250000</v>
      </c>
      <c r="G621" s="26">
        <v>0</v>
      </c>
      <c r="H621" s="26">
        <v>80222.312835927587</v>
      </c>
      <c r="I621" s="26">
        <v>0</v>
      </c>
      <c r="J621" s="20">
        <f t="shared" si="9"/>
        <v>330222.31283592759</v>
      </c>
      <c r="K621" s="21" t="str">
        <f>VLOOKUP(C621,'[1]SHU 2023'!C$9:K$719,9,0)</f>
        <v>PASIF</v>
      </c>
    </row>
    <row r="622" spans="1:11" x14ac:dyDescent="0.35">
      <c r="A622" s="22">
        <v>615</v>
      </c>
      <c r="B622" s="23" t="s">
        <v>1321</v>
      </c>
      <c r="C622" s="24" t="s">
        <v>1322</v>
      </c>
      <c r="D622" s="25" t="s">
        <v>126</v>
      </c>
      <c r="E622" s="26">
        <v>0</v>
      </c>
      <c r="F622" s="26">
        <v>0</v>
      </c>
      <c r="G622" s="26">
        <v>0</v>
      </c>
      <c r="H622" s="26">
        <v>32558.312835927587</v>
      </c>
      <c r="I622" s="26">
        <v>0</v>
      </c>
      <c r="J622" s="20">
        <f t="shared" si="9"/>
        <v>32558.312835927587</v>
      </c>
      <c r="K622" s="21" t="str">
        <f>VLOOKUP(C622,'[1]SHU 2023'!C$9:K$719,9,0)</f>
        <v>PASIF</v>
      </c>
    </row>
    <row r="623" spans="1:11" x14ac:dyDescent="0.35">
      <c r="A623" s="22">
        <v>616</v>
      </c>
      <c r="B623" s="23" t="s">
        <v>1323</v>
      </c>
      <c r="C623" s="24" t="s">
        <v>1324</v>
      </c>
      <c r="D623" s="25" t="s">
        <v>34</v>
      </c>
      <c r="E623" s="26">
        <v>0</v>
      </c>
      <c r="F623" s="26">
        <v>0</v>
      </c>
      <c r="G623" s="26">
        <v>0</v>
      </c>
      <c r="H623" s="26">
        <v>0</v>
      </c>
      <c r="I623" s="26">
        <v>0</v>
      </c>
      <c r="J623" s="20">
        <f t="shared" si="9"/>
        <v>0</v>
      </c>
      <c r="K623" s="21" t="s">
        <v>49</v>
      </c>
    </row>
    <row r="624" spans="1:11" x14ac:dyDescent="0.35">
      <c r="A624" s="22">
        <v>617</v>
      </c>
      <c r="B624" s="23" t="s">
        <v>1325</v>
      </c>
      <c r="C624" s="24" t="s">
        <v>1326</v>
      </c>
      <c r="D624" s="25" t="s">
        <v>362</v>
      </c>
      <c r="E624" s="26">
        <v>0</v>
      </c>
      <c r="F624" s="26">
        <v>0</v>
      </c>
      <c r="G624" s="26">
        <v>0</v>
      </c>
      <c r="H624" s="26">
        <v>311612.31283592759</v>
      </c>
      <c r="I624" s="26">
        <v>0</v>
      </c>
      <c r="J624" s="20">
        <f t="shared" si="9"/>
        <v>311612.31283592759</v>
      </c>
      <c r="K624" s="21" t="str">
        <f>VLOOKUP(C624,'[1]SHU 2023'!C$9:K$719,9,0)</f>
        <v>BUKAN ANGGOTA</v>
      </c>
    </row>
    <row r="625" spans="1:11" x14ac:dyDescent="0.35">
      <c r="A625" s="22">
        <v>618</v>
      </c>
      <c r="B625" s="23" t="s">
        <v>1327</v>
      </c>
      <c r="C625" s="24" t="s">
        <v>1328</v>
      </c>
      <c r="D625" s="25" t="s">
        <v>362</v>
      </c>
      <c r="E625" s="26">
        <v>0</v>
      </c>
      <c r="F625" s="26">
        <v>0</v>
      </c>
      <c r="G625" s="26">
        <v>0</v>
      </c>
      <c r="H625" s="26">
        <v>270449.00137888337</v>
      </c>
      <c r="I625" s="26">
        <v>0</v>
      </c>
      <c r="J625" s="20">
        <f t="shared" si="9"/>
        <v>270449.00137888337</v>
      </c>
      <c r="K625" s="21" t="str">
        <f>VLOOKUP(C625,'[1]SHU 2023'!C$9:K$719,9,0)</f>
        <v>BUKAN ANGGOTA</v>
      </c>
    </row>
    <row r="626" spans="1:11" x14ac:dyDescent="0.35">
      <c r="A626" s="22">
        <v>619</v>
      </c>
      <c r="B626" s="23" t="s">
        <v>1329</v>
      </c>
      <c r="C626" s="24" t="s">
        <v>1330</v>
      </c>
      <c r="D626" s="25" t="s">
        <v>42</v>
      </c>
      <c r="E626" s="26">
        <v>0</v>
      </c>
      <c r="F626" s="26">
        <v>0</v>
      </c>
      <c r="G626" s="26">
        <v>-100000</v>
      </c>
      <c r="H626" s="26">
        <v>-4103</v>
      </c>
      <c r="I626" s="26">
        <v>0</v>
      </c>
      <c r="J626" s="20">
        <f t="shared" si="9"/>
        <v>-104103</v>
      </c>
      <c r="K626" s="21" t="str">
        <f>VLOOKUP(C626,'[1]SHU 2023'!C$9:K$719,9,0)</f>
        <v>PASIF</v>
      </c>
    </row>
    <row r="627" spans="1:11" x14ac:dyDescent="0.35">
      <c r="A627" s="22">
        <v>620</v>
      </c>
      <c r="B627" s="23" t="s">
        <v>1331</v>
      </c>
      <c r="C627" s="24" t="s">
        <v>1332</v>
      </c>
      <c r="D627" s="25" t="s">
        <v>42</v>
      </c>
      <c r="E627" s="26">
        <v>50000</v>
      </c>
      <c r="F627" s="26">
        <v>0</v>
      </c>
      <c r="G627" s="26">
        <v>0</v>
      </c>
      <c r="H627" s="26">
        <v>2052</v>
      </c>
      <c r="I627" s="26">
        <v>0</v>
      </c>
      <c r="J627" s="20">
        <f t="shared" si="9"/>
        <v>52052</v>
      </c>
      <c r="K627" s="21" t="str">
        <f>VLOOKUP(C627,'[1]SHU 2023'!C$9:K$719,9,0)</f>
        <v>PASIF</v>
      </c>
    </row>
    <row r="628" spans="1:11" x14ac:dyDescent="0.35">
      <c r="A628" s="22">
        <v>621</v>
      </c>
      <c r="B628" s="23" t="s">
        <v>1333</v>
      </c>
      <c r="C628" s="24" t="s">
        <v>1334</v>
      </c>
      <c r="D628" s="25" t="s">
        <v>42</v>
      </c>
      <c r="E628" s="26">
        <v>0</v>
      </c>
      <c r="F628" s="26">
        <v>-100000</v>
      </c>
      <c r="G628" s="26">
        <v>0</v>
      </c>
      <c r="H628" s="26">
        <v>-4103</v>
      </c>
      <c r="I628" s="26">
        <v>0</v>
      </c>
      <c r="J628" s="20">
        <f t="shared" si="9"/>
        <v>-104103</v>
      </c>
      <c r="K628" s="21" t="str">
        <f>VLOOKUP(C628,'[1]SHU 2023'!C$9:K$719,9,0)</f>
        <v>PASIF</v>
      </c>
    </row>
    <row r="629" spans="1:11" x14ac:dyDescent="0.35">
      <c r="A629" s="22">
        <v>622</v>
      </c>
      <c r="B629" s="23" t="s">
        <v>1335</v>
      </c>
      <c r="C629" s="24" t="s">
        <v>1336</v>
      </c>
      <c r="D629" s="25" t="s">
        <v>107</v>
      </c>
      <c r="E629" s="26">
        <v>0</v>
      </c>
      <c r="F629" s="26">
        <v>2150000</v>
      </c>
      <c r="G629" s="26">
        <v>0</v>
      </c>
      <c r="H629" s="26">
        <v>321584.31671278446</v>
      </c>
      <c r="I629" s="26">
        <v>0</v>
      </c>
      <c r="J629" s="20">
        <f t="shared" si="9"/>
        <v>2471584.3167127846</v>
      </c>
      <c r="K629" s="21" t="str">
        <f>VLOOKUP(C629,'[1]SHU 2023'!C$9:K$719,9,0)</f>
        <v>PASIF</v>
      </c>
    </row>
    <row r="630" spans="1:11" x14ac:dyDescent="0.35">
      <c r="A630" s="22">
        <v>623</v>
      </c>
      <c r="B630" s="23" t="s">
        <v>1337</v>
      </c>
      <c r="C630" s="24" t="s">
        <v>1338</v>
      </c>
      <c r="D630" s="25" t="s">
        <v>131</v>
      </c>
      <c r="E630" s="26">
        <v>200000</v>
      </c>
      <c r="F630" s="26">
        <v>400000</v>
      </c>
      <c r="G630" s="26">
        <v>0</v>
      </c>
      <c r="H630" s="26">
        <v>137069.93782773582</v>
      </c>
      <c r="I630" s="26">
        <v>0</v>
      </c>
      <c r="J630" s="20">
        <f t="shared" si="9"/>
        <v>737069.93782773579</v>
      </c>
      <c r="K630" s="21" t="str">
        <f>VLOOKUP(C630,'[1]SHU 2023'!C$9:K$719,9,0)</f>
        <v>PASIF</v>
      </c>
    </row>
    <row r="631" spans="1:11" x14ac:dyDescent="0.35">
      <c r="A631" s="22">
        <v>624</v>
      </c>
      <c r="B631" s="23" t="s">
        <v>1339</v>
      </c>
      <c r="C631" s="24" t="s">
        <v>1340</v>
      </c>
      <c r="D631" s="25" t="s">
        <v>131</v>
      </c>
      <c r="E631" s="26">
        <v>200000</v>
      </c>
      <c r="F631" s="26">
        <v>9800000</v>
      </c>
      <c r="G631" s="26">
        <v>1870000</v>
      </c>
      <c r="H631" s="26">
        <v>1084033.5387792753</v>
      </c>
      <c r="I631" s="26">
        <v>0</v>
      </c>
      <c r="J631" s="20">
        <f t="shared" si="9"/>
        <v>12954033.538779275</v>
      </c>
      <c r="K631" s="21" t="str">
        <f>VLOOKUP(C631,'[1]SHU 2023'!C$9:K$719,9,0)</f>
        <v>AKTIF</v>
      </c>
    </row>
    <row r="632" spans="1:11" x14ac:dyDescent="0.35">
      <c r="A632" s="22">
        <v>625</v>
      </c>
      <c r="B632" s="23" t="s">
        <v>1341</v>
      </c>
      <c r="C632" s="24" t="s">
        <v>1342</v>
      </c>
      <c r="D632" s="25" t="s">
        <v>131</v>
      </c>
      <c r="E632" s="26">
        <v>200000</v>
      </c>
      <c r="F632" s="26">
        <v>9700000</v>
      </c>
      <c r="G632" s="26">
        <v>550000</v>
      </c>
      <c r="H632" s="26">
        <v>971019.91355306306</v>
      </c>
      <c r="I632" s="26">
        <v>0</v>
      </c>
      <c r="J632" s="20">
        <f t="shared" si="9"/>
        <v>11421019.913553063</v>
      </c>
      <c r="K632" s="21" t="str">
        <f>VLOOKUP(C632,'[1]SHU 2023'!C$9:K$719,9,0)</f>
        <v>AKTIF</v>
      </c>
    </row>
    <row r="633" spans="1:11" x14ac:dyDescent="0.35">
      <c r="A633" s="22">
        <v>626</v>
      </c>
      <c r="B633" s="23" t="s">
        <v>1343</v>
      </c>
      <c r="C633" s="24" t="s">
        <v>1344</v>
      </c>
      <c r="D633" s="25" t="s">
        <v>92</v>
      </c>
      <c r="E633" s="26">
        <v>0</v>
      </c>
      <c r="F633" s="26">
        <v>22350000</v>
      </c>
      <c r="G633" s="26">
        <v>0</v>
      </c>
      <c r="H633" s="26">
        <v>1123182.6945219534</v>
      </c>
      <c r="I633" s="26">
        <v>0</v>
      </c>
      <c r="J633" s="20">
        <f t="shared" si="9"/>
        <v>23473182.694521952</v>
      </c>
      <c r="K633" s="21" t="str">
        <f>VLOOKUP(C633,'[1]SHU 2023'!C$9:K$719,9,0)</f>
        <v>AKTIF</v>
      </c>
    </row>
    <row r="634" spans="1:11" x14ac:dyDescent="0.35">
      <c r="A634" s="22">
        <v>627</v>
      </c>
      <c r="B634" s="23" t="s">
        <v>1345</v>
      </c>
      <c r="C634" s="24" t="s">
        <v>1346</v>
      </c>
      <c r="D634" s="25" t="s">
        <v>319</v>
      </c>
      <c r="E634" s="26">
        <v>0</v>
      </c>
      <c r="F634" s="26">
        <v>14250000</v>
      </c>
      <c r="G634" s="26">
        <v>0</v>
      </c>
      <c r="H634" s="26">
        <v>1722407.3289155329</v>
      </c>
      <c r="I634" s="26">
        <v>0</v>
      </c>
      <c r="J634" s="20">
        <f t="shared" si="9"/>
        <v>15972407.328915533</v>
      </c>
      <c r="K634" s="21" t="str">
        <f>VLOOKUP(C634,'[1]SHU 2023'!C$9:K$719,9,0)</f>
        <v>AKTIF</v>
      </c>
    </row>
    <row r="635" spans="1:11" x14ac:dyDescent="0.35">
      <c r="A635" s="22">
        <v>628</v>
      </c>
      <c r="B635" s="23" t="s">
        <v>1347</v>
      </c>
      <c r="C635" s="24" t="s">
        <v>1348</v>
      </c>
      <c r="D635" s="25" t="s">
        <v>71</v>
      </c>
      <c r="E635" s="26">
        <v>0</v>
      </c>
      <c r="F635" s="26">
        <v>14400000</v>
      </c>
      <c r="G635" s="26">
        <v>0</v>
      </c>
      <c r="H635" s="26">
        <v>1141281.7890623298</v>
      </c>
      <c r="I635" s="26">
        <v>0</v>
      </c>
      <c r="J635" s="20">
        <f t="shared" si="9"/>
        <v>15541281.78906233</v>
      </c>
      <c r="K635" s="21" t="str">
        <f>VLOOKUP(C635,'[1]SHU 2023'!C$9:K$719,9,0)</f>
        <v>AKTIF</v>
      </c>
    </row>
    <row r="636" spans="1:11" x14ac:dyDescent="0.35">
      <c r="A636" s="22">
        <v>629</v>
      </c>
      <c r="B636" s="23" t="s">
        <v>1349</v>
      </c>
      <c r="C636" s="24" t="s">
        <v>1350</v>
      </c>
      <c r="D636" s="25" t="s">
        <v>17</v>
      </c>
      <c r="E636" s="26">
        <v>0</v>
      </c>
      <c r="F636" s="26">
        <v>3025000</v>
      </c>
      <c r="G636" s="26">
        <v>0</v>
      </c>
      <c r="H636" s="26">
        <v>821234.8186002624</v>
      </c>
      <c r="I636" s="26">
        <v>0</v>
      </c>
      <c r="J636" s="20">
        <f t="shared" si="9"/>
        <v>3846234.8186002625</v>
      </c>
      <c r="K636" s="21" t="str">
        <f>VLOOKUP(C636,'[1]SHU 2023'!C$9:K$719,9,0)</f>
        <v>PASIF</v>
      </c>
    </row>
    <row r="637" spans="1:11" x14ac:dyDescent="0.35">
      <c r="A637" s="22">
        <v>630</v>
      </c>
      <c r="B637" s="23" t="s">
        <v>1351</v>
      </c>
      <c r="C637" s="24" t="s">
        <v>1352</v>
      </c>
      <c r="D637" s="25" t="s">
        <v>17</v>
      </c>
      <c r="E637" s="26">
        <v>0</v>
      </c>
      <c r="F637" s="26">
        <v>450000</v>
      </c>
      <c r="G637" s="26">
        <v>0</v>
      </c>
      <c r="H637" s="26">
        <v>155854.36859637647</v>
      </c>
      <c r="I637" s="26">
        <v>0</v>
      </c>
      <c r="J637" s="20">
        <f t="shared" si="9"/>
        <v>605854.3685963765</v>
      </c>
      <c r="K637" s="21" t="str">
        <f>VLOOKUP(C637,'[1]SHU 2023'!C$9:K$719,9,0)</f>
        <v>PASIF</v>
      </c>
    </row>
    <row r="638" spans="1:11" x14ac:dyDescent="0.35">
      <c r="A638" s="22">
        <v>631</v>
      </c>
      <c r="B638" s="23" t="s">
        <v>1353</v>
      </c>
      <c r="C638" s="24" t="s">
        <v>1354</v>
      </c>
      <c r="D638" s="25" t="s">
        <v>17</v>
      </c>
      <c r="E638" s="26">
        <v>0</v>
      </c>
      <c r="F638" s="26">
        <v>450000</v>
      </c>
      <c r="G638" s="26">
        <v>0</v>
      </c>
      <c r="H638" s="26">
        <v>162284.16104959993</v>
      </c>
      <c r="I638" s="26">
        <v>0</v>
      </c>
      <c r="J638" s="20">
        <f t="shared" si="9"/>
        <v>612284.16104959999</v>
      </c>
      <c r="K638" s="21" t="str">
        <f>VLOOKUP(C638,'[1]SHU 2023'!C$9:K$719,9,0)</f>
        <v>PASIF</v>
      </c>
    </row>
    <row r="639" spans="1:11" x14ac:dyDescent="0.35">
      <c r="A639" s="22">
        <v>632</v>
      </c>
      <c r="B639" s="23" t="s">
        <v>1355</v>
      </c>
      <c r="C639" s="24" t="s">
        <v>1356</v>
      </c>
      <c r="D639" s="25" t="s">
        <v>17</v>
      </c>
      <c r="E639" s="26">
        <v>0</v>
      </c>
      <c r="F639" s="26">
        <v>450000</v>
      </c>
      <c r="G639" s="26">
        <v>0</v>
      </c>
      <c r="H639" s="26">
        <v>162284.16104959993</v>
      </c>
      <c r="I639" s="26">
        <v>0</v>
      </c>
      <c r="J639" s="20">
        <f t="shared" si="9"/>
        <v>612284.16104959999</v>
      </c>
      <c r="K639" s="21" t="str">
        <f>VLOOKUP(C639,'[1]SHU 2023'!C$9:K$719,9,0)</f>
        <v>PASIF</v>
      </c>
    </row>
    <row r="640" spans="1:11" x14ac:dyDescent="0.35">
      <c r="A640" s="22">
        <v>633</v>
      </c>
      <c r="B640" s="23" t="s">
        <v>1357</v>
      </c>
      <c r="C640" s="24" t="s">
        <v>1358</v>
      </c>
      <c r="D640" s="25" t="s">
        <v>369</v>
      </c>
      <c r="E640" s="26">
        <v>0</v>
      </c>
      <c r="F640" s="26">
        <v>14250000</v>
      </c>
      <c r="G640" s="26">
        <v>0</v>
      </c>
      <c r="H640" s="26">
        <v>852062.69690184854</v>
      </c>
      <c r="I640" s="26">
        <v>0</v>
      </c>
      <c r="J640" s="20">
        <f t="shared" si="9"/>
        <v>15102062.696901849</v>
      </c>
      <c r="K640" s="21" t="str">
        <f>VLOOKUP(C640,'[1]SHU 2023'!C$9:K$719,9,0)</f>
        <v>AKTIF</v>
      </c>
    </row>
    <row r="641" spans="1:11" x14ac:dyDescent="0.35">
      <c r="A641" s="22">
        <v>634</v>
      </c>
      <c r="B641" s="23" t="s">
        <v>1359</v>
      </c>
      <c r="C641" s="24" t="s">
        <v>1360</v>
      </c>
      <c r="D641" s="25" t="s">
        <v>424</v>
      </c>
      <c r="E641" s="26">
        <v>0</v>
      </c>
      <c r="F641" s="26">
        <v>13500000</v>
      </c>
      <c r="G641" s="26">
        <v>0</v>
      </c>
      <c r="H641" s="26">
        <v>1188807.3858094465</v>
      </c>
      <c r="I641" s="26">
        <v>0</v>
      </c>
      <c r="J641" s="20">
        <f t="shared" si="9"/>
        <v>14688807.385809446</v>
      </c>
      <c r="K641" s="21" t="str">
        <f>VLOOKUP(C641,'[1]SHU 2023'!C$9:K$719,9,0)</f>
        <v>AKTIF</v>
      </c>
    </row>
    <row r="642" spans="1:11" x14ac:dyDescent="0.35">
      <c r="A642" s="22">
        <v>635</v>
      </c>
      <c r="B642" s="23" t="s">
        <v>1361</v>
      </c>
      <c r="C642" s="24" t="s">
        <v>1362</v>
      </c>
      <c r="D642" s="25" t="s">
        <v>424</v>
      </c>
      <c r="E642" s="26">
        <v>0</v>
      </c>
      <c r="F642" s="26">
        <v>13500000</v>
      </c>
      <c r="G642" s="26">
        <v>0</v>
      </c>
      <c r="H642" s="26">
        <v>1188808.3992154805</v>
      </c>
      <c r="I642" s="26">
        <v>0</v>
      </c>
      <c r="J642" s="20">
        <f t="shared" si="9"/>
        <v>14688808.39921548</v>
      </c>
      <c r="K642" s="21" t="str">
        <f>VLOOKUP(C642,'[1]SHU 2023'!C$9:K$719,9,0)</f>
        <v>AKTIF</v>
      </c>
    </row>
    <row r="643" spans="1:11" x14ac:dyDescent="0.35">
      <c r="A643" s="22">
        <v>636</v>
      </c>
      <c r="B643" s="23" t="s">
        <v>1363</v>
      </c>
      <c r="C643" s="24" t="s">
        <v>1364</v>
      </c>
      <c r="D643" s="25" t="s">
        <v>424</v>
      </c>
      <c r="E643" s="26">
        <v>0</v>
      </c>
      <c r="F643" s="26">
        <v>13500000</v>
      </c>
      <c r="G643" s="26">
        <v>0</v>
      </c>
      <c r="H643" s="26">
        <v>1188808.3992154805</v>
      </c>
      <c r="I643" s="26">
        <v>0</v>
      </c>
      <c r="J643" s="20">
        <f t="shared" si="9"/>
        <v>14688808.39921548</v>
      </c>
      <c r="K643" s="21" t="str">
        <f>VLOOKUP(C643,'[1]SHU 2023'!C$9:K$719,9,0)</f>
        <v>AKTIF</v>
      </c>
    </row>
    <row r="644" spans="1:11" x14ac:dyDescent="0.35">
      <c r="A644" s="22">
        <v>637</v>
      </c>
      <c r="B644" s="23" t="s">
        <v>1365</v>
      </c>
      <c r="C644" s="24" t="s">
        <v>1366</v>
      </c>
      <c r="D644" s="25" t="s">
        <v>424</v>
      </c>
      <c r="E644" s="26">
        <v>0</v>
      </c>
      <c r="F644" s="26">
        <v>13500000</v>
      </c>
      <c r="G644" s="26">
        <v>0</v>
      </c>
      <c r="H644" s="26">
        <v>1188808.3992154805</v>
      </c>
      <c r="I644" s="26">
        <v>0</v>
      </c>
      <c r="J644" s="20">
        <f t="shared" si="9"/>
        <v>14688808.39921548</v>
      </c>
      <c r="K644" s="21" t="str">
        <f>VLOOKUP(C644,'[1]SHU 2023'!C$9:K$719,9,0)</f>
        <v>AKTIF</v>
      </c>
    </row>
    <row r="645" spans="1:11" x14ac:dyDescent="0.35">
      <c r="A645" s="22">
        <v>638</v>
      </c>
      <c r="B645" s="23" t="s">
        <v>1367</v>
      </c>
      <c r="C645" s="24" t="s">
        <v>1368</v>
      </c>
      <c r="D645" s="25" t="s">
        <v>424</v>
      </c>
      <c r="E645" s="26">
        <v>0</v>
      </c>
      <c r="F645" s="26">
        <v>13500000</v>
      </c>
      <c r="G645" s="26">
        <v>0</v>
      </c>
      <c r="H645" s="26">
        <v>351200.95015490626</v>
      </c>
      <c r="I645" s="26">
        <v>0</v>
      </c>
      <c r="J645" s="20">
        <f t="shared" si="9"/>
        <v>13851200.950154906</v>
      </c>
      <c r="K645" s="21" t="str">
        <f>VLOOKUP(C645,'[1]SHU 2023'!C$9:K$719,9,0)</f>
        <v>AKTIF</v>
      </c>
    </row>
    <row r="646" spans="1:11" x14ac:dyDescent="0.35">
      <c r="A646" s="22">
        <v>639</v>
      </c>
      <c r="B646" s="23" t="s">
        <v>1369</v>
      </c>
      <c r="C646" s="24" t="s">
        <v>1370</v>
      </c>
      <c r="D646" s="25" t="s">
        <v>424</v>
      </c>
      <c r="E646" s="26">
        <v>0</v>
      </c>
      <c r="F646" s="26">
        <v>13500000</v>
      </c>
      <c r="G646" s="26">
        <v>0</v>
      </c>
      <c r="H646" s="26">
        <v>1188808.3992154805</v>
      </c>
      <c r="I646" s="26">
        <v>0</v>
      </c>
      <c r="J646" s="20">
        <f t="shared" si="9"/>
        <v>14688808.39921548</v>
      </c>
      <c r="K646" s="21" t="str">
        <f>VLOOKUP(C646,'[1]SHU 2023'!C$9:K$719,9,0)</f>
        <v>AKTIF</v>
      </c>
    </row>
    <row r="647" spans="1:11" x14ac:dyDescent="0.35">
      <c r="A647" s="22">
        <v>640</v>
      </c>
      <c r="B647" s="23" t="s">
        <v>1371</v>
      </c>
      <c r="C647" s="24" t="s">
        <v>1372</v>
      </c>
      <c r="D647" s="25" t="s">
        <v>424</v>
      </c>
      <c r="E647" s="26">
        <v>0</v>
      </c>
      <c r="F647" s="26">
        <v>13500000</v>
      </c>
      <c r="G647" s="26">
        <v>0</v>
      </c>
      <c r="H647" s="26">
        <v>1188808.3992154805</v>
      </c>
      <c r="I647" s="26">
        <v>0</v>
      </c>
      <c r="J647" s="20">
        <f t="shared" si="9"/>
        <v>14688808.39921548</v>
      </c>
      <c r="K647" s="21" t="str">
        <f>VLOOKUP(C647,'[1]SHU 2023'!C$9:K$719,9,0)</f>
        <v>AKTIF</v>
      </c>
    </row>
    <row r="648" spans="1:11" x14ac:dyDescent="0.35">
      <c r="A648" s="22">
        <v>641</v>
      </c>
      <c r="B648" s="23" t="s">
        <v>1373</v>
      </c>
      <c r="C648" s="24" t="s">
        <v>1374</v>
      </c>
      <c r="D648" s="25" t="s">
        <v>92</v>
      </c>
      <c r="E648" s="26">
        <v>0</v>
      </c>
      <c r="F648" s="26">
        <v>10700000</v>
      </c>
      <c r="G648" s="26">
        <v>185000</v>
      </c>
      <c r="H648" s="26">
        <v>628946.29735113634</v>
      </c>
      <c r="I648" s="26">
        <v>0</v>
      </c>
      <c r="J648" s="20">
        <f t="shared" si="9"/>
        <v>11513946.297351137</v>
      </c>
      <c r="K648" s="21" t="str">
        <f>VLOOKUP(C648,'[1]SHU 2023'!C$9:K$719,9,0)</f>
        <v>AKTIF</v>
      </c>
    </row>
    <row r="649" spans="1:11" x14ac:dyDescent="0.35">
      <c r="A649" s="22">
        <v>642</v>
      </c>
      <c r="B649" s="23" t="s">
        <v>1375</v>
      </c>
      <c r="C649" s="24" t="s">
        <v>1376</v>
      </c>
      <c r="D649" s="25" t="s">
        <v>28</v>
      </c>
      <c r="E649" s="26">
        <v>200000</v>
      </c>
      <c r="F649" s="26">
        <v>18500000</v>
      </c>
      <c r="G649" s="26">
        <v>350000</v>
      </c>
      <c r="H649" s="26">
        <v>1264127.8556281885</v>
      </c>
      <c r="I649" s="26">
        <v>0</v>
      </c>
      <c r="J649" s="20">
        <f t="shared" ref="J649:J712" si="10">E649+F649+G649+H649</f>
        <v>20314127.855628189</v>
      </c>
      <c r="K649" s="21" t="str">
        <f>VLOOKUP(C649,'[1]SHU 2023'!C$9:K$719,9,0)</f>
        <v>AKTIF</v>
      </c>
    </row>
    <row r="650" spans="1:11" x14ac:dyDescent="0.35">
      <c r="A650" s="22">
        <v>643</v>
      </c>
      <c r="B650" s="23" t="s">
        <v>1377</v>
      </c>
      <c r="C650" s="24" t="s">
        <v>1378</v>
      </c>
      <c r="D650" s="25" t="s">
        <v>298</v>
      </c>
      <c r="E650" s="26">
        <v>0</v>
      </c>
      <c r="F650" s="26">
        <v>0</v>
      </c>
      <c r="G650" s="26">
        <v>0</v>
      </c>
      <c r="H650" s="26">
        <v>235319.56466044969</v>
      </c>
      <c r="I650" s="26">
        <v>0</v>
      </c>
      <c r="J650" s="20">
        <f t="shared" si="10"/>
        <v>235319.56466044969</v>
      </c>
      <c r="K650" s="21" t="str">
        <f>VLOOKUP(C650,'[1]SHU 2023'!C$9:K$719,9,0)</f>
        <v>PASIF</v>
      </c>
    </row>
    <row r="651" spans="1:11" x14ac:dyDescent="0.35">
      <c r="A651" s="22">
        <v>644</v>
      </c>
      <c r="B651" s="23" t="s">
        <v>1379</v>
      </c>
      <c r="C651" s="24" t="s">
        <v>1380</v>
      </c>
      <c r="D651" s="25" t="s">
        <v>42</v>
      </c>
      <c r="E651" s="26">
        <v>0</v>
      </c>
      <c r="F651" s="26">
        <v>1300000</v>
      </c>
      <c r="G651" s="26">
        <v>0</v>
      </c>
      <c r="H651" s="26">
        <v>318679</v>
      </c>
      <c r="I651" s="26">
        <v>0</v>
      </c>
      <c r="J651" s="20">
        <f t="shared" si="10"/>
        <v>1618679</v>
      </c>
      <c r="K651" s="21" t="str">
        <f>VLOOKUP(C651,'[1]SHU 2023'!C$9:K$719,9,0)</f>
        <v>PASIF</v>
      </c>
    </row>
    <row r="652" spans="1:11" x14ac:dyDescent="0.35">
      <c r="A652" s="22">
        <v>645</v>
      </c>
      <c r="B652" s="23" t="s">
        <v>1381</v>
      </c>
      <c r="C652" s="24" t="s">
        <v>1382</v>
      </c>
      <c r="D652" s="25" t="s">
        <v>42</v>
      </c>
      <c r="E652" s="26">
        <v>0</v>
      </c>
      <c r="F652" s="26">
        <v>0</v>
      </c>
      <c r="G652" s="26">
        <v>0</v>
      </c>
      <c r="H652" s="26">
        <v>34776.253203405475</v>
      </c>
      <c r="I652" s="26">
        <v>0</v>
      </c>
      <c r="J652" s="20">
        <f t="shared" si="10"/>
        <v>34776.253203405475</v>
      </c>
      <c r="K652" s="21" t="str">
        <f>VLOOKUP(C652,'[1]SHU 2023'!C$9:K$719,9,0)</f>
        <v>PASIF</v>
      </c>
    </row>
    <row r="653" spans="1:11" x14ac:dyDescent="0.35">
      <c r="A653" s="22">
        <v>646</v>
      </c>
      <c r="B653" s="23" t="s">
        <v>1383</v>
      </c>
      <c r="C653" s="24" t="s">
        <v>1384</v>
      </c>
      <c r="D653" s="25" t="s">
        <v>123</v>
      </c>
      <c r="E653" s="26">
        <v>200000</v>
      </c>
      <c r="F653" s="26">
        <v>9050000</v>
      </c>
      <c r="G653" s="26">
        <v>250000</v>
      </c>
      <c r="H653" s="26">
        <v>752771.42601862375</v>
      </c>
      <c r="I653" s="26">
        <v>0</v>
      </c>
      <c r="J653" s="20">
        <f t="shared" si="10"/>
        <v>10252771.426018624</v>
      </c>
      <c r="K653" s="21" t="str">
        <f>VLOOKUP(C653,'[1]SHU 2023'!C$9:K$719,9,0)</f>
        <v>AKTIF</v>
      </c>
    </row>
    <row r="654" spans="1:11" x14ac:dyDescent="0.35">
      <c r="A654" s="22">
        <v>647</v>
      </c>
      <c r="B654" s="23" t="s">
        <v>1385</v>
      </c>
      <c r="C654" s="24" t="s">
        <v>1386</v>
      </c>
      <c r="D654" s="25" t="s">
        <v>123</v>
      </c>
      <c r="E654" s="26">
        <v>0</v>
      </c>
      <c r="F654" s="26">
        <v>200000</v>
      </c>
      <c r="G654" s="26">
        <v>0</v>
      </c>
      <c r="H654" s="26">
        <v>23745.631233419146</v>
      </c>
      <c r="I654" s="26">
        <v>0</v>
      </c>
      <c r="J654" s="20">
        <f t="shared" si="10"/>
        <v>223745.63123341915</v>
      </c>
      <c r="K654" s="21" t="str">
        <f>VLOOKUP(C654,'[1]SHU 2023'!C$9:K$719,9,0)</f>
        <v>PASIF</v>
      </c>
    </row>
    <row r="655" spans="1:11" x14ac:dyDescent="0.35">
      <c r="A655" s="22">
        <v>648</v>
      </c>
      <c r="B655" s="23" t="s">
        <v>1387</v>
      </c>
      <c r="C655" s="24" t="s">
        <v>1388</v>
      </c>
      <c r="D655" s="25" t="s">
        <v>123</v>
      </c>
      <c r="E655" s="26">
        <v>0</v>
      </c>
      <c r="F655" s="26">
        <v>-100000</v>
      </c>
      <c r="G655" s="26">
        <v>0</v>
      </c>
      <c r="H655" s="26">
        <v>-4103</v>
      </c>
      <c r="I655" s="26">
        <v>0</v>
      </c>
      <c r="J655" s="20">
        <f t="shared" si="10"/>
        <v>-104103</v>
      </c>
      <c r="K655" s="21" t="str">
        <f>VLOOKUP(C655,'[1]SHU 2023'!C$9:K$719,9,0)</f>
        <v>PASIF</v>
      </c>
    </row>
    <row r="656" spans="1:11" x14ac:dyDescent="0.35">
      <c r="A656" s="22">
        <v>649</v>
      </c>
      <c r="B656" s="23" t="s">
        <v>1389</v>
      </c>
      <c r="C656" s="24" t="s">
        <v>1390</v>
      </c>
      <c r="D656" s="25" t="s">
        <v>42</v>
      </c>
      <c r="E656" s="26">
        <v>0</v>
      </c>
      <c r="F656" s="26">
        <v>-100000</v>
      </c>
      <c r="G656" s="26">
        <v>0</v>
      </c>
      <c r="H656" s="26">
        <v>-4103</v>
      </c>
      <c r="I656" s="26">
        <v>0</v>
      </c>
      <c r="J656" s="20">
        <f t="shared" si="10"/>
        <v>-104103</v>
      </c>
      <c r="K656" s="21" t="str">
        <f>VLOOKUP(C656,'[1]SHU 2023'!C$9:K$719,9,0)</f>
        <v>PASIF</v>
      </c>
    </row>
    <row r="657" spans="1:11" x14ac:dyDescent="0.35">
      <c r="A657" s="22">
        <v>650</v>
      </c>
      <c r="B657" s="23" t="s">
        <v>1391</v>
      </c>
      <c r="C657" s="24" t="s">
        <v>1392</v>
      </c>
      <c r="D657" s="25" t="s">
        <v>42</v>
      </c>
      <c r="E657" s="26">
        <v>0</v>
      </c>
      <c r="F657" s="26">
        <v>-100000</v>
      </c>
      <c r="G657" s="26">
        <v>0</v>
      </c>
      <c r="H657" s="26">
        <v>-4103</v>
      </c>
      <c r="I657" s="26">
        <v>0</v>
      </c>
      <c r="J657" s="20">
        <f t="shared" si="10"/>
        <v>-104103</v>
      </c>
      <c r="K657" s="21" t="str">
        <f>VLOOKUP(C657,'[1]SHU 2023'!C$9:K$719,9,0)</f>
        <v>PASIF</v>
      </c>
    </row>
    <row r="658" spans="1:11" x14ac:dyDescent="0.35">
      <c r="A658" s="22">
        <v>651</v>
      </c>
      <c r="B658" s="23" t="s">
        <v>1393</v>
      </c>
      <c r="C658" s="24" t="s">
        <v>1394</v>
      </c>
      <c r="D658" s="25" t="s">
        <v>131</v>
      </c>
      <c r="E658" s="26">
        <v>0</v>
      </c>
      <c r="F658" s="26">
        <v>0</v>
      </c>
      <c r="G658" s="26">
        <v>0</v>
      </c>
      <c r="H658" s="26">
        <v>0.39397890027612448</v>
      </c>
      <c r="I658" s="26">
        <v>0</v>
      </c>
      <c r="J658" s="20">
        <f t="shared" si="10"/>
        <v>0.39397890027612448</v>
      </c>
      <c r="K658" s="21" t="s">
        <v>49</v>
      </c>
    </row>
    <row r="659" spans="1:11" x14ac:dyDescent="0.35">
      <c r="A659" s="22">
        <v>652</v>
      </c>
      <c r="B659" s="23" t="s">
        <v>1395</v>
      </c>
      <c r="C659" s="24" t="s">
        <v>1396</v>
      </c>
      <c r="D659" s="25" t="s">
        <v>34</v>
      </c>
      <c r="E659" s="26">
        <v>0</v>
      </c>
      <c r="F659" s="26">
        <v>0</v>
      </c>
      <c r="G659" s="26">
        <v>0</v>
      </c>
      <c r="H659" s="26">
        <v>32185.811036850675</v>
      </c>
      <c r="I659" s="26">
        <v>0</v>
      </c>
      <c r="J659" s="20">
        <f t="shared" si="10"/>
        <v>32185.811036850675</v>
      </c>
      <c r="K659" s="21" t="str">
        <f>VLOOKUP(C659,'[1]SHU 2023'!C$9:K$719,9,0)</f>
        <v>PASIF</v>
      </c>
    </row>
    <row r="660" spans="1:11" x14ac:dyDescent="0.35">
      <c r="A660" s="22">
        <v>653</v>
      </c>
      <c r="B660" s="23" t="s">
        <v>1397</v>
      </c>
      <c r="C660" s="24" t="s">
        <v>1398</v>
      </c>
      <c r="D660" s="25" t="s">
        <v>424</v>
      </c>
      <c r="E660" s="26">
        <v>0</v>
      </c>
      <c r="F660" s="26">
        <v>22400000</v>
      </c>
      <c r="G660" s="26">
        <v>0</v>
      </c>
      <c r="H660" s="26">
        <v>1764603.6937459745</v>
      </c>
      <c r="I660" s="26">
        <v>0</v>
      </c>
      <c r="J660" s="20">
        <f t="shared" si="10"/>
        <v>24164603.693745974</v>
      </c>
      <c r="K660" s="21" t="str">
        <f>VLOOKUP(C660,'[1]SHU 2023'!C$9:K$719,9,0)</f>
        <v>AKTIF</v>
      </c>
    </row>
    <row r="661" spans="1:11" x14ac:dyDescent="0.35">
      <c r="A661" s="22">
        <v>654</v>
      </c>
      <c r="B661" s="23" t="s">
        <v>1399</v>
      </c>
      <c r="C661" s="24" t="s">
        <v>1400</v>
      </c>
      <c r="D661" s="25" t="s">
        <v>25</v>
      </c>
      <c r="E661" s="26">
        <v>0</v>
      </c>
      <c r="F661" s="26">
        <v>0</v>
      </c>
      <c r="G661" s="26">
        <v>0</v>
      </c>
      <c r="H661" s="26">
        <v>-0.30870014429092407</v>
      </c>
      <c r="I661" s="26">
        <v>0</v>
      </c>
      <c r="J661" s="20">
        <f t="shared" si="10"/>
        <v>-0.30870014429092407</v>
      </c>
      <c r="K661" s="21" t="s">
        <v>49</v>
      </c>
    </row>
    <row r="662" spans="1:11" x14ac:dyDescent="0.35">
      <c r="A662" s="22">
        <v>655</v>
      </c>
      <c r="B662" s="23" t="s">
        <v>1401</v>
      </c>
      <c r="C662" s="24" t="s">
        <v>1402</v>
      </c>
      <c r="D662" s="25" t="s">
        <v>131</v>
      </c>
      <c r="E662" s="26">
        <v>200000</v>
      </c>
      <c r="F662" s="26">
        <v>8800000</v>
      </c>
      <c r="G662" s="26">
        <v>870000</v>
      </c>
      <c r="H662" s="26">
        <v>770674.79174029082</v>
      </c>
      <c r="I662" s="26">
        <v>0</v>
      </c>
      <c r="J662" s="20">
        <f t="shared" si="10"/>
        <v>10640674.791740291</v>
      </c>
      <c r="K662" s="21" t="str">
        <f>VLOOKUP(C662,'[1]SHU 2023'!C$9:K$719,9,0)</f>
        <v>AKTIF</v>
      </c>
    </row>
    <row r="663" spans="1:11" x14ac:dyDescent="0.35">
      <c r="A663" s="22">
        <v>656</v>
      </c>
      <c r="B663" s="23" t="s">
        <v>1403</v>
      </c>
      <c r="C663" s="24" t="s">
        <v>1404</v>
      </c>
      <c r="D663" s="25" t="s">
        <v>42</v>
      </c>
      <c r="E663" s="26">
        <v>0</v>
      </c>
      <c r="F663" s="26">
        <v>0</v>
      </c>
      <c r="G663" s="26">
        <v>0</v>
      </c>
      <c r="H663" s="26">
        <v>86818</v>
      </c>
      <c r="I663" s="26">
        <v>0</v>
      </c>
      <c r="J663" s="20">
        <f t="shared" si="10"/>
        <v>86818</v>
      </c>
      <c r="K663" s="21" t="str">
        <f>VLOOKUP(C663,'[1]SHU 2023'!C$9:K$719,9,0)</f>
        <v>PASIF</v>
      </c>
    </row>
    <row r="664" spans="1:11" x14ac:dyDescent="0.35">
      <c r="A664" s="22">
        <v>657</v>
      </c>
      <c r="B664" s="23" t="s">
        <v>1405</v>
      </c>
      <c r="C664" s="24" t="s">
        <v>1406</v>
      </c>
      <c r="D664" s="25" t="s">
        <v>86</v>
      </c>
      <c r="E664" s="26">
        <v>0</v>
      </c>
      <c r="F664" s="26">
        <v>21200000</v>
      </c>
      <c r="G664" s="26">
        <v>0</v>
      </c>
      <c r="H664" s="26">
        <v>1305390.657092338</v>
      </c>
      <c r="I664" s="26">
        <v>0</v>
      </c>
      <c r="J664" s="20">
        <f t="shared" si="10"/>
        <v>22505390.657092337</v>
      </c>
      <c r="K664" s="21" t="str">
        <f>VLOOKUP(C664,'[1]SHU 2023'!C$9:K$719,9,0)</f>
        <v>AKTIF</v>
      </c>
    </row>
    <row r="665" spans="1:11" x14ac:dyDescent="0.35">
      <c r="A665" s="22">
        <v>658</v>
      </c>
      <c r="B665" s="23" t="s">
        <v>1407</v>
      </c>
      <c r="C665" s="24" t="s">
        <v>1408</v>
      </c>
      <c r="D665" s="25" t="s">
        <v>86</v>
      </c>
      <c r="E665" s="26">
        <v>0</v>
      </c>
      <c r="F665" s="26">
        <v>-150000</v>
      </c>
      <c r="G665" s="26">
        <v>0</v>
      </c>
      <c r="H665" s="26">
        <v>159039.93437113264</v>
      </c>
      <c r="I665" s="26">
        <v>0</v>
      </c>
      <c r="J665" s="20">
        <f t="shared" si="10"/>
        <v>9039.9343711326364</v>
      </c>
      <c r="K665" s="21" t="str">
        <f>VLOOKUP(C665,'[1]SHU 2023'!C$9:K$719,9,0)</f>
        <v>BUKAN ANGGOTA</v>
      </c>
    </row>
    <row r="666" spans="1:11" x14ac:dyDescent="0.35">
      <c r="A666" s="22">
        <v>659</v>
      </c>
      <c r="B666" s="23" t="s">
        <v>1409</v>
      </c>
      <c r="C666" s="24" t="s">
        <v>1410</v>
      </c>
      <c r="D666" s="25" t="s">
        <v>102</v>
      </c>
      <c r="E666" s="26">
        <v>0</v>
      </c>
      <c r="F666" s="26">
        <v>8100000</v>
      </c>
      <c r="G666" s="26">
        <v>100000</v>
      </c>
      <c r="H666" s="26">
        <v>586660.41947753832</v>
      </c>
      <c r="I666" s="26">
        <v>0</v>
      </c>
      <c r="J666" s="20">
        <f t="shared" si="10"/>
        <v>8786660.4194775391</v>
      </c>
      <c r="K666" s="21" t="str">
        <f>VLOOKUP(C666,'[1]SHU 2023'!C$9:K$719,9,0)</f>
        <v>AKTIF</v>
      </c>
    </row>
    <row r="667" spans="1:11" x14ac:dyDescent="0.35">
      <c r="A667" s="22">
        <v>660</v>
      </c>
      <c r="B667" s="23" t="s">
        <v>1411</v>
      </c>
      <c r="C667" s="24" t="s">
        <v>1412</v>
      </c>
      <c r="D667" s="25" t="s">
        <v>123</v>
      </c>
      <c r="E667" s="26">
        <v>200000</v>
      </c>
      <c r="F667" s="26">
        <v>11850000</v>
      </c>
      <c r="G667" s="26">
        <v>800000</v>
      </c>
      <c r="H667" s="26">
        <v>1010371.2479977988</v>
      </c>
      <c r="I667" s="26">
        <v>0</v>
      </c>
      <c r="J667" s="20">
        <f t="shared" si="10"/>
        <v>13860371.247997798</v>
      </c>
      <c r="K667" s="21" t="str">
        <f>VLOOKUP(C667,'[1]SHU 2023'!C$9:K$719,9,0)</f>
        <v>AKTIF</v>
      </c>
    </row>
    <row r="668" spans="1:11" x14ac:dyDescent="0.35">
      <c r="A668" s="22">
        <v>661</v>
      </c>
      <c r="B668" s="23" t="s">
        <v>1413</v>
      </c>
      <c r="C668" s="24" t="s">
        <v>1414</v>
      </c>
      <c r="D668" s="25" t="s">
        <v>123</v>
      </c>
      <c r="E668" s="26">
        <v>200000</v>
      </c>
      <c r="F668" s="26">
        <v>11700000</v>
      </c>
      <c r="G668" s="26">
        <v>500000</v>
      </c>
      <c r="H668" s="26">
        <v>903027.27071082522</v>
      </c>
      <c r="I668" s="26">
        <v>0</v>
      </c>
      <c r="J668" s="20">
        <f t="shared" si="10"/>
        <v>13303027.270710826</v>
      </c>
      <c r="K668" s="21" t="str">
        <f>VLOOKUP(C668,'[1]SHU 2023'!C$9:K$719,9,0)</f>
        <v>AKTIF</v>
      </c>
    </row>
    <row r="669" spans="1:11" x14ac:dyDescent="0.35">
      <c r="A669" s="22">
        <v>662</v>
      </c>
      <c r="B669" s="23" t="s">
        <v>1415</v>
      </c>
      <c r="C669" s="24" t="s">
        <v>1416</v>
      </c>
      <c r="D669" s="25" t="s">
        <v>298</v>
      </c>
      <c r="E669" s="26">
        <v>200000</v>
      </c>
      <c r="F669" s="26">
        <v>11400000</v>
      </c>
      <c r="G669" s="26">
        <v>250000</v>
      </c>
      <c r="H669" s="26">
        <v>820379.50059315318</v>
      </c>
      <c r="I669" s="26">
        <v>0</v>
      </c>
      <c r="J669" s="20">
        <f t="shared" si="10"/>
        <v>12670379.500593154</v>
      </c>
      <c r="K669" s="21" t="str">
        <f>VLOOKUP(C669,'[1]SHU 2023'!C$9:K$719,9,0)</f>
        <v>AKTIF</v>
      </c>
    </row>
    <row r="670" spans="1:11" x14ac:dyDescent="0.35">
      <c r="A670" s="22">
        <v>663</v>
      </c>
      <c r="B670" s="23" t="s">
        <v>1417</v>
      </c>
      <c r="C670" s="24" t="s">
        <v>1418</v>
      </c>
      <c r="D670" s="25" t="s">
        <v>424</v>
      </c>
      <c r="E670" s="26">
        <v>0</v>
      </c>
      <c r="F670" s="26">
        <v>10800000</v>
      </c>
      <c r="G670" s="26">
        <v>0</v>
      </c>
      <c r="H670" s="26">
        <v>674402.63802341651</v>
      </c>
      <c r="I670" s="26">
        <v>0</v>
      </c>
      <c r="J670" s="20">
        <f t="shared" si="10"/>
        <v>11474402.638023417</v>
      </c>
      <c r="K670" s="21" t="str">
        <f>VLOOKUP(C670,'[1]SHU 2023'!C$9:K$719,9,0)</f>
        <v>AKTIF</v>
      </c>
    </row>
    <row r="671" spans="1:11" x14ac:dyDescent="0.35">
      <c r="A671" s="22">
        <v>664</v>
      </c>
      <c r="B671" s="23" t="s">
        <v>1419</v>
      </c>
      <c r="C671" s="24" t="s">
        <v>1420</v>
      </c>
      <c r="D671" s="25" t="s">
        <v>424</v>
      </c>
      <c r="E671" s="26">
        <v>0</v>
      </c>
      <c r="F671" s="26">
        <v>10800000</v>
      </c>
      <c r="G671" s="26">
        <v>0</v>
      </c>
      <c r="H671" s="26">
        <v>674402.63802341651</v>
      </c>
      <c r="I671" s="26">
        <v>0</v>
      </c>
      <c r="J671" s="20">
        <f t="shared" si="10"/>
        <v>11474402.638023417</v>
      </c>
      <c r="K671" s="21" t="str">
        <f>VLOOKUP(C671,'[1]SHU 2023'!C$9:K$719,9,0)</f>
        <v>AKTIF</v>
      </c>
    </row>
    <row r="672" spans="1:11" x14ac:dyDescent="0.35">
      <c r="A672" s="22">
        <v>665</v>
      </c>
      <c r="B672" s="23" t="s">
        <v>1421</v>
      </c>
      <c r="C672" s="24" t="s">
        <v>1422</v>
      </c>
      <c r="D672" s="25" t="s">
        <v>131</v>
      </c>
      <c r="E672" s="26">
        <v>200000</v>
      </c>
      <c r="F672" s="26">
        <v>7100000</v>
      </c>
      <c r="G672" s="26">
        <v>600000</v>
      </c>
      <c r="H672" s="26">
        <v>515978.07407675765</v>
      </c>
      <c r="I672" s="26">
        <v>0</v>
      </c>
      <c r="J672" s="20">
        <f t="shared" si="10"/>
        <v>8415978.0740767568</v>
      </c>
      <c r="K672" s="21" t="str">
        <f>VLOOKUP(C672,'[1]SHU 2023'!C$9:K$719,9,0)</f>
        <v>AKTIF</v>
      </c>
    </row>
    <row r="673" spans="1:11" x14ac:dyDescent="0.35">
      <c r="A673" s="22">
        <v>666</v>
      </c>
      <c r="B673" s="23" t="s">
        <v>1423</v>
      </c>
      <c r="C673" s="24" t="s">
        <v>1424</v>
      </c>
      <c r="D673" s="25" t="s">
        <v>210</v>
      </c>
      <c r="E673" s="26">
        <v>0</v>
      </c>
      <c r="F673" s="26">
        <v>11100000</v>
      </c>
      <c r="G673" s="26">
        <v>0</v>
      </c>
      <c r="H673" s="26">
        <v>679337.87594562629</v>
      </c>
      <c r="I673" s="26">
        <v>0</v>
      </c>
      <c r="J673" s="20">
        <f t="shared" si="10"/>
        <v>11779337.875945626</v>
      </c>
      <c r="K673" s="21" t="str">
        <f>VLOOKUP(C673,'[1]SHU 2023'!C$9:K$719,9,0)</f>
        <v>AKTIF</v>
      </c>
    </row>
    <row r="674" spans="1:11" x14ac:dyDescent="0.35">
      <c r="A674" s="22">
        <v>667</v>
      </c>
      <c r="B674" s="23" t="s">
        <v>1425</v>
      </c>
      <c r="C674" s="24" t="s">
        <v>1426</v>
      </c>
      <c r="D674" s="25" t="s">
        <v>210</v>
      </c>
      <c r="E674" s="26">
        <v>0</v>
      </c>
      <c r="F674" s="26">
        <v>11100000</v>
      </c>
      <c r="G674" s="26">
        <v>0</v>
      </c>
      <c r="H674" s="26">
        <v>679337.87594562629</v>
      </c>
      <c r="I674" s="26">
        <v>0</v>
      </c>
      <c r="J674" s="20">
        <f t="shared" si="10"/>
        <v>11779337.875945626</v>
      </c>
      <c r="K674" s="21" t="str">
        <f>VLOOKUP(C674,'[1]SHU 2023'!C$9:K$719,9,0)</f>
        <v>AKTIF</v>
      </c>
    </row>
    <row r="675" spans="1:11" x14ac:dyDescent="0.35">
      <c r="A675" s="22">
        <v>668</v>
      </c>
      <c r="B675" s="23" t="s">
        <v>1427</v>
      </c>
      <c r="C675" s="24" t="s">
        <v>1428</v>
      </c>
      <c r="D675" s="25" t="s">
        <v>154</v>
      </c>
      <c r="E675" s="26">
        <v>0</v>
      </c>
      <c r="F675" s="26">
        <v>11100000</v>
      </c>
      <c r="G675" s="26">
        <v>0</v>
      </c>
      <c r="H675" s="26">
        <v>667101.34697191813</v>
      </c>
      <c r="I675" s="26">
        <v>0</v>
      </c>
      <c r="J675" s="20">
        <f t="shared" si="10"/>
        <v>11767101.346971918</v>
      </c>
      <c r="K675" s="21" t="str">
        <f>VLOOKUP(C675,'[1]SHU 2023'!C$9:K$719,9,0)</f>
        <v>AKTIF</v>
      </c>
    </row>
    <row r="676" spans="1:11" x14ac:dyDescent="0.35">
      <c r="A676" s="22">
        <v>669</v>
      </c>
      <c r="B676" s="23" t="s">
        <v>1429</v>
      </c>
      <c r="C676" s="24" t="s">
        <v>1430</v>
      </c>
      <c r="D676" s="25"/>
      <c r="E676" s="26">
        <v>0</v>
      </c>
      <c r="F676" s="26">
        <v>100000</v>
      </c>
      <c r="G676" s="26">
        <v>0</v>
      </c>
      <c r="H676" s="26">
        <v>10343.25</v>
      </c>
      <c r="I676" s="26">
        <v>0</v>
      </c>
      <c r="J676" s="20">
        <f t="shared" si="10"/>
        <v>110343.25</v>
      </c>
      <c r="K676" s="21" t="str">
        <f>VLOOKUP(C676,'[1]SHU 2023'!C$9:K$719,9,0)</f>
        <v>PASIF</v>
      </c>
    </row>
    <row r="677" spans="1:11" x14ac:dyDescent="0.35">
      <c r="A677" s="22">
        <v>670</v>
      </c>
      <c r="B677" s="23" t="s">
        <v>1431</v>
      </c>
      <c r="C677" s="24" t="s">
        <v>1432</v>
      </c>
      <c r="D677" s="25" t="s">
        <v>519</v>
      </c>
      <c r="E677" s="26">
        <v>0</v>
      </c>
      <c r="F677" s="26">
        <v>0</v>
      </c>
      <c r="G677" s="26">
        <v>0</v>
      </c>
      <c r="H677" s="26">
        <v>0</v>
      </c>
      <c r="I677" s="26">
        <v>0</v>
      </c>
      <c r="J677" s="20">
        <f t="shared" si="10"/>
        <v>0</v>
      </c>
      <c r="K677" s="21" t="s">
        <v>49</v>
      </c>
    </row>
    <row r="678" spans="1:11" x14ac:dyDescent="0.35">
      <c r="A678" s="22">
        <v>671</v>
      </c>
      <c r="B678" s="23" t="s">
        <v>1433</v>
      </c>
      <c r="C678" s="24" t="s">
        <v>1434</v>
      </c>
      <c r="D678" s="25" t="s">
        <v>131</v>
      </c>
      <c r="E678" s="26">
        <v>200000</v>
      </c>
      <c r="F678" s="26">
        <v>7100000</v>
      </c>
      <c r="G678" s="26">
        <v>1250000</v>
      </c>
      <c r="H678" s="26">
        <v>486745.70500473562</v>
      </c>
      <c r="I678" s="26">
        <v>0</v>
      </c>
      <c r="J678" s="20">
        <f t="shared" si="10"/>
        <v>9036745.7050047349</v>
      </c>
      <c r="K678" s="21" t="str">
        <f>VLOOKUP(C678,'[1]SHU 2023'!C$9:K$719,9,0)</f>
        <v>AKTIF</v>
      </c>
    </row>
    <row r="679" spans="1:11" x14ac:dyDescent="0.35">
      <c r="A679" s="22">
        <v>672</v>
      </c>
      <c r="B679" s="23" t="s">
        <v>1435</v>
      </c>
      <c r="C679" s="24" t="s">
        <v>1436</v>
      </c>
      <c r="D679" s="25" t="s">
        <v>45</v>
      </c>
      <c r="E679" s="26">
        <v>0</v>
      </c>
      <c r="F679" s="26">
        <v>100000</v>
      </c>
      <c r="G679" s="26">
        <v>0</v>
      </c>
      <c r="H679" s="26">
        <v>72873</v>
      </c>
      <c r="I679" s="26">
        <v>0</v>
      </c>
      <c r="J679" s="20">
        <f t="shared" si="10"/>
        <v>172873</v>
      </c>
      <c r="K679" s="21" t="str">
        <f>VLOOKUP(C679,'[1]SHU 2023'!C$9:K$719,9,0)</f>
        <v>PASIF</v>
      </c>
    </row>
    <row r="680" spans="1:11" x14ac:dyDescent="0.35">
      <c r="A680" s="22">
        <v>673</v>
      </c>
      <c r="B680" s="23" t="s">
        <v>1437</v>
      </c>
      <c r="C680" s="24" t="s">
        <v>1438</v>
      </c>
      <c r="D680" s="25" t="s">
        <v>298</v>
      </c>
      <c r="E680" s="26">
        <v>0</v>
      </c>
      <c r="F680" s="26">
        <v>4900000</v>
      </c>
      <c r="G680" s="26">
        <v>0</v>
      </c>
      <c r="H680" s="26">
        <v>316375.81720975612</v>
      </c>
      <c r="I680" s="26">
        <v>0</v>
      </c>
      <c r="J680" s="20">
        <f t="shared" si="10"/>
        <v>5216375.817209756</v>
      </c>
      <c r="K680" s="21" t="str">
        <f>VLOOKUP(C680,'[1]SHU 2023'!C$9:K$719,9,0)</f>
        <v>AKTIF</v>
      </c>
    </row>
    <row r="681" spans="1:11" x14ac:dyDescent="0.35">
      <c r="A681" s="22">
        <v>674</v>
      </c>
      <c r="B681" s="23" t="s">
        <v>1439</v>
      </c>
      <c r="C681" s="24" t="s">
        <v>1440</v>
      </c>
      <c r="D681" s="25" t="s">
        <v>59</v>
      </c>
      <c r="E681" s="26">
        <v>0</v>
      </c>
      <c r="F681" s="26">
        <v>6600000</v>
      </c>
      <c r="G681" s="26">
        <v>0</v>
      </c>
      <c r="H681" s="26">
        <v>323078.83420773339</v>
      </c>
      <c r="I681" s="26">
        <v>0</v>
      </c>
      <c r="J681" s="20">
        <f t="shared" si="10"/>
        <v>6923078.8342077332</v>
      </c>
      <c r="K681" s="21" t="str">
        <f>VLOOKUP(C681,'[1]SHU 2023'!C$9:K$719,9,0)</f>
        <v>AKTIF</v>
      </c>
    </row>
    <row r="682" spans="1:11" x14ac:dyDescent="0.35">
      <c r="A682" s="22">
        <v>675</v>
      </c>
      <c r="B682" s="23" t="s">
        <v>1441</v>
      </c>
      <c r="C682" s="24" t="s">
        <v>1442</v>
      </c>
      <c r="D682" s="25" t="s">
        <v>1443</v>
      </c>
      <c r="E682" s="26">
        <v>0</v>
      </c>
      <c r="F682" s="26">
        <v>9300000</v>
      </c>
      <c r="G682" s="26">
        <v>750000</v>
      </c>
      <c r="H682" s="26">
        <v>404293.96977295791</v>
      </c>
      <c r="I682" s="26">
        <v>0</v>
      </c>
      <c r="J682" s="20">
        <f t="shared" si="10"/>
        <v>10454293.969772957</v>
      </c>
      <c r="K682" s="21" t="str">
        <f>VLOOKUP(C682,'[1]SHU 2023'!C$9:K$719,9,0)</f>
        <v>AKTIF</v>
      </c>
    </row>
    <row r="683" spans="1:11" x14ac:dyDescent="0.35">
      <c r="A683" s="22">
        <v>676</v>
      </c>
      <c r="B683" s="23" t="s">
        <v>1444</v>
      </c>
      <c r="C683" s="24" t="s">
        <v>1445</v>
      </c>
      <c r="D683" s="25" t="s">
        <v>131</v>
      </c>
      <c r="E683" s="26">
        <v>200000</v>
      </c>
      <c r="F683" s="26">
        <v>0</v>
      </c>
      <c r="G683" s="26">
        <v>0</v>
      </c>
      <c r="H683" s="26">
        <v>0</v>
      </c>
      <c r="I683" s="26">
        <v>0</v>
      </c>
      <c r="J683" s="20">
        <f t="shared" si="10"/>
        <v>200000</v>
      </c>
      <c r="K683" s="21" t="str">
        <f>VLOOKUP(C683,'[1]SHU 2023'!C$9:K$719,9,0)</f>
        <v>BUKAN ANGGOTA</v>
      </c>
    </row>
    <row r="684" spans="1:11" x14ac:dyDescent="0.35">
      <c r="A684" s="22">
        <v>677</v>
      </c>
      <c r="B684" s="23" t="s">
        <v>1446</v>
      </c>
      <c r="C684" s="24" t="s">
        <v>1447</v>
      </c>
      <c r="D684" s="25" t="s">
        <v>747</v>
      </c>
      <c r="E684" s="26">
        <v>0</v>
      </c>
      <c r="F684" s="26">
        <v>6000000</v>
      </c>
      <c r="G684" s="26">
        <v>500000</v>
      </c>
      <c r="H684" s="26">
        <v>237229.42101056251</v>
      </c>
      <c r="I684" s="26">
        <v>0</v>
      </c>
      <c r="J684" s="20">
        <f t="shared" si="10"/>
        <v>6737229.4210105622</v>
      </c>
      <c r="K684" s="21" t="str">
        <f>VLOOKUP(C684,'[1]SHU 2023'!C$9:K$719,9,0)</f>
        <v>AKTIF</v>
      </c>
    </row>
    <row r="685" spans="1:11" x14ac:dyDescent="0.35">
      <c r="A685" s="22">
        <v>678</v>
      </c>
      <c r="B685" s="23" t="s">
        <v>1448</v>
      </c>
      <c r="C685" s="24" t="s">
        <v>1449</v>
      </c>
      <c r="D685" s="25" t="s">
        <v>747</v>
      </c>
      <c r="E685" s="26">
        <v>0</v>
      </c>
      <c r="F685" s="26">
        <v>6000000</v>
      </c>
      <c r="G685" s="26">
        <v>0</v>
      </c>
      <c r="H685" s="26">
        <v>218980.53628388816</v>
      </c>
      <c r="I685" s="26">
        <v>0</v>
      </c>
      <c r="J685" s="20">
        <f t="shared" si="10"/>
        <v>6218980.5362838879</v>
      </c>
      <c r="K685" s="21" t="str">
        <f>VLOOKUP(C685,'[1]SHU 2023'!C$9:K$719,9,0)</f>
        <v>AKTIF</v>
      </c>
    </row>
    <row r="686" spans="1:11" x14ac:dyDescent="0.35">
      <c r="A686" s="22">
        <v>679</v>
      </c>
      <c r="B686" s="23" t="s">
        <v>1450</v>
      </c>
      <c r="C686" s="24" t="s">
        <v>1451</v>
      </c>
      <c r="D686" s="25" t="s">
        <v>131</v>
      </c>
      <c r="E686" s="26">
        <v>0</v>
      </c>
      <c r="F686" s="26">
        <v>0</v>
      </c>
      <c r="G686" s="26">
        <v>0</v>
      </c>
      <c r="H686" s="26">
        <v>71658.764089283562</v>
      </c>
      <c r="I686" s="26">
        <v>0</v>
      </c>
      <c r="J686" s="20">
        <f t="shared" si="10"/>
        <v>71658.764089283562</v>
      </c>
      <c r="K686" s="21" t="s">
        <v>49</v>
      </c>
    </row>
    <row r="687" spans="1:11" x14ac:dyDescent="0.35">
      <c r="A687" s="22">
        <v>680</v>
      </c>
      <c r="B687" s="23" t="s">
        <v>1452</v>
      </c>
      <c r="C687" s="24" t="s">
        <v>1453</v>
      </c>
      <c r="D687" s="25" t="s">
        <v>316</v>
      </c>
      <c r="E687" s="26">
        <v>0</v>
      </c>
      <c r="F687" s="26">
        <v>9300000</v>
      </c>
      <c r="G687" s="26">
        <v>0</v>
      </c>
      <c r="H687" s="26">
        <v>375098.2311058765</v>
      </c>
      <c r="I687" s="26">
        <v>0</v>
      </c>
      <c r="J687" s="20">
        <f t="shared" si="10"/>
        <v>9675098.2311058771</v>
      </c>
      <c r="K687" s="21" t="str">
        <f>VLOOKUP(C687,'[1]SHU 2023'!C$9:K$719,9,0)</f>
        <v>AKTIF</v>
      </c>
    </row>
    <row r="688" spans="1:11" x14ac:dyDescent="0.35">
      <c r="A688" s="22">
        <v>681</v>
      </c>
      <c r="B688" s="23" t="s">
        <v>1454</v>
      </c>
      <c r="C688" s="24" t="s">
        <v>1455</v>
      </c>
      <c r="D688" s="25" t="s">
        <v>28</v>
      </c>
      <c r="E688" s="26">
        <v>0</v>
      </c>
      <c r="F688" s="26">
        <v>9300000</v>
      </c>
      <c r="G688" s="26">
        <v>0</v>
      </c>
      <c r="H688" s="26">
        <v>375098.2311058765</v>
      </c>
      <c r="I688" s="26">
        <v>0</v>
      </c>
      <c r="J688" s="20">
        <f t="shared" si="10"/>
        <v>9675098.2311058771</v>
      </c>
      <c r="K688" s="21" t="str">
        <f>VLOOKUP(C688,'[1]SHU 2023'!C$9:K$719,9,0)</f>
        <v>AKTIF</v>
      </c>
    </row>
    <row r="689" spans="1:11" x14ac:dyDescent="0.35">
      <c r="A689" s="22">
        <v>682</v>
      </c>
      <c r="B689" s="23" t="s">
        <v>1456</v>
      </c>
      <c r="C689" s="24" t="s">
        <v>1457</v>
      </c>
      <c r="D689" s="25" t="s">
        <v>233</v>
      </c>
      <c r="E689" s="26">
        <v>0</v>
      </c>
      <c r="F689" s="26">
        <v>9300000</v>
      </c>
      <c r="G689" s="26">
        <v>750000</v>
      </c>
      <c r="H689" s="26">
        <v>386475.07673264307</v>
      </c>
      <c r="I689" s="26">
        <v>0</v>
      </c>
      <c r="J689" s="20">
        <f t="shared" si="10"/>
        <v>10436475.076732643</v>
      </c>
      <c r="K689" s="21" t="str">
        <f>VLOOKUP(C689,'[1]SHU 2023'!C$9:K$719,9,0)</f>
        <v>AKTIF</v>
      </c>
    </row>
    <row r="690" spans="1:11" x14ac:dyDescent="0.35">
      <c r="A690" s="22">
        <v>683</v>
      </c>
      <c r="B690" s="23" t="s">
        <v>1458</v>
      </c>
      <c r="C690" s="24" t="s">
        <v>1459</v>
      </c>
      <c r="D690" s="25" t="s">
        <v>298</v>
      </c>
      <c r="E690" s="26">
        <v>0</v>
      </c>
      <c r="F690" s="26">
        <v>9300000</v>
      </c>
      <c r="G690" s="26">
        <v>0</v>
      </c>
      <c r="H690" s="26">
        <v>375098.2311058765</v>
      </c>
      <c r="I690" s="26">
        <v>0</v>
      </c>
      <c r="J690" s="20">
        <f t="shared" si="10"/>
        <v>9675098.2311058771</v>
      </c>
      <c r="K690" s="21" t="str">
        <f>VLOOKUP(C690,'[1]SHU 2023'!C$9:K$719,9,0)</f>
        <v>AKTIF</v>
      </c>
    </row>
    <row r="691" spans="1:11" x14ac:dyDescent="0.35">
      <c r="A691" s="22">
        <v>684</v>
      </c>
      <c r="B691" s="23" t="s">
        <v>1460</v>
      </c>
      <c r="C691" s="24" t="s">
        <v>1461</v>
      </c>
      <c r="D691" s="25" t="s">
        <v>74</v>
      </c>
      <c r="E691" s="26">
        <v>0</v>
      </c>
      <c r="F691" s="26">
        <v>150000</v>
      </c>
      <c r="G691" s="26">
        <v>0</v>
      </c>
      <c r="H691" s="26">
        <v>0</v>
      </c>
      <c r="I691" s="26">
        <v>0</v>
      </c>
      <c r="J691" s="20">
        <f t="shared" si="10"/>
        <v>150000</v>
      </c>
      <c r="K691" s="21" t="str">
        <f>VLOOKUP(C691,'[1]SHU 2023'!C$9:K$719,9,0)</f>
        <v>BUKAN ANGGOTA</v>
      </c>
    </row>
    <row r="692" spans="1:11" x14ac:dyDescent="0.35">
      <c r="A692" s="22">
        <v>685</v>
      </c>
      <c r="B692" s="23" t="s">
        <v>1462</v>
      </c>
      <c r="C692" s="24" t="s">
        <v>1463</v>
      </c>
      <c r="D692" s="25" t="s">
        <v>74</v>
      </c>
      <c r="E692" s="26">
        <v>0</v>
      </c>
      <c r="F692" s="26">
        <v>0</v>
      </c>
      <c r="G692" s="26">
        <v>0</v>
      </c>
      <c r="H692" s="26">
        <v>43822</v>
      </c>
      <c r="I692" s="26">
        <v>0</v>
      </c>
      <c r="J692" s="20">
        <f t="shared" si="10"/>
        <v>43822</v>
      </c>
      <c r="K692" s="21" t="str">
        <f>VLOOKUP(C692,'[1]SHU 2023'!C$9:K$719,9,0)</f>
        <v>PASIF</v>
      </c>
    </row>
    <row r="693" spans="1:11" x14ac:dyDescent="0.35">
      <c r="A693" s="22">
        <v>686</v>
      </c>
      <c r="B693" s="23" t="s">
        <v>1464</v>
      </c>
      <c r="C693" s="24" t="s">
        <v>1465</v>
      </c>
      <c r="D693" s="25" t="s">
        <v>74</v>
      </c>
      <c r="E693" s="26">
        <v>0</v>
      </c>
      <c r="F693" s="26">
        <v>150000</v>
      </c>
      <c r="G693" s="26">
        <v>0</v>
      </c>
      <c r="H693" s="26">
        <v>0</v>
      </c>
      <c r="I693" s="26">
        <v>0</v>
      </c>
      <c r="J693" s="20">
        <f t="shared" si="10"/>
        <v>150000</v>
      </c>
      <c r="K693" s="21" t="str">
        <f>VLOOKUP(C693,'[1]SHU 2023'!C$9:K$719,9,0)</f>
        <v>BUKAN ANGGOTA</v>
      </c>
    </row>
    <row r="694" spans="1:11" x14ac:dyDescent="0.35">
      <c r="A694" s="22">
        <v>687</v>
      </c>
      <c r="B694" s="23" t="s">
        <v>1466</v>
      </c>
      <c r="C694" s="24" t="s">
        <v>1467</v>
      </c>
      <c r="D694" s="25" t="s">
        <v>233</v>
      </c>
      <c r="E694" s="26">
        <v>0</v>
      </c>
      <c r="F694" s="26">
        <v>9300000</v>
      </c>
      <c r="G694" s="26">
        <v>0</v>
      </c>
      <c r="H694" s="26">
        <v>375098.2311058765</v>
      </c>
      <c r="I694" s="26">
        <v>0</v>
      </c>
      <c r="J694" s="20">
        <f t="shared" si="10"/>
        <v>9675098.2311058771</v>
      </c>
      <c r="K694" s="21" t="str">
        <f>VLOOKUP(C694,'[1]SHU 2023'!C$9:K$719,9,0)</f>
        <v>AKTIF</v>
      </c>
    </row>
    <row r="695" spans="1:11" x14ac:dyDescent="0.35">
      <c r="A695" s="22">
        <v>688</v>
      </c>
      <c r="B695" s="23" t="s">
        <v>1468</v>
      </c>
      <c r="C695" s="24" t="s">
        <v>1469</v>
      </c>
      <c r="D695" s="25" t="s">
        <v>113</v>
      </c>
      <c r="E695" s="26">
        <v>0</v>
      </c>
      <c r="F695" s="26">
        <v>9300000</v>
      </c>
      <c r="G695" s="26">
        <v>0</v>
      </c>
      <c r="H695" s="26">
        <v>375098.2311058765</v>
      </c>
      <c r="I695" s="26">
        <v>0</v>
      </c>
      <c r="J695" s="20">
        <f t="shared" si="10"/>
        <v>9675098.2311058771</v>
      </c>
      <c r="K695" s="21" t="str">
        <f>VLOOKUP(C695,'[1]SHU 2023'!C$9:K$719,9,0)</f>
        <v>AKTIF</v>
      </c>
    </row>
    <row r="696" spans="1:11" x14ac:dyDescent="0.35">
      <c r="A696" s="22">
        <v>689</v>
      </c>
      <c r="B696" s="23" t="s">
        <v>1470</v>
      </c>
      <c r="C696" s="24" t="s">
        <v>1471</v>
      </c>
      <c r="D696" s="25" t="s">
        <v>313</v>
      </c>
      <c r="E696" s="26">
        <v>0</v>
      </c>
      <c r="F696" s="26">
        <v>9300000</v>
      </c>
      <c r="G696" s="26">
        <v>0</v>
      </c>
      <c r="H696" s="26">
        <v>375098.2311058765</v>
      </c>
      <c r="I696" s="26">
        <v>0</v>
      </c>
      <c r="J696" s="20">
        <f t="shared" si="10"/>
        <v>9675098.2311058771</v>
      </c>
      <c r="K696" s="21" t="str">
        <f>VLOOKUP(C696,'[1]SHU 2023'!C$9:K$719,9,0)</f>
        <v>AKTIF</v>
      </c>
    </row>
    <row r="697" spans="1:11" x14ac:dyDescent="0.35">
      <c r="A697" s="22">
        <v>690</v>
      </c>
      <c r="B697" s="23" t="s">
        <v>1472</v>
      </c>
      <c r="C697" s="24" t="s">
        <v>1473</v>
      </c>
      <c r="D697" s="25" t="s">
        <v>546</v>
      </c>
      <c r="E697" s="26">
        <v>0</v>
      </c>
      <c r="F697" s="26">
        <v>0</v>
      </c>
      <c r="G697" s="26">
        <v>0</v>
      </c>
      <c r="H697" s="26">
        <v>86904</v>
      </c>
      <c r="I697" s="26">
        <v>0</v>
      </c>
      <c r="J697" s="20">
        <f t="shared" si="10"/>
        <v>86904</v>
      </c>
      <c r="K697" s="21" t="str">
        <f>VLOOKUP(C697,'[1]SHU 2023'!C$9:K$719,9,0)</f>
        <v>PASIF</v>
      </c>
    </row>
    <row r="698" spans="1:11" x14ac:dyDescent="0.35">
      <c r="A698" s="22">
        <v>691</v>
      </c>
      <c r="B698" s="23" t="s">
        <v>1474</v>
      </c>
      <c r="C698" s="24" t="s">
        <v>1475</v>
      </c>
      <c r="D698" s="25" t="s">
        <v>1443</v>
      </c>
      <c r="E698" s="26">
        <v>0</v>
      </c>
      <c r="F698" s="26">
        <v>9300000</v>
      </c>
      <c r="G698" s="26">
        <v>0</v>
      </c>
      <c r="H698" s="26">
        <v>375098.2311058765</v>
      </c>
      <c r="I698" s="26">
        <v>0</v>
      </c>
      <c r="J698" s="20">
        <f t="shared" si="10"/>
        <v>9675098.2311058771</v>
      </c>
      <c r="K698" s="21" t="str">
        <f>VLOOKUP(C698,'[1]SHU 2023'!C$9:K$719,9,0)</f>
        <v>AKTIF</v>
      </c>
    </row>
    <row r="699" spans="1:11" x14ac:dyDescent="0.35">
      <c r="A699" s="22">
        <v>692</v>
      </c>
      <c r="B699" s="23" t="s">
        <v>1476</v>
      </c>
      <c r="C699" s="24" t="s">
        <v>1477</v>
      </c>
      <c r="D699" s="25" t="s">
        <v>1478</v>
      </c>
      <c r="E699" s="26">
        <v>0</v>
      </c>
      <c r="F699" s="26">
        <v>9300000</v>
      </c>
      <c r="G699" s="26">
        <v>500000</v>
      </c>
      <c r="H699" s="26">
        <v>381801.24810385372</v>
      </c>
      <c r="I699" s="26">
        <v>0</v>
      </c>
      <c r="J699" s="20">
        <f t="shared" si="10"/>
        <v>10181801.248103853</v>
      </c>
      <c r="K699" s="21" t="str">
        <f>VLOOKUP(C699,'[1]SHU 2023'!C$9:K$719,9,0)</f>
        <v>AKTIF</v>
      </c>
    </row>
    <row r="700" spans="1:11" x14ac:dyDescent="0.35">
      <c r="A700" s="22">
        <v>693</v>
      </c>
      <c r="B700" s="23" t="s">
        <v>1479</v>
      </c>
      <c r="C700" s="24" t="s">
        <v>1480</v>
      </c>
      <c r="D700" s="25" t="s">
        <v>110</v>
      </c>
      <c r="E700" s="26">
        <v>0</v>
      </c>
      <c r="F700" s="26">
        <v>9300000</v>
      </c>
      <c r="G700" s="26">
        <v>0</v>
      </c>
      <c r="H700" s="26">
        <v>375098.2311058765</v>
      </c>
      <c r="I700" s="26">
        <v>0</v>
      </c>
      <c r="J700" s="20">
        <f t="shared" si="10"/>
        <v>9675098.2311058771</v>
      </c>
      <c r="K700" s="21" t="str">
        <f>VLOOKUP(C700,'[1]SHU 2023'!C$9:K$719,9,0)</f>
        <v>AKTIF</v>
      </c>
    </row>
    <row r="701" spans="1:11" x14ac:dyDescent="0.35">
      <c r="A701" s="22">
        <v>694</v>
      </c>
      <c r="B701" s="23" t="s">
        <v>1481</v>
      </c>
      <c r="C701" s="24" t="s">
        <v>1482</v>
      </c>
      <c r="D701" s="25" t="s">
        <v>126</v>
      </c>
      <c r="E701" s="26">
        <v>0</v>
      </c>
      <c r="F701" s="26">
        <v>9300000</v>
      </c>
      <c r="G701" s="26">
        <v>0</v>
      </c>
      <c r="H701" s="26">
        <v>375098.2311058765</v>
      </c>
      <c r="I701" s="26">
        <v>0</v>
      </c>
      <c r="J701" s="20">
        <f t="shared" si="10"/>
        <v>9675098.2311058771</v>
      </c>
      <c r="K701" s="21" t="str">
        <f>VLOOKUP(C701,'[1]SHU 2023'!C$9:K$719,9,0)</f>
        <v>AKTIF</v>
      </c>
    </row>
    <row r="702" spans="1:11" x14ac:dyDescent="0.35">
      <c r="A702" s="22">
        <v>695</v>
      </c>
      <c r="B702" s="23" t="s">
        <v>1483</v>
      </c>
      <c r="C702" s="24" t="s">
        <v>1484</v>
      </c>
      <c r="D702" s="25" t="s">
        <v>28</v>
      </c>
      <c r="E702" s="26">
        <v>0</v>
      </c>
      <c r="F702" s="26">
        <v>9300000</v>
      </c>
      <c r="G702" s="26">
        <v>0</v>
      </c>
      <c r="H702" s="26">
        <v>375098.2311058765</v>
      </c>
      <c r="I702" s="26">
        <v>0</v>
      </c>
      <c r="J702" s="20">
        <f t="shared" si="10"/>
        <v>9675098.2311058771</v>
      </c>
      <c r="K702" s="21" t="str">
        <f>VLOOKUP(C702,'[1]SHU 2023'!C$9:K$719,9,0)</f>
        <v>AKTIF</v>
      </c>
    </row>
    <row r="703" spans="1:11" x14ac:dyDescent="0.35">
      <c r="A703" s="22">
        <v>696</v>
      </c>
      <c r="B703" s="23" t="s">
        <v>1485</v>
      </c>
      <c r="C703" s="24" t="s">
        <v>1486</v>
      </c>
      <c r="D703" s="25" t="s">
        <v>113</v>
      </c>
      <c r="E703" s="26">
        <v>0</v>
      </c>
      <c r="F703" s="26">
        <v>9300000</v>
      </c>
      <c r="G703" s="26">
        <v>500000</v>
      </c>
      <c r="H703" s="26">
        <v>378449.73960486508</v>
      </c>
      <c r="I703" s="26">
        <v>0</v>
      </c>
      <c r="J703" s="20">
        <f t="shared" si="10"/>
        <v>10178449.739604864</v>
      </c>
      <c r="K703" s="21" t="str">
        <f>VLOOKUP(C703,'[1]SHU 2023'!C$9:K$719,9,0)</f>
        <v>AKTIF</v>
      </c>
    </row>
    <row r="704" spans="1:11" x14ac:dyDescent="0.35">
      <c r="A704" s="22">
        <v>697</v>
      </c>
      <c r="B704" s="23" t="s">
        <v>1487</v>
      </c>
      <c r="C704" s="24" t="s">
        <v>1488</v>
      </c>
      <c r="D704" s="25" t="s">
        <v>131</v>
      </c>
      <c r="E704" s="26">
        <v>200000</v>
      </c>
      <c r="F704" s="26">
        <v>5700000</v>
      </c>
      <c r="G704" s="26">
        <v>400000</v>
      </c>
      <c r="H704" s="26">
        <v>225023.21089784362</v>
      </c>
      <c r="I704" s="26">
        <v>0</v>
      </c>
      <c r="J704" s="20">
        <f t="shared" si="10"/>
        <v>6525023.2108978434</v>
      </c>
      <c r="K704" s="21" t="str">
        <f>VLOOKUP(C704,'[1]SHU 2023'!C$9:K$719,9,0)</f>
        <v>AKTIF</v>
      </c>
    </row>
    <row r="705" spans="1:11" x14ac:dyDescent="0.35">
      <c r="A705" s="22">
        <v>698</v>
      </c>
      <c r="B705" s="23" t="s">
        <v>1489</v>
      </c>
      <c r="C705" s="24" t="s">
        <v>1490</v>
      </c>
      <c r="D705" s="25"/>
      <c r="E705" s="26">
        <v>0</v>
      </c>
      <c r="F705" s="26">
        <v>-100000</v>
      </c>
      <c r="G705" s="26">
        <v>0</v>
      </c>
      <c r="H705" s="26">
        <v>63913</v>
      </c>
      <c r="I705" s="26">
        <v>0</v>
      </c>
      <c r="J705" s="20">
        <f t="shared" si="10"/>
        <v>-36087</v>
      </c>
      <c r="K705" s="21" t="str">
        <f>VLOOKUP(C705,'[1]SHU 2023'!C$9:K$719,9,0)</f>
        <v>BUKAN ANGGOTA</v>
      </c>
    </row>
    <row r="706" spans="1:11" x14ac:dyDescent="0.35">
      <c r="A706" s="22">
        <v>699</v>
      </c>
      <c r="B706" s="23" t="s">
        <v>1491</v>
      </c>
      <c r="C706" s="24" t="s">
        <v>1492</v>
      </c>
      <c r="D706" s="25"/>
      <c r="E706" s="26">
        <v>200000</v>
      </c>
      <c r="F706" s="26">
        <v>2600000</v>
      </c>
      <c r="G706" s="26">
        <v>225000</v>
      </c>
      <c r="H706" s="26">
        <v>163525.00803300136</v>
      </c>
      <c r="I706" s="26">
        <v>0</v>
      </c>
      <c r="J706" s="20">
        <f t="shared" si="10"/>
        <v>3188525.0080330013</v>
      </c>
      <c r="K706" s="21" t="str">
        <f>VLOOKUP(C706,'[1]SHU 2023'!C$9:K$719,9,0)</f>
        <v>AKTIF</v>
      </c>
    </row>
    <row r="707" spans="1:11" x14ac:dyDescent="0.35">
      <c r="A707" s="22">
        <v>700</v>
      </c>
      <c r="B707" s="23" t="s">
        <v>1493</v>
      </c>
      <c r="C707" s="24" t="s">
        <v>1494</v>
      </c>
      <c r="D707" s="25"/>
      <c r="E707" s="26">
        <v>0</v>
      </c>
      <c r="F707" s="26">
        <v>100000</v>
      </c>
      <c r="G707" s="26">
        <v>0</v>
      </c>
      <c r="H707" s="26">
        <v>63338</v>
      </c>
      <c r="I707" s="26">
        <v>0</v>
      </c>
      <c r="J707" s="20">
        <f t="shared" si="10"/>
        <v>163338</v>
      </c>
      <c r="K707" s="21" t="str">
        <f>VLOOKUP(C707,'[1]SHU 2023'!C$9:K$719,9,0)</f>
        <v>BUKAN ANGGOTA</v>
      </c>
    </row>
    <row r="708" spans="1:11" x14ac:dyDescent="0.35">
      <c r="A708" s="22">
        <v>701</v>
      </c>
      <c r="B708" s="23" t="s">
        <v>1495</v>
      </c>
      <c r="C708" s="24" t="s">
        <v>1496</v>
      </c>
      <c r="D708" s="25"/>
      <c r="E708" s="26">
        <v>0</v>
      </c>
      <c r="F708" s="26">
        <v>0</v>
      </c>
      <c r="G708" s="26">
        <v>0</v>
      </c>
      <c r="H708" s="26">
        <v>62977</v>
      </c>
      <c r="I708" s="26">
        <v>0</v>
      </c>
      <c r="J708" s="20">
        <f t="shared" si="10"/>
        <v>62977</v>
      </c>
      <c r="K708" s="21" t="str">
        <f>VLOOKUP(C708,'[1]SHU 2023'!C$9:K$719,9,0)</f>
        <v>BUKAN ANGGOTA</v>
      </c>
    </row>
    <row r="709" spans="1:11" x14ac:dyDescent="0.35">
      <c r="A709" s="22">
        <v>702</v>
      </c>
      <c r="B709" s="23" t="s">
        <v>1497</v>
      </c>
      <c r="C709" s="24" t="s">
        <v>1498</v>
      </c>
      <c r="D709" s="25"/>
      <c r="E709" s="26">
        <v>0</v>
      </c>
      <c r="F709" s="26">
        <v>0</v>
      </c>
      <c r="G709" s="26">
        <v>0</v>
      </c>
      <c r="H709" s="26">
        <v>63938</v>
      </c>
      <c r="I709" s="26">
        <v>0</v>
      </c>
      <c r="J709" s="20">
        <f t="shared" si="10"/>
        <v>63938</v>
      </c>
      <c r="K709" s="21" t="str">
        <f>VLOOKUP(C709,'[1]SHU 2023'!C$9:K$719,9,0)</f>
        <v>BUKAN ANGGOTA</v>
      </c>
    </row>
    <row r="710" spans="1:11" x14ac:dyDescent="0.35">
      <c r="A710" s="22">
        <v>703</v>
      </c>
      <c r="B710" s="23" t="s">
        <v>1499</v>
      </c>
      <c r="C710" s="24" t="s">
        <v>1500</v>
      </c>
      <c r="D710" s="25"/>
      <c r="E710" s="26">
        <v>0</v>
      </c>
      <c r="F710" s="26">
        <v>0</v>
      </c>
      <c r="G710" s="26">
        <v>0</v>
      </c>
      <c r="H710" s="26">
        <v>60183</v>
      </c>
      <c r="I710" s="26">
        <v>0</v>
      </c>
      <c r="J710" s="20">
        <f t="shared" si="10"/>
        <v>60183</v>
      </c>
      <c r="K710" s="21" t="str">
        <f>VLOOKUP(C710,'[1]SHU 2023'!C$9:K$719,9,0)</f>
        <v>BUKAN ANGGOTA</v>
      </c>
    </row>
    <row r="711" spans="1:11" x14ac:dyDescent="0.35">
      <c r="A711" s="22">
        <v>704</v>
      </c>
      <c r="B711" s="23" t="s">
        <v>1501</v>
      </c>
      <c r="C711" s="24" t="s">
        <v>1502</v>
      </c>
      <c r="D711" s="25" t="s">
        <v>131</v>
      </c>
      <c r="E711" s="26">
        <v>200000</v>
      </c>
      <c r="F711" s="26">
        <v>5500000</v>
      </c>
      <c r="G711" s="26">
        <v>270000</v>
      </c>
      <c r="H711" s="26">
        <v>174946.72317278472</v>
      </c>
      <c r="I711" s="26">
        <v>0</v>
      </c>
      <c r="J711" s="20">
        <f t="shared" si="10"/>
        <v>6144946.7231727848</v>
      </c>
      <c r="K711" s="21" t="str">
        <f>VLOOKUP(C711,'[1]SHU 2023'!C$9:K$719,9,0)</f>
        <v>AKTIF</v>
      </c>
    </row>
    <row r="712" spans="1:11" x14ac:dyDescent="0.35">
      <c r="A712" s="22">
        <v>705</v>
      </c>
      <c r="B712" s="23" t="s">
        <v>1503</v>
      </c>
      <c r="C712" s="24" t="s">
        <v>1504</v>
      </c>
      <c r="D712" s="25" t="s">
        <v>20</v>
      </c>
      <c r="E712" s="26">
        <v>0</v>
      </c>
      <c r="F712" s="26">
        <v>13250000</v>
      </c>
      <c r="G712" s="26">
        <v>0</v>
      </c>
      <c r="H712" s="26">
        <v>479977.22932654375</v>
      </c>
      <c r="I712" s="26">
        <v>0</v>
      </c>
      <c r="J712" s="20">
        <f t="shared" si="10"/>
        <v>13729977.229326544</v>
      </c>
      <c r="K712" s="21" t="s">
        <v>848</v>
      </c>
    </row>
    <row r="713" spans="1:11" x14ac:dyDescent="0.35">
      <c r="A713" s="22">
        <v>706</v>
      </c>
      <c r="B713" s="23" t="s">
        <v>1505</v>
      </c>
      <c r="C713" s="24" t="s">
        <v>1506</v>
      </c>
      <c r="D713" s="25" t="s">
        <v>747</v>
      </c>
      <c r="E713" s="26">
        <v>0</v>
      </c>
      <c r="F713" s="26">
        <v>4700000</v>
      </c>
      <c r="G713" s="26">
        <v>350000</v>
      </c>
      <c r="H713" s="26">
        <v>114371.43975772616</v>
      </c>
      <c r="I713" s="26">
        <v>0</v>
      </c>
      <c r="J713" s="20">
        <f t="shared" ref="J713:J756" si="11">E713+F713+G713+H713</f>
        <v>5164371.4397577262</v>
      </c>
      <c r="K713" s="21" t="str">
        <f>VLOOKUP(C713,'[1]SHU 2023'!C$9:K$719,9,0)</f>
        <v>AKTIF</v>
      </c>
    </row>
    <row r="714" spans="1:11" x14ac:dyDescent="0.35">
      <c r="A714" s="22">
        <v>707</v>
      </c>
      <c r="B714" s="23" t="s">
        <v>1507</v>
      </c>
      <c r="C714" s="24" t="s">
        <v>1508</v>
      </c>
      <c r="D714" s="25"/>
      <c r="E714" s="26">
        <v>0</v>
      </c>
      <c r="F714" s="26">
        <v>150000</v>
      </c>
      <c r="G714" s="26">
        <v>0</v>
      </c>
      <c r="H714" s="26">
        <v>0</v>
      </c>
      <c r="I714" s="26">
        <v>0</v>
      </c>
      <c r="J714" s="20">
        <f t="shared" si="11"/>
        <v>150000</v>
      </c>
      <c r="K714" s="21" t="str">
        <f>VLOOKUP(C714,'[1]SHU 2023'!C$9:K$719,9,0)</f>
        <v>PASIF</v>
      </c>
    </row>
    <row r="715" spans="1:11" x14ac:dyDescent="0.35">
      <c r="A715" s="22">
        <v>708</v>
      </c>
      <c r="B715" s="23" t="s">
        <v>1509</v>
      </c>
      <c r="C715" s="24" t="s">
        <v>1510</v>
      </c>
      <c r="D715" s="25" t="s">
        <v>369</v>
      </c>
      <c r="E715" s="26">
        <v>0</v>
      </c>
      <c r="F715" s="26">
        <v>6750000</v>
      </c>
      <c r="G715" s="26">
        <v>0</v>
      </c>
      <c r="H715" s="26">
        <v>145376.15015667316</v>
      </c>
      <c r="I715" s="26">
        <v>0</v>
      </c>
      <c r="J715" s="20">
        <f t="shared" si="11"/>
        <v>6895376.150156673</v>
      </c>
      <c r="K715" s="21" t="str">
        <f>VLOOKUP(C715,'[1]SHU 2023'!C$9:K$719,9,0)</f>
        <v>AKTIF</v>
      </c>
    </row>
    <row r="716" spans="1:11" x14ac:dyDescent="0.35">
      <c r="A716" s="22">
        <v>709</v>
      </c>
      <c r="B716" s="23" t="s">
        <v>1511</v>
      </c>
      <c r="C716" s="24" t="s">
        <v>1512</v>
      </c>
      <c r="D716" s="25" t="s">
        <v>210</v>
      </c>
      <c r="E716" s="26">
        <v>400000</v>
      </c>
      <c r="F716" s="26">
        <v>11500000</v>
      </c>
      <c r="G716" s="26">
        <v>0</v>
      </c>
      <c r="H716" s="26">
        <v>272848.77033851785</v>
      </c>
      <c r="I716" s="26">
        <v>0</v>
      </c>
      <c r="J716" s="20">
        <f t="shared" si="11"/>
        <v>12172848.770338519</v>
      </c>
      <c r="K716" s="21" t="str">
        <f>VLOOKUP(C716,'[1]SHU 2023'!C$9:K$719,9,0)</f>
        <v>AKTIF</v>
      </c>
    </row>
    <row r="717" spans="1:11" x14ac:dyDescent="0.35">
      <c r="A717" s="22">
        <v>710</v>
      </c>
      <c r="B717" s="23" t="s">
        <v>1513</v>
      </c>
      <c r="C717" s="24" t="s">
        <v>1514</v>
      </c>
      <c r="D717" s="25" t="s">
        <v>131</v>
      </c>
      <c r="E717" s="26">
        <v>200000</v>
      </c>
      <c r="F717" s="26">
        <v>4300000</v>
      </c>
      <c r="G717" s="26">
        <v>100000</v>
      </c>
      <c r="H717" s="26">
        <v>98408.491515801492</v>
      </c>
      <c r="I717" s="26">
        <v>0</v>
      </c>
      <c r="J717" s="20">
        <f t="shared" si="11"/>
        <v>4698408.4915158013</v>
      </c>
      <c r="K717" s="21" t="str">
        <f>VLOOKUP(C717,'[1]SHU 2023'!C$9:K$719,9,0)</f>
        <v>AKTIF</v>
      </c>
    </row>
    <row r="718" spans="1:11" x14ac:dyDescent="0.35">
      <c r="A718" s="22">
        <v>711</v>
      </c>
      <c r="B718" s="23" t="s">
        <v>1515</v>
      </c>
      <c r="C718" s="24" t="s">
        <v>1516</v>
      </c>
      <c r="D718" s="25" t="s">
        <v>131</v>
      </c>
      <c r="E718" s="26">
        <v>200000</v>
      </c>
      <c r="F718" s="26">
        <v>4300000</v>
      </c>
      <c r="G718" s="26">
        <v>300000</v>
      </c>
      <c r="H718" s="26">
        <v>102959.43244771493</v>
      </c>
      <c r="I718" s="26">
        <v>0</v>
      </c>
      <c r="J718" s="20">
        <f t="shared" si="11"/>
        <v>4902959.4324477147</v>
      </c>
      <c r="K718" s="21" t="str">
        <f>VLOOKUP(C718,'[1]SHU 2023'!C$9:K$719,9,0)</f>
        <v>AKTIF</v>
      </c>
    </row>
    <row r="719" spans="1:11" x14ac:dyDescent="0.35">
      <c r="A719" s="22">
        <v>712</v>
      </c>
      <c r="B719" s="23" t="s">
        <v>1517</v>
      </c>
      <c r="C719" s="24" t="s">
        <v>1518</v>
      </c>
      <c r="D719" s="25" t="s">
        <v>131</v>
      </c>
      <c r="E719" s="26">
        <v>200000</v>
      </c>
      <c r="F719" s="26">
        <v>3100000</v>
      </c>
      <c r="G719" s="26">
        <v>500000</v>
      </c>
      <c r="H719" s="26">
        <v>111655.0712752906</v>
      </c>
      <c r="I719" s="26">
        <v>0</v>
      </c>
      <c r="J719" s="20">
        <f t="shared" si="11"/>
        <v>3911655.0712752906</v>
      </c>
      <c r="K719" s="21" t="str">
        <f>VLOOKUP(C719,'[1]SHU 2023'!C$9:K$719,9,0)</f>
        <v>AKTIF</v>
      </c>
    </row>
    <row r="720" spans="1:11" x14ac:dyDescent="0.35">
      <c r="A720" s="22">
        <v>713</v>
      </c>
      <c r="B720" s="23" t="s">
        <v>1519</v>
      </c>
      <c r="C720" s="24" t="s">
        <v>1520</v>
      </c>
      <c r="D720" s="25" t="s">
        <v>298</v>
      </c>
      <c r="E720" s="26">
        <v>0</v>
      </c>
      <c r="F720" s="26">
        <v>4200000</v>
      </c>
      <c r="G720" s="26">
        <v>0</v>
      </c>
      <c r="H720" s="26">
        <v>82815.611220849358</v>
      </c>
      <c r="I720" s="26"/>
      <c r="J720" s="20">
        <f t="shared" si="11"/>
        <v>4282815.6112208497</v>
      </c>
      <c r="K720" s="21" t="str">
        <f>VLOOKUP(C720,'[1]SHU 2023'!C$9:K$719,9,0)</f>
        <v>AKTIF</v>
      </c>
    </row>
    <row r="721" spans="1:11" x14ac:dyDescent="0.35">
      <c r="A721" s="22">
        <v>714</v>
      </c>
      <c r="B721" s="23" t="s">
        <v>1521</v>
      </c>
      <c r="C721" s="24" t="s">
        <v>1522</v>
      </c>
      <c r="D721" s="25" t="s">
        <v>519</v>
      </c>
      <c r="E721" s="26">
        <v>0</v>
      </c>
      <c r="F721" s="26">
        <v>20500000</v>
      </c>
      <c r="G721" s="26">
        <v>0</v>
      </c>
      <c r="H721" s="26">
        <v>414072.98907407676</v>
      </c>
      <c r="I721" s="26"/>
      <c r="J721" s="20">
        <f t="shared" si="11"/>
        <v>20914072.989074077</v>
      </c>
      <c r="K721" s="21" t="str">
        <f>VLOOKUP(C721,'[1]SHU 2023'!C$9:K$719,9,0)</f>
        <v>AKTIF</v>
      </c>
    </row>
    <row r="722" spans="1:11" x14ac:dyDescent="0.35">
      <c r="A722" s="22">
        <v>715</v>
      </c>
      <c r="B722" s="23" t="s">
        <v>1523</v>
      </c>
      <c r="C722" s="24" t="s">
        <v>1524</v>
      </c>
      <c r="D722" s="25" t="s">
        <v>210</v>
      </c>
      <c r="E722" s="26">
        <v>0</v>
      </c>
      <c r="F722" s="26">
        <v>0</v>
      </c>
      <c r="G722" s="26">
        <v>0</v>
      </c>
      <c r="H722" s="26">
        <v>0</v>
      </c>
      <c r="I722" s="26"/>
      <c r="J722" s="20">
        <f t="shared" si="11"/>
        <v>0</v>
      </c>
      <c r="K722" s="21" t="s">
        <v>49</v>
      </c>
    </row>
    <row r="723" spans="1:11" x14ac:dyDescent="0.35">
      <c r="A723" s="22">
        <v>716</v>
      </c>
      <c r="B723" s="23" t="s">
        <v>1525</v>
      </c>
      <c r="C723" s="24" t="s">
        <v>1526</v>
      </c>
      <c r="D723" s="25" t="s">
        <v>285</v>
      </c>
      <c r="E723" s="26">
        <v>0</v>
      </c>
      <c r="F723" s="26">
        <v>8750000</v>
      </c>
      <c r="G723" s="26">
        <v>0</v>
      </c>
      <c r="H723" s="26">
        <v>60997</v>
      </c>
      <c r="I723" s="26"/>
      <c r="J723" s="20">
        <f t="shared" si="11"/>
        <v>8810997</v>
      </c>
      <c r="K723" s="21" t="s">
        <v>1236</v>
      </c>
    </row>
    <row r="724" spans="1:11" x14ac:dyDescent="0.35">
      <c r="A724" s="22">
        <v>717</v>
      </c>
      <c r="B724" s="23" t="s">
        <v>1527</v>
      </c>
      <c r="C724" s="24" t="s">
        <v>1528</v>
      </c>
      <c r="D724" s="25" t="s">
        <v>123</v>
      </c>
      <c r="E724" s="26">
        <v>0</v>
      </c>
      <c r="F724" s="26">
        <v>8550000</v>
      </c>
      <c r="G724" s="26">
        <v>0</v>
      </c>
      <c r="H724" s="26">
        <v>58316</v>
      </c>
      <c r="I724" s="26"/>
      <c r="J724" s="20">
        <f t="shared" si="11"/>
        <v>8608316</v>
      </c>
      <c r="K724" s="21" t="s">
        <v>1236</v>
      </c>
    </row>
    <row r="725" spans="1:11" x14ac:dyDescent="0.35">
      <c r="A725" s="22">
        <v>724</v>
      </c>
      <c r="B725" s="23" t="s">
        <v>1529</v>
      </c>
      <c r="C725" s="24" t="s">
        <v>1530</v>
      </c>
      <c r="D725" s="25" t="s">
        <v>519</v>
      </c>
      <c r="E725" s="26">
        <v>0</v>
      </c>
      <c r="F725" s="26">
        <v>11500000</v>
      </c>
      <c r="G725" s="26">
        <v>0</v>
      </c>
      <c r="H725" s="26">
        <v>80436.203975726792</v>
      </c>
      <c r="I725" s="26"/>
      <c r="J725" s="20">
        <f t="shared" si="11"/>
        <v>11580436.203975726</v>
      </c>
      <c r="K725" s="21" t="str">
        <f>VLOOKUP(C725,'[1]SHU 2023'!C$9:K$719,9,0)</f>
        <v>AKTIF</v>
      </c>
    </row>
    <row r="726" spans="1:11" x14ac:dyDescent="0.35">
      <c r="A726" s="22">
        <v>725</v>
      </c>
      <c r="B726" s="23" t="s">
        <v>1531</v>
      </c>
      <c r="C726" s="24" t="s">
        <v>1532</v>
      </c>
      <c r="D726" s="25" t="s">
        <v>519</v>
      </c>
      <c r="E726" s="26">
        <v>0</v>
      </c>
      <c r="F726" s="26">
        <v>11500000</v>
      </c>
      <c r="G726" s="26">
        <v>0</v>
      </c>
      <c r="H726" s="26">
        <v>80436.203975726792</v>
      </c>
      <c r="I726" s="26"/>
      <c r="J726" s="20">
        <f t="shared" si="11"/>
        <v>11580436.203975726</v>
      </c>
      <c r="K726" s="21" t="str">
        <f>VLOOKUP(C726,'[1]SHU 2023'!C$9:K$719,9,0)</f>
        <v>AKTIF</v>
      </c>
    </row>
    <row r="727" spans="1:11" x14ac:dyDescent="0.35">
      <c r="A727" s="22">
        <v>726</v>
      </c>
      <c r="B727" s="23" t="s">
        <v>1533</v>
      </c>
      <c r="C727" s="24" t="s">
        <v>1534</v>
      </c>
      <c r="D727" s="25" t="s">
        <v>747</v>
      </c>
      <c r="E727" s="26">
        <v>0</v>
      </c>
      <c r="F727" s="26">
        <v>0</v>
      </c>
      <c r="G727" s="26">
        <v>0</v>
      </c>
      <c r="H727" s="26">
        <v>-0.36260445008701936</v>
      </c>
      <c r="I727" s="26"/>
      <c r="J727" s="20">
        <f t="shared" si="11"/>
        <v>-0.36260445008701936</v>
      </c>
      <c r="K727" s="21" t="s">
        <v>49</v>
      </c>
    </row>
    <row r="728" spans="1:11" x14ac:dyDescent="0.35">
      <c r="A728" s="22">
        <v>718</v>
      </c>
      <c r="B728" s="23" t="s">
        <v>1535</v>
      </c>
      <c r="C728" s="24" t="s">
        <v>1536</v>
      </c>
      <c r="D728" s="25" t="s">
        <v>319</v>
      </c>
      <c r="E728" s="26">
        <v>0</v>
      </c>
      <c r="F728" s="26">
        <v>150000</v>
      </c>
      <c r="G728" s="26">
        <v>0</v>
      </c>
      <c r="H728" s="26">
        <v>0.14589453852750012</v>
      </c>
      <c r="I728" s="26"/>
      <c r="J728" s="20">
        <f t="shared" si="11"/>
        <v>150000.14589453852</v>
      </c>
      <c r="K728" s="21" t="s">
        <v>49</v>
      </c>
    </row>
    <row r="729" spans="1:11" x14ac:dyDescent="0.35">
      <c r="A729" s="22">
        <v>719</v>
      </c>
      <c r="B729" s="23" t="s">
        <v>1537</v>
      </c>
      <c r="C729" s="24" t="s">
        <v>1538</v>
      </c>
      <c r="D729" s="25" t="s">
        <v>372</v>
      </c>
      <c r="E729" s="26">
        <v>0</v>
      </c>
      <c r="F729" s="26">
        <v>0</v>
      </c>
      <c r="G729" s="26">
        <v>0</v>
      </c>
      <c r="H729" s="26">
        <v>0</v>
      </c>
      <c r="I729" s="26"/>
      <c r="J729" s="20">
        <f t="shared" si="11"/>
        <v>0</v>
      </c>
      <c r="K729" s="21" t="str">
        <f>VLOOKUP(C729,'[1]SHU 2023'!C$9:K$719,9,0)</f>
        <v>BUKAN ANGGOTA</v>
      </c>
    </row>
    <row r="730" spans="1:11" x14ac:dyDescent="0.35">
      <c r="A730" s="22">
        <v>720</v>
      </c>
      <c r="B730" s="23" t="s">
        <v>1539</v>
      </c>
      <c r="C730" s="24" t="s">
        <v>1540</v>
      </c>
      <c r="D730" s="25" t="s">
        <v>255</v>
      </c>
      <c r="E730" s="26">
        <v>0</v>
      </c>
      <c r="F730" s="26">
        <v>6300000</v>
      </c>
      <c r="G730" s="26">
        <v>0</v>
      </c>
      <c r="H730" s="26">
        <v>28152.67139150438</v>
      </c>
      <c r="I730" s="26">
        <v>0</v>
      </c>
      <c r="J730" s="20">
        <f t="shared" si="11"/>
        <v>6328152.6713915048</v>
      </c>
      <c r="K730" s="21" t="str">
        <f>VLOOKUP(C730,'[1]SHU 2023'!C$9:K$719,9,0)</f>
        <v>AKTIF</v>
      </c>
    </row>
    <row r="731" spans="1:11" x14ac:dyDescent="0.35">
      <c r="A731" s="22">
        <v>721</v>
      </c>
      <c r="B731" s="23" t="s">
        <v>1541</v>
      </c>
      <c r="C731" s="24" t="s">
        <v>1542</v>
      </c>
      <c r="D731" s="25" t="s">
        <v>89</v>
      </c>
      <c r="E731" s="26">
        <v>0</v>
      </c>
      <c r="F731" s="26">
        <v>6200000</v>
      </c>
      <c r="G731" s="26">
        <v>450000</v>
      </c>
      <c r="H731" s="26">
        <v>30833.878190695272</v>
      </c>
      <c r="I731" s="26"/>
      <c r="J731" s="20">
        <f t="shared" si="11"/>
        <v>6680833.8781906953</v>
      </c>
      <c r="K731" s="21" t="str">
        <f>VLOOKUP(C731,'[1]SHU 2023'!C$9:K$719,9,0)</f>
        <v>AKTIF</v>
      </c>
    </row>
    <row r="732" spans="1:11" x14ac:dyDescent="0.35">
      <c r="A732" s="22">
        <v>723</v>
      </c>
      <c r="B732" s="23" t="s">
        <v>1543</v>
      </c>
      <c r="C732" s="24" t="s">
        <v>1544</v>
      </c>
      <c r="D732" s="25" t="s">
        <v>92</v>
      </c>
      <c r="E732" s="26">
        <v>0</v>
      </c>
      <c r="F732" s="26">
        <v>2550000</v>
      </c>
      <c r="G732" s="26">
        <v>0</v>
      </c>
      <c r="H732" s="26">
        <v>10054.525496965849</v>
      </c>
      <c r="I732" s="26"/>
      <c r="J732" s="20">
        <f t="shared" si="11"/>
        <v>2560054.5254969657</v>
      </c>
      <c r="K732" s="21" t="str">
        <f>VLOOKUP(C732,'[1]SHU 2023'!C$9:K$719,9,0)</f>
        <v>AKTIF</v>
      </c>
    </row>
    <row r="733" spans="1:11" x14ac:dyDescent="0.35">
      <c r="A733" s="22">
        <v>724</v>
      </c>
      <c r="B733" s="23" t="s">
        <v>1545</v>
      </c>
      <c r="C733" s="24" t="s">
        <v>1546</v>
      </c>
      <c r="D733" s="25" t="s">
        <v>233</v>
      </c>
      <c r="E733" s="26">
        <v>0</v>
      </c>
      <c r="F733" s="26">
        <v>7500000</v>
      </c>
      <c r="G733" s="26">
        <v>0</v>
      </c>
      <c r="H733" s="26">
        <v>20109.050993931698</v>
      </c>
      <c r="I733" s="26"/>
      <c r="J733" s="20">
        <f t="shared" si="11"/>
        <v>7520109.0509939315</v>
      </c>
      <c r="K733" s="21" t="str">
        <f>VLOOKUP(C733,'[1]SHU 2023'!C$9:K$719,9,0)</f>
        <v>AKTIF</v>
      </c>
    </row>
    <row r="734" spans="1:11" x14ac:dyDescent="0.35">
      <c r="A734" s="22">
        <v>725</v>
      </c>
      <c r="B734" s="23" t="s">
        <v>1547</v>
      </c>
      <c r="C734" s="24" t="s">
        <v>1548</v>
      </c>
      <c r="D734" s="25" t="s">
        <v>92</v>
      </c>
      <c r="E734" s="26">
        <v>200000</v>
      </c>
      <c r="F734" s="26">
        <v>1300000</v>
      </c>
      <c r="G734" s="26">
        <v>100000</v>
      </c>
      <c r="H734" s="26">
        <v>5362.413598381786</v>
      </c>
      <c r="I734" s="26"/>
      <c r="J734" s="20">
        <f t="shared" si="11"/>
        <v>1605362.4135983817</v>
      </c>
      <c r="K734" s="21" t="s">
        <v>1236</v>
      </c>
    </row>
    <row r="735" spans="1:11" x14ac:dyDescent="0.35">
      <c r="A735" s="22">
        <v>726</v>
      </c>
      <c r="B735" s="23" t="s">
        <v>1549</v>
      </c>
      <c r="C735" s="24" t="s">
        <v>1550</v>
      </c>
      <c r="D735" s="25" t="s">
        <v>31</v>
      </c>
      <c r="E735" s="26">
        <v>200000</v>
      </c>
      <c r="F735" s="26">
        <v>1300000</v>
      </c>
      <c r="G735" s="26">
        <v>300000</v>
      </c>
      <c r="H735" s="26">
        <v>8043.6203975726794</v>
      </c>
      <c r="I735" s="26"/>
      <c r="J735" s="20">
        <f t="shared" si="11"/>
        <v>1808043.6203975726</v>
      </c>
      <c r="K735" s="21" t="s">
        <v>1236</v>
      </c>
    </row>
    <row r="736" spans="1:11" x14ac:dyDescent="0.35">
      <c r="A736" s="22">
        <v>727</v>
      </c>
      <c r="B736" s="23" t="s">
        <v>1551</v>
      </c>
      <c r="C736" s="24" t="s">
        <v>1552</v>
      </c>
      <c r="D736" s="25" t="s">
        <v>154</v>
      </c>
      <c r="E736" s="26">
        <v>200000</v>
      </c>
      <c r="F736" s="26">
        <v>1200000</v>
      </c>
      <c r="G736" s="26">
        <v>0</v>
      </c>
      <c r="H736" s="26">
        <v>4021.8101987863397</v>
      </c>
      <c r="I736" s="26"/>
      <c r="J736" s="20">
        <f t="shared" si="11"/>
        <v>1404021.8101987864</v>
      </c>
      <c r="K736" s="21" t="s">
        <v>1236</v>
      </c>
    </row>
    <row r="737" spans="1:11" x14ac:dyDescent="0.35">
      <c r="A737" s="22">
        <v>728</v>
      </c>
      <c r="B737" s="22"/>
      <c r="C737" s="24" t="s">
        <v>1553</v>
      </c>
      <c r="D737" s="25" t="s">
        <v>131</v>
      </c>
      <c r="E737" s="26">
        <v>0</v>
      </c>
      <c r="F737" s="26">
        <v>1800000</v>
      </c>
      <c r="G737" s="26">
        <v>200000</v>
      </c>
      <c r="H737" s="26">
        <v>0</v>
      </c>
      <c r="I737" s="26"/>
      <c r="J737" s="20">
        <f t="shared" si="11"/>
        <v>2000000</v>
      </c>
      <c r="K737" s="21" t="s">
        <v>1236</v>
      </c>
    </row>
    <row r="738" spans="1:11" x14ac:dyDescent="0.35">
      <c r="A738" s="22">
        <v>729</v>
      </c>
      <c r="B738" s="22"/>
      <c r="C738" s="24" t="s">
        <v>1554</v>
      </c>
      <c r="D738" s="25" t="s">
        <v>131</v>
      </c>
      <c r="E738" s="26">
        <v>200000</v>
      </c>
      <c r="F738" s="26">
        <v>1950000</v>
      </c>
      <c r="G738" s="26">
        <v>0</v>
      </c>
      <c r="H738" s="26">
        <v>0</v>
      </c>
      <c r="I738" s="26"/>
      <c r="J738" s="20">
        <f t="shared" si="11"/>
        <v>2150000</v>
      </c>
      <c r="K738" s="21" t="s">
        <v>1236</v>
      </c>
    </row>
    <row r="739" spans="1:11" x14ac:dyDescent="0.35">
      <c r="A739" s="22">
        <v>730</v>
      </c>
      <c r="B739" s="22"/>
      <c r="C739" s="24" t="s">
        <v>1555</v>
      </c>
      <c r="D739" s="25" t="s">
        <v>102</v>
      </c>
      <c r="E739" s="26">
        <v>200000</v>
      </c>
      <c r="F739" s="26">
        <v>900000</v>
      </c>
      <c r="G739" s="26">
        <v>100000</v>
      </c>
      <c r="H739" s="26">
        <v>0</v>
      </c>
      <c r="I739" s="26"/>
      <c r="J739" s="20">
        <f t="shared" si="11"/>
        <v>1200000</v>
      </c>
      <c r="K739" s="21" t="s">
        <v>1236</v>
      </c>
    </row>
    <row r="740" spans="1:11" x14ac:dyDescent="0.35">
      <c r="A740" s="22">
        <v>731</v>
      </c>
      <c r="B740" s="22"/>
      <c r="C740" s="24" t="s">
        <v>1556</v>
      </c>
      <c r="D740" s="25" t="s">
        <v>1443</v>
      </c>
      <c r="E740" s="26">
        <v>200000</v>
      </c>
      <c r="F740" s="26">
        <v>1300000</v>
      </c>
      <c r="G740" s="26">
        <v>250000</v>
      </c>
      <c r="H740" s="26">
        <v>0</v>
      </c>
      <c r="I740" s="26"/>
      <c r="J740" s="20">
        <f t="shared" si="11"/>
        <v>1750000</v>
      </c>
      <c r="K740" s="21" t="s">
        <v>1236</v>
      </c>
    </row>
    <row r="741" spans="1:11" x14ac:dyDescent="0.35">
      <c r="A741" s="22">
        <v>732</v>
      </c>
      <c r="B741" s="22"/>
      <c r="C741" s="24" t="s">
        <v>1557</v>
      </c>
      <c r="D741" s="25" t="s">
        <v>131</v>
      </c>
      <c r="E741" s="26">
        <v>0</v>
      </c>
      <c r="F741" s="26">
        <v>450000</v>
      </c>
      <c r="G741" s="26">
        <v>0</v>
      </c>
      <c r="H741" s="26">
        <v>0</v>
      </c>
      <c r="I741" s="26"/>
      <c r="J741" s="20">
        <f t="shared" si="11"/>
        <v>450000</v>
      </c>
      <c r="K741" s="21" t="s">
        <v>1236</v>
      </c>
    </row>
    <row r="742" spans="1:11" x14ac:dyDescent="0.35">
      <c r="A742" s="22">
        <v>733</v>
      </c>
      <c r="B742" s="22"/>
      <c r="C742" s="24" t="s">
        <v>1558</v>
      </c>
      <c r="D742" s="25" t="s">
        <v>31</v>
      </c>
      <c r="E742" s="26">
        <v>0</v>
      </c>
      <c r="F742" s="26">
        <v>300000</v>
      </c>
      <c r="G742" s="26">
        <v>0</v>
      </c>
      <c r="H742" s="26">
        <v>0</v>
      </c>
      <c r="I742" s="26"/>
      <c r="J742" s="20">
        <f t="shared" si="11"/>
        <v>300000</v>
      </c>
      <c r="K742" s="21" t="s">
        <v>1236</v>
      </c>
    </row>
    <row r="743" spans="1:11" x14ac:dyDescent="0.35">
      <c r="A743" s="22">
        <v>734</v>
      </c>
      <c r="B743" s="22"/>
      <c r="C743" s="24" t="s">
        <v>1559</v>
      </c>
      <c r="D743" s="25" t="s">
        <v>31</v>
      </c>
      <c r="E743" s="26">
        <v>0</v>
      </c>
      <c r="F743" s="26">
        <v>300000</v>
      </c>
      <c r="G743" s="26">
        <v>0</v>
      </c>
      <c r="H743" s="26">
        <v>0</v>
      </c>
      <c r="I743" s="26"/>
      <c r="J743" s="20">
        <f t="shared" si="11"/>
        <v>300000</v>
      </c>
      <c r="K743" s="21" t="s">
        <v>1236</v>
      </c>
    </row>
    <row r="744" spans="1:11" x14ac:dyDescent="0.35">
      <c r="A744" s="22">
        <v>735</v>
      </c>
      <c r="B744" s="22"/>
      <c r="C744" s="24" t="s">
        <v>1560</v>
      </c>
      <c r="D744" s="25" t="s">
        <v>31</v>
      </c>
      <c r="E744" s="26">
        <v>0</v>
      </c>
      <c r="F744" s="26">
        <v>300000</v>
      </c>
      <c r="G744" s="26">
        <v>0</v>
      </c>
      <c r="H744" s="26">
        <v>0</v>
      </c>
      <c r="I744" s="26"/>
      <c r="J744" s="20">
        <f t="shared" si="11"/>
        <v>300000</v>
      </c>
      <c r="K744" s="21" t="s">
        <v>1236</v>
      </c>
    </row>
    <row r="745" spans="1:11" x14ac:dyDescent="0.35">
      <c r="A745" s="22">
        <v>736</v>
      </c>
      <c r="B745" s="22"/>
      <c r="C745" s="24" t="s">
        <v>1561</v>
      </c>
      <c r="D745" s="25" t="s">
        <v>31</v>
      </c>
      <c r="E745" s="26">
        <v>0</v>
      </c>
      <c r="F745" s="26">
        <v>300000</v>
      </c>
      <c r="G745" s="26">
        <v>0</v>
      </c>
      <c r="H745" s="26">
        <v>0</v>
      </c>
      <c r="I745" s="26"/>
      <c r="J745" s="20">
        <f t="shared" si="11"/>
        <v>300000</v>
      </c>
      <c r="K745" s="21" t="s">
        <v>1236</v>
      </c>
    </row>
    <row r="746" spans="1:11" x14ac:dyDescent="0.35">
      <c r="A746" s="22">
        <v>737</v>
      </c>
      <c r="B746" s="22"/>
      <c r="C746" s="24" t="s">
        <v>1562</v>
      </c>
      <c r="D746" s="25" t="s">
        <v>31</v>
      </c>
      <c r="E746" s="26">
        <v>0</v>
      </c>
      <c r="F746" s="26">
        <v>300000</v>
      </c>
      <c r="G746" s="26">
        <v>0</v>
      </c>
      <c r="H746" s="26">
        <v>0</v>
      </c>
      <c r="I746" s="26"/>
      <c r="J746" s="20">
        <f t="shared" si="11"/>
        <v>300000</v>
      </c>
      <c r="K746" s="21" t="s">
        <v>1236</v>
      </c>
    </row>
    <row r="747" spans="1:11" x14ac:dyDescent="0.35">
      <c r="A747" s="22">
        <v>738</v>
      </c>
      <c r="B747" s="22"/>
      <c r="C747" s="24" t="s">
        <v>1563</v>
      </c>
      <c r="D747" s="25" t="s">
        <v>31</v>
      </c>
      <c r="E747" s="26">
        <v>0</v>
      </c>
      <c r="F747" s="26">
        <v>300000</v>
      </c>
      <c r="G747" s="26">
        <v>0</v>
      </c>
      <c r="H747" s="26">
        <v>0</v>
      </c>
      <c r="I747" s="26"/>
      <c r="J747" s="20">
        <f t="shared" si="11"/>
        <v>300000</v>
      </c>
      <c r="K747" s="21" t="s">
        <v>1236</v>
      </c>
    </row>
    <row r="748" spans="1:11" x14ac:dyDescent="0.35">
      <c r="A748" s="22">
        <v>739</v>
      </c>
      <c r="B748" s="22"/>
      <c r="C748" s="24" t="s">
        <v>1564</v>
      </c>
      <c r="D748" s="25" t="s">
        <v>313</v>
      </c>
      <c r="E748" s="26">
        <v>0</v>
      </c>
      <c r="F748" s="26">
        <v>300000</v>
      </c>
      <c r="G748" s="26">
        <v>0</v>
      </c>
      <c r="H748" s="26">
        <v>0</v>
      </c>
      <c r="I748" s="26"/>
      <c r="J748" s="20">
        <f t="shared" si="11"/>
        <v>300000</v>
      </c>
      <c r="K748" s="21" t="s">
        <v>1236</v>
      </c>
    </row>
    <row r="749" spans="1:11" x14ac:dyDescent="0.35">
      <c r="A749" s="22">
        <v>740</v>
      </c>
      <c r="B749" s="22"/>
      <c r="C749" s="24" t="s">
        <v>1565</v>
      </c>
      <c r="D749" s="25" t="s">
        <v>313</v>
      </c>
      <c r="E749" s="26">
        <v>0</v>
      </c>
      <c r="F749" s="26">
        <v>300000</v>
      </c>
      <c r="G749" s="26">
        <v>0</v>
      </c>
      <c r="H749" s="26">
        <v>0</v>
      </c>
      <c r="I749" s="26"/>
      <c r="J749" s="20">
        <f t="shared" si="11"/>
        <v>300000</v>
      </c>
      <c r="K749" s="21" t="s">
        <v>1236</v>
      </c>
    </row>
    <row r="750" spans="1:11" x14ac:dyDescent="0.35">
      <c r="A750" s="22">
        <v>741</v>
      </c>
      <c r="B750" s="22"/>
      <c r="C750" s="24" t="s">
        <v>1566</v>
      </c>
      <c r="D750" s="25" t="s">
        <v>313</v>
      </c>
      <c r="E750" s="26">
        <v>0</v>
      </c>
      <c r="F750" s="26">
        <v>300000</v>
      </c>
      <c r="G750" s="26">
        <v>0</v>
      </c>
      <c r="H750" s="26">
        <v>0</v>
      </c>
      <c r="I750" s="26"/>
      <c r="J750" s="20">
        <f t="shared" si="11"/>
        <v>300000</v>
      </c>
      <c r="K750" s="21" t="s">
        <v>1236</v>
      </c>
    </row>
    <row r="751" spans="1:11" x14ac:dyDescent="0.35">
      <c r="A751" s="22">
        <v>742</v>
      </c>
      <c r="B751" s="22"/>
      <c r="C751" s="24" t="s">
        <v>1567</v>
      </c>
      <c r="D751" s="25" t="s">
        <v>313</v>
      </c>
      <c r="E751" s="26">
        <v>0</v>
      </c>
      <c r="F751" s="26">
        <v>300000</v>
      </c>
      <c r="G751" s="26">
        <v>0</v>
      </c>
      <c r="H751" s="26">
        <v>0</v>
      </c>
      <c r="I751" s="26"/>
      <c r="J751" s="20">
        <f t="shared" si="11"/>
        <v>300000</v>
      </c>
      <c r="K751" s="21" t="s">
        <v>1236</v>
      </c>
    </row>
    <row r="752" spans="1:11" x14ac:dyDescent="0.35">
      <c r="A752" s="22">
        <v>743</v>
      </c>
      <c r="B752" s="22"/>
      <c r="C752" s="24" t="s">
        <v>1568</v>
      </c>
      <c r="D752" s="25" t="s">
        <v>123</v>
      </c>
      <c r="E752" s="26">
        <v>200000</v>
      </c>
      <c r="F752" s="26">
        <v>1900000</v>
      </c>
      <c r="G752" s="26">
        <v>0</v>
      </c>
      <c r="H752" s="26">
        <v>0</v>
      </c>
      <c r="I752" s="26"/>
      <c r="J752" s="20">
        <f t="shared" si="11"/>
        <v>2100000</v>
      </c>
      <c r="K752" s="21" t="s">
        <v>1236</v>
      </c>
    </row>
    <row r="753" spans="1:11" x14ac:dyDescent="0.35">
      <c r="A753" s="22">
        <v>744</v>
      </c>
      <c r="B753" s="22"/>
      <c r="C753" s="24" t="s">
        <v>1569</v>
      </c>
      <c r="D753" s="25" t="s">
        <v>747</v>
      </c>
      <c r="E753" s="26">
        <v>0</v>
      </c>
      <c r="F753" s="26">
        <v>200000</v>
      </c>
      <c r="G753" s="26">
        <v>0</v>
      </c>
      <c r="H753" s="26">
        <v>0</v>
      </c>
      <c r="I753" s="26"/>
      <c r="J753" s="20">
        <f t="shared" si="11"/>
        <v>200000</v>
      </c>
      <c r="K753" s="21" t="s">
        <v>1236</v>
      </c>
    </row>
    <row r="754" spans="1:11" x14ac:dyDescent="0.35">
      <c r="A754" s="37" t="s">
        <v>1570</v>
      </c>
      <c r="B754" s="38"/>
      <c r="C754" s="38"/>
      <c r="D754" s="39"/>
      <c r="E754" s="26">
        <f>SUM(E8:E753)</f>
        <v>14115000</v>
      </c>
      <c r="F754" s="26">
        <f t="shared" ref="F754:I754" si="12">SUM(F8:F753)</f>
        <v>9139269830</v>
      </c>
      <c r="G754" s="26">
        <f t="shared" si="12"/>
        <v>135635600</v>
      </c>
      <c r="H754" s="26">
        <f t="shared" si="12"/>
        <v>1358267180.2041409</v>
      </c>
      <c r="I754" s="26">
        <f t="shared" si="12"/>
        <v>0</v>
      </c>
      <c r="J754" s="26">
        <f>SUM(J8:J753)</f>
        <v>10647287610.204144</v>
      </c>
    </row>
    <row r="755" spans="1:11" x14ac:dyDescent="0.35">
      <c r="A755" s="37" t="s">
        <v>1571</v>
      </c>
      <c r="B755" s="38"/>
      <c r="C755" s="38"/>
      <c r="D755" s="39"/>
      <c r="E755" s="26">
        <v>14120500</v>
      </c>
      <c r="F755" s="26">
        <v>9138619830</v>
      </c>
      <c r="G755" s="26">
        <v>135635600</v>
      </c>
      <c r="H755" s="26">
        <v>1358267181</v>
      </c>
      <c r="I755" s="26"/>
      <c r="J755" s="20">
        <f t="shared" si="11"/>
        <v>10646643111</v>
      </c>
    </row>
    <row r="756" spans="1:11" ht="16" thickBot="1" x14ac:dyDescent="0.4">
      <c r="A756" s="40" t="s">
        <v>1572</v>
      </c>
      <c r="B756" s="41"/>
      <c r="C756" s="41"/>
      <c r="D756" s="42"/>
      <c r="E756" s="14">
        <f>E754-E755</f>
        <v>-5500</v>
      </c>
      <c r="F756" s="14">
        <f>F754-F755</f>
        <v>650000</v>
      </c>
      <c r="G756" s="14">
        <f t="shared" ref="G756:I756" si="13">G754-G755</f>
        <v>0</v>
      </c>
      <c r="H756" s="14">
        <f t="shared" si="13"/>
        <v>-0.79585909843444824</v>
      </c>
      <c r="I756" s="14">
        <f t="shared" si="13"/>
        <v>0</v>
      </c>
      <c r="J756" s="20">
        <f t="shared" si="11"/>
        <v>644499.20414090157</v>
      </c>
    </row>
    <row r="758" spans="1:11" x14ac:dyDescent="0.35">
      <c r="C758" s="3" t="s">
        <v>1573</v>
      </c>
      <c r="D758" s="3" t="s">
        <v>1574</v>
      </c>
    </row>
  </sheetData>
  <autoFilter ref="A6:K756" xr:uid="{A151E345-4CE9-4651-9504-4EF3D3B65D97}">
    <filterColumn colId="4" showButton="0"/>
    <filterColumn colId="5" showButton="0"/>
    <filterColumn colId="6" showButton="0"/>
    <filterColumn colId="7" showButton="0"/>
    <filterColumn colId="8" showButton="0"/>
  </autoFilter>
  <mergeCells count="9">
    <mergeCell ref="A754:D754"/>
    <mergeCell ref="A755:D755"/>
    <mergeCell ref="A756:D756"/>
    <mergeCell ref="A6:A7"/>
    <mergeCell ref="B6:B7"/>
    <mergeCell ref="C6:C7"/>
    <mergeCell ref="D6:D7"/>
    <mergeCell ref="E6:J6"/>
    <mergeCell ref="K6:K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SIMPANAN DAN SHU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 Adawiyah</dc:creator>
  <cp:lastModifiedBy>Dea Adawiyah</cp:lastModifiedBy>
  <dcterms:created xsi:type="dcterms:W3CDTF">2025-10-16T07:19:03Z</dcterms:created>
  <dcterms:modified xsi:type="dcterms:W3CDTF">2025-10-16T07:21:07Z</dcterms:modified>
</cp:coreProperties>
</file>